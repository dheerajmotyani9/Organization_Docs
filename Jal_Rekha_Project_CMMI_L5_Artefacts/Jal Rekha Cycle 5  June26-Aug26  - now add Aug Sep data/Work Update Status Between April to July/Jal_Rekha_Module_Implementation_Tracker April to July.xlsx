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al Rekha Master Tracker" sheetId="1" state="visible" r:id="rId3"/>
    <sheet name="Module Summary" sheetId="2" state="visible" r:id="rId4"/>
  </sheets>
  <definedNames>
    <definedName function="false" hidden="true" localSheetId="0" name="_xlnm._FilterDatabase" vbProcedure="false">'Jal Rekha Master Tracker'!$A$3:$J$126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<sst xmlns="http://schemas.openxmlformats.org/spreadsheetml/2006/main" count="901" uniqueCount="266">
  <si>
    <t xml:space="preserve">JAL REKHA PROJECT — MODULE-WISE IMPLEMENTATION &amp; CHANGE REQUEST TRACKER (April–July 2026)</t>
  </si>
  <si>
    <t xml:space="preserve">Client: Govt. of MP – PHED (Jal Nigam)  |  Contract: MPSEDC/MPSSDI(GIS)/2025/00423  |  Prepared by: Dheeraj Motiyani, Sr. BA  |  Source: MoM (MD Sir) 28-Apr/19-May/9-Jun/16-Jun 2026, CR Log Cycle 4-5 (Jun-Jul 2026)</t>
  </si>
  <si>
    <t xml:space="preserve">S.No</t>
  </si>
  <si>
    <t xml:space="preserve">Module Name</t>
  </si>
  <si>
    <t xml:space="preserve">Sub-Module Name</t>
  </si>
  <si>
    <t xml:space="preserve">Feature / Functionality Implemented</t>
  </si>
  <si>
    <t xml:space="preserve">Type (New Requirement / CR)</t>
  </si>
  <si>
    <t xml:space="preserve">Month</t>
  </si>
  <si>
    <t xml:space="preserve">Date Raised</t>
  </si>
  <si>
    <t xml:space="preserve">Date Completed</t>
  </si>
  <si>
    <t xml:space="preserve">Status</t>
  </si>
  <si>
    <t xml:space="preserve">Remarks / Reference</t>
  </si>
  <si>
    <t xml:space="preserve">Anushravan</t>
  </si>
  <si>
    <t xml:space="preserve">Anusharavan</t>
  </si>
  <si>
    <t xml:space="preserve">Include multiple date in report - FE RFI Submission date &amp; Block name also added</t>
  </si>
  <si>
    <t xml:space="preserve">New Requirement (MoM)</t>
  </si>
  <si>
    <t xml:space="preserve">April 2026</t>
  </si>
  <si>
    <t xml:space="preserve">Completed</t>
  </si>
  <si>
    <t xml:space="preserve">Done</t>
  </si>
  <si>
    <t xml:space="preserve">RFI Workflow</t>
  </si>
  <si>
    <t xml:space="preserve">RFI Pull Back &amp; Reassign option for GM PIU (deferred, low priority)</t>
  </si>
  <si>
    <t xml:space="preserve">May 2026</t>
  </si>
  <si>
    <t xml:space="preserve">In Progress</t>
  </si>
  <si>
    <t xml:space="preserve">Raised in May 2026 MoM Section 2 (New Discussion Points)</t>
  </si>
  <si>
    <t xml:space="preserve">Contractor Mobile</t>
  </si>
  <si>
    <t xml:space="preserve">Abstract of Anusharavan at Contractor mobile login</t>
  </si>
  <si>
    <t xml:space="preserve">Anushravan / Cube / Material Testing</t>
  </si>
  <si>
    <t xml:space="preserve">Anushravan/Cube/Material</t>
  </si>
  <si>
    <t xml:space="preserve">Remove Mandatory in Intake, WTP, MBR, RWPM, &amp; CWPM in dropdown Village and GP</t>
  </si>
  <si>
    <t xml:space="preserve">Give Save as Draft functionality &amp; Provide option to upload photo later on</t>
  </si>
  <si>
    <t xml:space="preserve">OHT Search option during RFI</t>
  </si>
  <si>
    <t xml:space="preserve">Asset Mapping</t>
  </si>
  <si>
    <t xml:space="preserve">SQC TPIA Contractor Data and Report on Web</t>
  </si>
  <si>
    <t xml:space="preserve">Bharosa</t>
  </si>
  <si>
    <t xml:space="preserve">Factory Testing WEB - Add QAP 3rd Party &amp; upload multiple images</t>
  </si>
  <si>
    <t xml:space="preserve">Cross-Module</t>
  </si>
  <si>
    <t xml:space="preserve">Data Consistency</t>
  </si>
  <si>
    <t xml:space="preserve">No Water Supply = 0 KL &amp; Meter Not Functional = 'X KL' display consistency across logins</t>
  </si>
  <si>
    <t xml:space="preserve">External Integration</t>
  </si>
  <si>
    <t xml:space="preserve">Sujalam Bharat App (BISAG/Gati Shakti) data API and PM Gati Shakti data link - master data pending from Jal Nigam</t>
  </si>
  <si>
    <t xml:space="preserve">Cube Testing</t>
  </si>
  <si>
    <t xml:space="preserve">Cube</t>
  </si>
  <si>
    <t xml:space="preserve">Structure components to be added against each Component</t>
  </si>
  <si>
    <t xml:space="preserve">Date of costing for RFI loop 7th and 28th day added</t>
  </si>
  <si>
    <t xml:space="preserve">Add Filter Bed as Sub Component under WTP Component</t>
  </si>
  <si>
    <t xml:space="preserve">Cube Module Mobile CR</t>
  </si>
  <si>
    <t xml:space="preserve">Add Mandatory multiple image upload functionality to the FE inspection form</t>
  </si>
  <si>
    <t xml:space="preserve">Done (UAT)</t>
  </si>
  <si>
    <t xml:space="preserve">Add Mandatory multiple image upload functionality to the FE inspection form and Save as Draft</t>
  </si>
  <si>
    <t xml:space="preserve">June 2026</t>
  </si>
  <si>
    <t xml:space="preserve">Cube ID get generated before image upload</t>
  </si>
  <si>
    <t xml:space="preserve">Show rejected data to Contractor</t>
  </si>
  <si>
    <t xml:space="preserve">Cube ID Generation &amp; Rejected-Data Visibility</t>
  </si>
  <si>
    <t xml:space="preserve">Cube Testing – Cube ID get generated before image upload; Show rejected data to Contractor.</t>
  </si>
  <si>
    <t xml:space="preserve">Change Request</t>
  </si>
  <si>
    <t xml:space="preserve">CR Code: CUBE-JUN-2026-005; Delivered per MoM 16-Jun-2026, Point 2.</t>
  </si>
  <si>
    <t xml:space="preserve">DWSR Public Report</t>
  </si>
  <si>
    <t xml:space="preserve">Public Report DWSR</t>
  </si>
  <si>
    <t xml:space="preserve">Open to Public</t>
  </si>
  <si>
    <t xml:space="preserve">Dhara</t>
  </si>
  <si>
    <t xml:space="preserve">New Dhara Report to be shown on all Jal Rekha logins</t>
  </si>
  <si>
    <t xml:space="preserve">GM Approved Reports &amp; Contractors Dispute</t>
  </si>
  <si>
    <t xml:space="preserve">Meter Reading Workflow</t>
  </si>
  <si>
    <t xml:space="preserve">Mohkhed scheme - meter reading replication bug (multiple source tapping points) - critical issue</t>
  </si>
  <si>
    <t xml:space="preserve">Contractor Remark/Objection on KL reading routed to GM Approve/Reject with 3-day auto-approve</t>
  </si>
  <si>
    <t xml:space="preserve">Non-Mandatory Options – Go Live 19-Jun</t>
  </si>
  <si>
    <t xml:space="preserve">O&amp;M Billing  – Mandatory options &amp;  go-live on 19th June across all logins: (1) Remark, (2) Photo Upload, (3) Forward, (4) Backward Options.</t>
  </si>
  <si>
    <t xml:space="preserve">CR Code: DHARA-MAY-2026-021; Go-live 19-Jun-2026 confirmed. Non-mandatory: Remark, Photo Upload, Forward, Backward.</t>
  </si>
  <si>
    <t xml:space="preserve">Approved Report Lock – Entry Freeze</t>
  </si>
  <si>
    <t xml:space="preserve">Dhara– Approved report data entry should NOT change once approved. UI lock for GM PIU. GM PIU/TL can ADD (not edit). GM can add new penalty point on Contractor bill.</t>
  </si>
  <si>
    <t xml:space="preserve">CR Code: DHARA-MAY-2026-009; GM can add new point (Penalty applied). Cannot edit existing Contractor-generated bill data.</t>
  </si>
  <si>
    <t xml:space="preserve">PHE _Dhara GP Reading</t>
  </si>
  <si>
    <t xml:space="preserve">GP wise Village Reading</t>
  </si>
  <si>
    <t xml:space="preserve">Jal Samadhan</t>
  </si>
  <si>
    <t xml:space="preserve">Complaint Management</t>
  </si>
  <si>
    <t xml:space="preserve">New Complaint related queries page for Jal Samadhan</t>
  </si>
  <si>
    <t xml:space="preserve">Complaint tracking with status view for public users and GM login</t>
  </si>
  <si>
    <t xml:space="preserve">SLA-based escalation workflow to PIU with notification timelines</t>
  </si>
  <si>
    <t xml:space="preserve">Master</t>
  </si>
  <si>
    <t xml:space="preserve">Bulk Consumer</t>
  </si>
  <si>
    <t xml:space="preserve">scheme bulk consumer</t>
  </si>
  <si>
    <t xml:space="preserve">Bulk Consumer Mapping</t>
  </si>
  <si>
    <t xml:space="preserve">Bulk consumer mapping - oht wtp</t>
  </si>
  <si>
    <t xml:space="preserve">Data Validation</t>
  </si>
  <si>
    <t xml:space="preserve">Duplicate Village Mapping validation across schemes</t>
  </si>
  <si>
    <t xml:space="preserve">Mapped Report Status</t>
  </si>
  <si>
    <t xml:space="preserve">Of all above 4 reports Mapped in Mapped status report . summary report - vidhan sabha district wise</t>
  </si>
  <si>
    <t xml:space="preserve">scheme village master.. scheme piu village DONE</t>
  </si>
  <si>
    <t xml:space="preserve">oht village master</t>
  </si>
  <si>
    <t xml:space="preserve">Scheme / Village / OHT Master – Entry Lock</t>
  </si>
  <si>
    <t xml:space="preserve">Master – Lock Scheme Master, Village Master and OHT Master entries once linked to live transactions (Dhara, O&amp;M Billing, Asset Mapping); GM (PIU) side all details lock.</t>
  </si>
  <si>
    <t xml:space="preserve">CR Code: MSTR-JUN-2026-006; Extends the Dhara approved-report lock principle (CR OMB/DHARA-MAY-2026-009) to the Master data layer.</t>
  </si>
  <si>
    <t xml:space="preserve">Material testing and cube testing</t>
  </si>
  <si>
    <t xml:space="preserve">Re-Inspection Loop (2nd Cycle – After GM Rejection)</t>
  </si>
  <si>
    <t xml:space="preserve">Material testing &amp; Cube testing - cycle loop runs 2nd time after rejction from GM. FE to GM to contractor back to GM again to SQC TPIA then to FE again (if new FE added)</t>
  </si>
  <si>
    <t xml:space="preserve">CR Code: CUBEMAT-JUN-2026-007; 2nd loop post-rejection: FE → GM → Contractor → GM → SQC → TPIA → FE (new). Complex state machine; must retain original submission data alongside new loop data.</t>
  </si>
  <si>
    <t xml:space="preserve">RFI 2nd Loop – Image Upload Optional</t>
  </si>
  <si>
    <t xml:space="preserve">Material testing &amp; Cube testing - cycle loop run  - Image optional in RFI 2nd time loop (in Cube and Material testing)</t>
  </si>
  <si>
    <t xml:space="preserve">CR Code: CUBEMAT-JUN-2026-008; Image optional flag must not apply to 1st cycle. CR depends on CUBEMAT-JUN-2026-007 (loop CR) being implemented first.</t>
  </si>
  <si>
    <t xml:space="preserve">O&amp;M</t>
  </si>
  <si>
    <t xml:space="preserve">Power Consumption - Need To Change Contractor and GM Side (Contractor - Generate Bill - Add into Contract Details ( Basic Detail, Intermediate Raw Water Demand, and</t>
  </si>
  <si>
    <t xml:space="preserve">Need Two More Column Add in Water Supply During Construction Bill</t>
  </si>
  <si>
    <t xml:space="preserve">O&amp;M Villages - Villages where water Supply during construction is under consideration or approved</t>
  </si>
  <si>
    <t xml:space="preserve">Aaklan Contractor / Dhara - Contractor to check &amp; Raise any discrepancies within time. Dhara data will be used for billing purposes</t>
  </si>
  <si>
    <t xml:space="preserve">GM side if Pump Transformer column has YES then consolidate bill will have 10% deduction in total amount</t>
  </si>
  <si>
    <t xml:space="preserve">O&amp;M Billing</t>
  </si>
  <si>
    <t xml:space="preserve">Contractor Side login</t>
  </si>
  <si>
    <t xml:space="preserve">Check final summary report</t>
  </si>
  <si>
    <t xml:space="preserve">Some Changes Required</t>
  </si>
  <si>
    <t xml:space="preserve">DWSR Reports</t>
  </si>
  <si>
    <t xml:space="preserve">DWSR report development (basic)</t>
  </si>
  <si>
    <t xml:space="preserve">GM Side Login</t>
  </si>
  <si>
    <t xml:space="preserve">Census population addition in Scheme Master (GM side report)</t>
  </si>
  <si>
    <t xml:space="preserve">O&amp;M Billing - Bill</t>
  </si>
  <si>
    <t xml:space="preserve">Bill generation for total 64 Schemes</t>
  </si>
  <si>
    <t xml:space="preserve">Not Specified</t>
  </si>
  <si>
    <t xml:space="preserve">O&amp;M Billing - Dhara Reports</t>
  </si>
  <si>
    <t xml:space="preserve">Dhara report integration in O&amp;M Billing module</t>
  </si>
  <si>
    <t xml:space="preserve">Open Platform</t>
  </si>
  <si>
    <t xml:space="preserve">Restrict reports: Show only Dhara &amp; DWSR</t>
  </si>
  <si>
    <t xml:space="preserve">DWSR column clickable (Hyperlink integration)</t>
  </si>
  <si>
    <t xml:space="preserve">Report Optimization</t>
  </si>
  <si>
    <t xml:space="preserve">Remove extra reports (Date-wise DWSR, MWSR, UFW, Scheme-wise WSR, Village-wise MWSR, Bulk User MWSR)</t>
  </si>
  <si>
    <t xml:space="preserve">GM Approval</t>
  </si>
  <si>
    <t xml:space="preserve">Only final approval by GM ( No Provisional approval required) and Concern Remark Mandatory</t>
  </si>
  <si>
    <t xml:space="preserve">O&amp;M Villages</t>
  </si>
  <si>
    <t xml:space="preserve">Villages where water Supply during construction is under consideration or approved</t>
  </si>
  <si>
    <t xml:space="preserve">PowerConsumption</t>
  </si>
  <si>
    <t xml:space="preserve">Need To Change Contractor and GM Side (Contractor - Generate Bill - Add into Contract Details ( Basic Detail, Intermediate Raw Water Demand, and</t>
  </si>
  <si>
    <t xml:space="preserve">Scheme Status</t>
  </si>
  <si>
    <t xml:space="preserve">Contractor Bill – Abstract</t>
  </si>
  <si>
    <t xml:space="preserve">O&amp;M Billing – Contractor Generate Bill: Abstract generation from Contractor login. Select Bill → Generate Abstract → With all villages, scheme (Dhara readings, Master Module tables and UFW Approved report and other documents with Abstract bill )</t>
  </si>
  <si>
    <t xml:space="preserve">CR Code: OMB-MAY-2026-002; Abstract linked to 8th Bill; Tag all villages flag needed.</t>
  </si>
  <si>
    <t xml:space="preserve">Bill PDF Merge – All Documents</t>
  </si>
  <si>
    <t xml:space="preserve">O&amp;M Billing – Bill PDF consolidation: approx. 19–20 documents merged into one PDF (GM, SQC, Firm, Form 27A, MB, Abstract). 3-month combined PDF for static docs; monthly for variable docs.</t>
  </si>
  <si>
    <t xml:space="preserve">CR Code: OMB-MAY-2026-005; Landscape issue in O&amp;M Bill PDF also fixed in this CR.</t>
  </si>
  <si>
    <t xml:space="preserve">GST Integration</t>
  </si>
  <si>
    <t xml:space="preserve">O&amp;M Billing – GST No. Integration with O&amp;M Billing Jal Rekha portal. GST number to be captured and linked at firm/contractor level.</t>
  </si>
  <si>
    <t xml:space="preserve">CR Code: OMB-MAY-2026-003; GST No. (150/215) – Rakesh Sir to confirm data source.</t>
  </si>
  <si>
    <t xml:space="preserve">E-Sign – CDAC Integration</t>
  </si>
  <si>
    <t xml:space="preserve">O&amp;M Billing – E-Sign Integration via CDAC for all parties (Firm/FE-eSign, Web &amp; Mobile). CDAC integration for e-sign on Bill, Submission Letter, and Tax Invoice. FE (e-sign) → Web &amp; Mobile flow.</t>
  </si>
  <si>
    <t xml:space="preserve">CR Code: OMB-MAY-2026-001; CDAC Rakesh Sir to coordinate. FE (e-sign) ↔ Web/Mobile dual flow.</t>
  </si>
  <si>
    <t xml:space="preserve">TL Recommendation Letter – E-Office</t>
  </si>
  <si>
    <t xml:space="preserve">O&amp;M Billing – TL Recommendation Letter to be E-Office generated (system-generated). TL (PMC) → E-Office → Account Office Jal Rekha.</t>
  </si>
  <si>
    <t xml:space="preserve">CR Code: OMB-MAY-2026-004; TL SQC integration also required. E-Office API/link to be confirmed.</t>
  </si>
  <si>
    <t xml:space="preserve">Billing Workflow Redesign</t>
  </si>
  <si>
    <t xml:space="preserve">O&amp;M Billing – Workflow Redesign:  Firm → GM PIU → TL SQC → GM PIU → GM O&amp;M → DGM → TL PMC → CFO → CA → P.D. → MD.</t>
  </si>
  <si>
    <t xml:space="preserve">CR Code: OMB-MAY-2026-006; Use Manage Page (not old flow). Refer O&amp;M Billing Workflow PDF + JPEG diagrams.</t>
  </si>
  <si>
    <t xml:space="preserve">Contractor Mistake Visibility &amp; PDF Merge</t>
  </si>
  <si>
    <t xml:space="preserve">O&amp;M Billing – Contractor mistakes visible to SQC/TL and GM. Show all records on all IDs for GM and SQC. Merge PDF of all O&amp;M documents.</t>
  </si>
  <si>
    <t xml:space="preserve">CR Code: OMB-MAY-2026-008; Related to Bill PDF CR (OMB-MAY-2026-005). SQC 7L/4–GM mapping check needed.</t>
  </si>
  <si>
    <t xml:space="preserve">Document Upload Screen Design</t>
  </si>
  <si>
    <t xml:space="preserve">O&amp;M Billing – Document Upload Screen: Firm: Firm Submission Letter, Tax Invoice, Any Other (Multiple). TL/SQC: SQC Recommendation Letter, Third Party Water Quality Test Report (Multiple + Remark). GM PIU: PIU Recommendation Letter, Signed Form 27A, Signed Scanned MB, Signed Abstract, Signed Monthly Bill Sheet (Multiple), Any Other Docs (Multiple + Remark).</t>
  </si>
  <si>
    <t xml:space="preserve">CR Code: OMB-MAY-2026-015; Ref: Handwritten wireframe (Contractor/Firm, TL SQC, GM PIU sections). Upload + Download + View PDF per doc.</t>
  </si>
  <si>
    <t xml:space="preserve">Abstract Bill – Portrait to Landscape</t>
  </si>
  <si>
    <t xml:space="preserve">O&amp;M Billing - Desgin changes  portrait to landscape for O&amp;M Report for Abstract Bill</t>
  </si>
  <si>
    <t xml:space="preserve">CR Code: OMB-JUN-2026-004; Ref: RA Bill landscape format request. Landscape layout wider table required for Abstract Bill header + village-wise summary columns.</t>
  </si>
  <si>
    <t xml:space="preserve">Save as Draft – Mandatory Upload (Contractor)</t>
  </si>
  <si>
    <t xml:space="preserve">Contractor/Firm login – make key document uploads (Submission Letter, Tax Invoice) mandatory before a bill can move out of “Save as Draft” state; draft can be saved with partial data but cannot be forwarded to GM (PIU) until mandatory documents are attached.</t>
  </si>
  <si>
    <t xml:space="preserve">Change Request (New)</t>
  </si>
  <si>
    <t xml:space="preserve">July 2026</t>
  </si>
  <si>
    <t xml:space="preserve">CR Code: OMB-JULY-2026-001; New CR – raised to align O&amp;M Billing with Cube/Sahbhagita Save-as-Draft pattern.</t>
  </si>
  <si>
    <t xml:space="preserve">Residual Pressure &amp; Complaint Redressal</t>
  </si>
  <si>
    <t xml:space="preserve">O&amp;M Billing – Residual Pressure &amp; Complaint Redressal screen changes. Pressure Threshold Report format update per OM_RA_Bill_Report.pdf.
Complaint Redressal - Is complaint resolved in this month ?
Renaming Complaint Redressal page :- Date on which complaint received to contractor, Date on which complaint resolved, Total Days taken in Resolving complaint (Days)</t>
  </si>
  <si>
    <t xml:space="preserve">CR Code: OMB-JUN-2026-002; Ref: OM_RA_Bill_Report.pdf – Pressure_Threshold_Report. RA/19/50/2025-26/Q1/1 format.</t>
  </si>
  <si>
    <t xml:space="preserve">Complaint Redressal Sheet</t>
  </si>
  <si>
    <t xml:space="preserve">Complaint Redressal Sheet – add Complaint Received Date to Contractor, Event-above-48-hours flag and Penalty Relaxation (Yes/No) fields; document upload as per submeter reading.</t>
  </si>
  <si>
    <t xml:space="preserve">CR Code: OMB-JUN-2026-003; New CR – extends Residual Pressure CR (OMB-MAY-2026-020) into the Complaint Redressal tab.</t>
  </si>
  <si>
    <t xml:space="preserve">-</t>
  </si>
  <si>
    <t xml:space="preserve">Naming and formatting of all pages and corrections needed on O&amp;M Contractor login</t>
  </si>
  <si>
    <t xml:space="preserve">CR Code: OMB-JULY-2026-005;</t>
  </si>
  <si>
    <t xml:space="preserve">UFW Report taken from Dhara will be shown on O&amp;M Billling Contractor login Page attached with bill</t>
  </si>
  <si>
    <t xml:space="preserve">CR Code: OMB-JULY-2026-006;</t>
  </si>
  <si>
    <t xml:space="preserve">On Contractor Login Only  =&gt; Additional document upload by contractor -  Firm Letter, Tax Invoice and any other document with remark mandatory - ( on New page - "View Bills")</t>
  </si>
  <si>
    <t xml:space="preserve">CR Code: OMB-JULY-2026-007;</t>
  </si>
  <si>
    <t xml:space="preserve">FHTC &amp; Sahbhagita Bug Fix and API Service and External API Updations in both modules</t>
  </si>
  <si>
    <t xml:space="preserve">CR Code: OMB-JULY-2026-008;</t>
  </si>
  <si>
    <t xml:space="preserve">O&amp;M Billing (Aaklan)</t>
  </si>
  <si>
    <t xml:space="preserve">Aakalan</t>
  </si>
  <si>
    <t xml:space="preserve">1 Dhara Report complete and release to O&amp;M billing</t>
  </si>
  <si>
    <t xml:space="preserve">Dhara Report complete and release to O&amp;M billing</t>
  </si>
  <si>
    <t xml:space="preserve">Aaklan Contractor / Dhara</t>
  </si>
  <si>
    <t xml:space="preserve">Contractor to check &amp; Raise any discrepancies within time. Dhara data will be used for billing purposes</t>
  </si>
  <si>
    <t xml:space="preserve">Additional Aaklan Updates</t>
  </si>
  <si>
    <t xml:space="preserve">Pending Bills View – GM Logins</t>
  </si>
  <si>
    <t xml:space="preserve">O&amp;M Billing (Aaklan) – GM (PIU Login) &amp; GM (O&amp;M) / Deputy O&amp;M: View Pending Bills and Manage Bills. Bills already generated shown in table.</t>
  </si>
  <si>
    <t xml:space="preserve">CR Code: OMB-MAY-2026-014; Aaklan module O&amp;M section. GM PIU &amp; GM O&amp;M/Deputy flows defined.</t>
  </si>
  <si>
    <t xml:space="preserve">Parinaam (FHTC)</t>
  </si>
  <si>
    <t xml:space="preserve">Parinam</t>
  </si>
  <si>
    <t xml:space="preserve">Contractor Search Option</t>
  </si>
  <si>
    <t xml:space="preserve">FE name shown in reports</t>
  </si>
  <si>
    <t xml:space="preserve">SVS - Har Ghar Jal (PHE)</t>
  </si>
  <si>
    <t xml:space="preserve">SVS Water Supply Monitoring PHE</t>
  </si>
  <si>
    <t xml:space="preserve">Removed JJM Id, Village status fields</t>
  </si>
  <si>
    <t xml:space="preserve">According to login specific District, Block and GP should appear</t>
  </si>
  <si>
    <t xml:space="preserve">Daily Water Supply Completed - In No option added one more Reason and correct spelling</t>
  </si>
  <si>
    <t xml:space="preserve">Bilingual conversion for SVS Daily Water supply Page (Hindi English) and Report Column Header ( in Hindi)</t>
  </si>
  <si>
    <t xml:space="preserve">Daily Water Supply Entry Form</t>
  </si>
  <si>
    <t xml:space="preserve">New SVS Water Supply Monitoring module - Gram Panchayat/PHE daily water supply data entry form</t>
  </si>
  <si>
    <t xml:space="preserve">Discussed 16-Jun-2026; confirmed Done in 16-Jun MoM (module-level items)</t>
  </si>
  <si>
    <t xml:space="preserve">Form fields: District, Block, GP, Village, No. of Connections Established, Date of Water Supply (Date Picker)</t>
  </si>
  <si>
    <t xml:space="preserve">Water Supply Status field with options: Yes / No / Partial</t>
  </si>
  <si>
    <t xml:space="preserve">If 'No' - Reason for No Supply dropdown (Tubewell Failure, OHT Not Filled by MVS Contractor, Motor Pump Not Working, Valve cum Pump Operator Problem, Electricity Supply Problem, Pipeline Damage, Any Other with Remarks)</t>
  </si>
  <si>
    <t xml:space="preserve">If 'Partial' - Number of Connections Supplied + open Remarks text box</t>
  </si>
  <si>
    <t xml:space="preserve">Partial Edit option (DD) to allow correction of submitted entries</t>
  </si>
  <si>
    <t xml:space="preserve">MP Shashan (Hindi) interface for GP-level users</t>
  </si>
  <si>
    <t xml:space="preserve">District, Block, GP fields pre-filled/default from user profile (login-specific)</t>
  </si>
  <si>
    <t xml:space="preserve">Remove JJM ID and Village Status fields; remove 'hand over to community' field - not required</t>
  </si>
  <si>
    <t xml:space="preserve">LGD code and household data joined in Excel export</t>
  </si>
  <si>
    <t xml:space="preserve">Water Date Picker - calendar control for supply date entry</t>
  </si>
  <si>
    <t xml:space="preserve">Open text box for Remarks in 'No' and 'Partial' supply cases</t>
  </si>
  <si>
    <t xml:space="preserve">Bilingual conversion for SVS Daily Water Supply page and report column headers (Hindi/English)</t>
  </si>
  <si>
    <t xml:space="preserve">Login-specific District, Block and GP auto-population</t>
  </si>
  <si>
    <t xml:space="preserve">Additional 'Reason' option added for Daily Water Supply Completed = No, plus spelling correction</t>
  </si>
  <si>
    <t xml:space="preserve">Sahbhagita</t>
  </si>
  <si>
    <t xml:space="preserve">RA Bill Functionality to be added for Sahbhagita Activity on CP Manager after approve activity</t>
  </si>
  <si>
    <t xml:space="preserve">Sahbhagita Mobile CR</t>
  </si>
  <si>
    <t xml:space="preserve">Add Save as draft functionality for video, images and documents</t>
  </si>
  <si>
    <t xml:space="preserve">Multi-Select Bill Dropdown</t>
  </si>
  <si>
    <t xml:space="preserve">Sahbhagita – Multi-select dropdown for bill selection. RA(1) to RA(12) bill range with Withhold Bills option.</t>
  </si>
  <si>
    <t xml:space="preserve">CR Code: SHB-MAY-2026-007; Generate Abstract → Select Bill → Tag all villages. Village-wise &amp; Combined Activities in scope.</t>
  </si>
  <si>
    <t xml:space="preserve">Hyperlink – Village Activity Document Preview</t>
  </si>
  <si>
    <t xml:space="preserve">Sahbhagita – Hyperlink: Village Name → Village Activity Document Preview popup. Two hyperlinks: (1) Village Name, (2) Village Activity Document (Reviewed) &amp; Other Column names </t>
  </si>
  <si>
    <t xml:space="preserve">CR Code: SHB-MAY-2026-013; Popup with village activity doc preview.</t>
  </si>
  <si>
    <t xml:space="preserve">AI Photo Verification – CP Manager</t>
  </si>
  <si>
    <t xml:space="preserve">Sahbhagita – Future Scope: Photo Scan → Face/Background AI Model (CP Manager). Video option. Duplicate/Repeated photo detection → flag message to CP Manager.</t>
  </si>
  <si>
    <t xml:space="preserve">CR Code: SHB-MAY-2026-012; Future scope. AI model (Photo Scan face + background). Video in scope.</t>
  </si>
  <si>
    <t xml:space="preserve">RA Bill Functionality to be added for Sahbhagita Activity on ISA Manager after approve activity and Edit option.</t>
  </si>
  <si>
    <t xml:space="preserve">At Approval time, Pagination done on Sahbhagita pages</t>
  </si>
  <si>
    <t xml:space="preserve">RA bill given to ISA (instead of CP Manager)</t>
  </si>
  <si>
    <t xml:space="preserve">FE specific to particular ISA are visible to them</t>
  </si>
  <si>
    <t xml:space="preserve">Password reset option given to ISA</t>
  </si>
  <si>
    <t xml:space="preserve">Abstract Bill – Category Filter</t>
  </si>
  <si>
    <t xml:space="preserve">Sahbhagita  – Village-wise and Combined Activity abstract report; Category filter (Village/Combined/All); quarterly RA Bill numbering (RA/1–RA/12) reflected on abstract header.</t>
  </si>
  <si>
    <t xml:space="preserve">CR Code: OMB-JUN-2026-003; New CR – aligns O&amp;M Abstract Bill with Sahbhagita Village/Combined activity structure.</t>
  </si>
  <si>
    <t xml:space="preserve">Activity Report – Village/Combined Category Filter</t>
  </si>
  <si>
    <t xml:space="preserve">Sahbhagita – Report: Category → Activity. Village Wise (32/27 activities) &amp; Combined (22). Filter: V, C, A. Category V/C/A cross-filter. Ref: Sahbhagita_master_activity_matched.xlsx.</t>
  </si>
  <si>
    <t xml:space="preserve">CR Code: SHB-JUN-2026-004; Village 32/27 activities; Combined 22; V/C/A cross-filter. Ref master activity matched xlsx.</t>
  </si>
  <si>
    <t xml:space="preserve">UI/UX</t>
  </si>
  <si>
    <t xml:space="preserve">Change Module sequence on portal</t>
  </si>
  <si>
    <t xml:space="preserve">Jal Rekha UI UX</t>
  </si>
  <si>
    <t xml:space="preserve">Grouping sequence of Left Menu and Color Coding of Menu</t>
  </si>
  <si>
    <t xml:space="preserve">User Manual</t>
  </si>
  <si>
    <t xml:space="preserve">Send in the group</t>
  </si>
  <si>
    <t xml:space="preserve">Vistrit / Master</t>
  </si>
  <si>
    <t xml:space="preserve">Vistrit</t>
  </si>
  <si>
    <t xml:space="preserve">WTP Meter Mapping - New Column Addtion Date, Scheme &amp; PIU</t>
  </si>
  <si>
    <t xml:space="preserve">WTP Meter Name update naming convention - Example Narela-WTP-01</t>
  </si>
  <si>
    <t xml:space="preserve">WTP Meter Mapping, Intake Mapping - New Column addition such as Meter name, No of OHT connections with WTP, District, Block &amp; GP for Intake</t>
  </si>
  <si>
    <t xml:space="preserve">In Scheme Village mapping - Validation applied on Testing and Permitted fields and leave Census Population open at all level</t>
  </si>
  <si>
    <t xml:space="preserve">OHT Issue - For Some OHTs of some Schemes were not visible but visible at FE's Id. Because of Deactivate entries of OHT in Vistrit. Now it is resolved</t>
  </si>
  <si>
    <t xml:space="preserve">Vistrit &amp; Dhara</t>
  </si>
  <si>
    <t xml:space="preserve">All Reports Visible in Contractor Dashboard (Vistrit Data Non Editable)</t>
  </si>
  <si>
    <t xml:space="preserve">Vistrit Report</t>
  </si>
  <si>
    <t xml:space="preserve">On GM login Id add SMS integration functionality &amp; authenticate it through OTP</t>
  </si>
  <si>
    <t xml:space="preserve">Pipeline Master</t>
  </si>
  <si>
    <t xml:space="preserve">Pipeline Master - details and report pages to be completed and released</t>
  </si>
  <si>
    <t xml:space="preserve">All Reports Visible in Contractor login (Vistrit Data Non Editable)</t>
  </si>
  <si>
    <t xml:space="preserve">OTP Verification for GM Login on Scheme, OHT and Bulk Master while Edit Delete</t>
  </si>
  <si>
    <t xml:space="preserve">Web Reports (CGM/PMU)</t>
  </si>
  <si>
    <t xml:space="preserve">All Web Reports</t>
  </si>
  <si>
    <t xml:space="preserve">Enabled Material, Cube &amp; Bharosa Reports on Jal Rekha web user id - CGM,PMU</t>
  </si>
  <si>
    <t xml:space="preserve">MODULE-WISE STATUS SUMMARY (April–July 2026)</t>
  </si>
  <si>
    <t xml:space="preserve">Total Items</t>
  </si>
  <si>
    <t xml:space="preserve">% Complete</t>
  </si>
  <si>
    <t xml:space="preserve">TOTAL</t>
  </si>
</sst>
</file>

<file path=xl/styles.xml><?xml version="1.0" encoding="utf-8"?>
<styleSheet xmlns="http://schemas.openxmlformats.org/spreadsheetml/2006/main">
  <numFmts count="3">
    <numFmt numFmtId="164" formatCode="General"/>
    <numFmt numFmtId="165" formatCode="dd\-mmm\-yyyy"/>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1F3864"/>
      <name val="Arial"/>
      <family val="0"/>
      <charset val="1"/>
    </font>
    <font>
      <b val="true"/>
      <sz val="10"/>
      <color rgb="FFFFFFFF"/>
      <name val="Arial"/>
      <family val="0"/>
      <charset val="1"/>
    </font>
    <font>
      <sz val="9.5"/>
      <name val="Arial"/>
      <family val="0"/>
      <charset val="1"/>
    </font>
    <font>
      <b val="true"/>
      <sz val="9.5"/>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EEAF1"/>
        <bgColor rgb="FFCCFFFF"/>
      </patternFill>
    </fill>
    <fill>
      <patternFill patternType="solid">
        <fgColor rgb="FFC6E0B4"/>
        <bgColor rgb="FFDEEAF1"/>
      </patternFill>
    </fill>
    <fill>
      <patternFill patternType="solid">
        <fgColor rgb="FFFFE699"/>
        <bgColor rgb="FFFFCC99"/>
      </patternFill>
    </fill>
    <fill>
      <patternFill patternType="solid">
        <fgColor rgb="FFC9A227"/>
        <bgColor rgb="FF99CC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DEEAF1"/>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C9A227"/>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6"/>
    <col collapsed="false" customWidth="true" hidden="false" outlineLevel="0" max="4" min="4" style="0" width="52"/>
    <col collapsed="false" customWidth="true" hidden="false" outlineLevel="0" max="5" min="5" style="0" width="20"/>
    <col collapsed="false" customWidth="true" hidden="false" outlineLevel="0" max="6" min="6" style="0" width="14"/>
    <col collapsed="false" customWidth="true" hidden="false" outlineLevel="0" max="8" min="7" style="0" width="13"/>
    <col collapsed="false" customWidth="true" hidden="false" outlineLevel="0" max="9" min="9" style="0" width="12"/>
    <col collapsed="false" customWidth="true" hidden="false" outlineLevel="0" max="10" min="10" style="0" width="40"/>
  </cols>
  <sheetData>
    <row r="1" customFormat="false" ht="25.5" hidden="false" customHeight="true" outlineLevel="0" collapsed="false">
      <c r="A1" s="1" t="s">
        <v>0</v>
      </c>
      <c r="B1" s="1"/>
      <c r="C1" s="1"/>
      <c r="D1" s="1"/>
      <c r="E1" s="1"/>
      <c r="F1" s="1"/>
      <c r="G1" s="1"/>
      <c r="H1" s="1"/>
      <c r="I1" s="1"/>
      <c r="J1" s="1"/>
    </row>
    <row r="2" customFormat="false" ht="27.75" hidden="false" customHeight="true" outlineLevel="0" collapsed="false">
      <c r="A2" s="2" t="s">
        <v>1</v>
      </c>
      <c r="B2" s="2"/>
      <c r="C2" s="2"/>
      <c r="D2" s="2"/>
      <c r="E2" s="2"/>
      <c r="F2" s="2"/>
      <c r="G2" s="2"/>
      <c r="H2" s="2"/>
      <c r="I2" s="2"/>
      <c r="J2" s="2"/>
    </row>
    <row r="3" customFormat="false" ht="30" hidden="false" customHeight="true" outlineLevel="0" collapsed="false">
      <c r="A3" s="3" t="s">
        <v>2</v>
      </c>
      <c r="B3" s="3" t="s">
        <v>3</v>
      </c>
      <c r="C3" s="3" t="s">
        <v>4</v>
      </c>
      <c r="D3" s="3" t="s">
        <v>5</v>
      </c>
      <c r="E3" s="3" t="s">
        <v>6</v>
      </c>
      <c r="F3" s="3" t="s">
        <v>7</v>
      </c>
      <c r="G3" s="3" t="s">
        <v>8</v>
      </c>
      <c r="H3" s="3" t="s">
        <v>9</v>
      </c>
      <c r="I3" s="3" t="s">
        <v>10</v>
      </c>
      <c r="J3" s="3" t="s">
        <v>11</v>
      </c>
    </row>
    <row r="4" customFormat="false" ht="23.85" hidden="false" customHeight="false" outlineLevel="0" collapsed="false">
      <c r="A4" s="4" t="n">
        <v>1</v>
      </c>
      <c r="B4" s="5" t="s">
        <v>12</v>
      </c>
      <c r="C4" s="5" t="s">
        <v>13</v>
      </c>
      <c r="D4" s="5" t="s">
        <v>14</v>
      </c>
      <c r="E4" s="5" t="s">
        <v>15</v>
      </c>
      <c r="F4" s="4" t="s">
        <v>16</v>
      </c>
      <c r="G4" s="6" t="n">
        <v>46140</v>
      </c>
      <c r="H4" s="6" t="n">
        <v>46140</v>
      </c>
      <c r="I4" s="7" t="s">
        <v>17</v>
      </c>
      <c r="J4" s="5" t="s">
        <v>18</v>
      </c>
    </row>
    <row r="5" customFormat="false" ht="23.85" hidden="false" customHeight="false" outlineLevel="0" collapsed="false">
      <c r="A5" s="8" t="n">
        <v>2</v>
      </c>
      <c r="B5" s="9" t="s">
        <v>12</v>
      </c>
      <c r="C5" s="9" t="s">
        <v>19</v>
      </c>
      <c r="D5" s="9" t="s">
        <v>20</v>
      </c>
      <c r="E5" s="9" t="s">
        <v>15</v>
      </c>
      <c r="F5" s="8" t="s">
        <v>21</v>
      </c>
      <c r="G5" s="6" t="n">
        <v>46161</v>
      </c>
      <c r="H5" s="8"/>
      <c r="I5" s="10" t="s">
        <v>22</v>
      </c>
      <c r="J5" s="9" t="s">
        <v>23</v>
      </c>
    </row>
    <row r="6" customFormat="false" ht="23.85" hidden="false" customHeight="false" outlineLevel="0" collapsed="false">
      <c r="A6" s="4" t="n">
        <v>3</v>
      </c>
      <c r="B6" s="5" t="s">
        <v>12</v>
      </c>
      <c r="C6" s="5" t="s">
        <v>24</v>
      </c>
      <c r="D6" s="5" t="s">
        <v>25</v>
      </c>
      <c r="E6" s="5" t="s">
        <v>15</v>
      </c>
      <c r="F6" s="4" t="s">
        <v>21</v>
      </c>
      <c r="G6" s="6" t="n">
        <v>46161</v>
      </c>
      <c r="H6" s="8"/>
      <c r="I6" s="10" t="s">
        <v>22</v>
      </c>
      <c r="J6" s="5" t="s">
        <v>23</v>
      </c>
    </row>
    <row r="7" customFormat="false" ht="23.85" hidden="false" customHeight="false" outlineLevel="0" collapsed="false">
      <c r="A7" s="8" t="n">
        <v>4</v>
      </c>
      <c r="B7" s="9" t="s">
        <v>26</v>
      </c>
      <c r="C7" s="9" t="s">
        <v>27</v>
      </c>
      <c r="D7" s="9" t="s">
        <v>28</v>
      </c>
      <c r="E7" s="9" t="s">
        <v>15</v>
      </c>
      <c r="F7" s="8" t="s">
        <v>16</v>
      </c>
      <c r="G7" s="6" t="n">
        <v>46140</v>
      </c>
      <c r="H7" s="6" t="n">
        <v>46140</v>
      </c>
      <c r="I7" s="7" t="s">
        <v>17</v>
      </c>
      <c r="J7" s="9" t="s">
        <v>18</v>
      </c>
    </row>
    <row r="8" customFormat="false" ht="23.85" hidden="false" customHeight="false" outlineLevel="0" collapsed="false">
      <c r="A8" s="4" t="n">
        <v>5</v>
      </c>
      <c r="B8" s="5" t="s">
        <v>26</v>
      </c>
      <c r="C8" s="5" t="s">
        <v>27</v>
      </c>
      <c r="D8" s="5" t="s">
        <v>29</v>
      </c>
      <c r="E8" s="5" t="s">
        <v>15</v>
      </c>
      <c r="F8" s="4" t="s">
        <v>16</v>
      </c>
      <c r="G8" s="6" t="n">
        <v>46140</v>
      </c>
      <c r="H8" s="6" t="n">
        <v>46161</v>
      </c>
      <c r="I8" s="7" t="s">
        <v>17</v>
      </c>
      <c r="J8" s="5" t="s">
        <v>18</v>
      </c>
    </row>
    <row r="9" customFormat="false" ht="23.85" hidden="false" customHeight="false" outlineLevel="0" collapsed="false">
      <c r="A9" s="8" t="n">
        <v>6</v>
      </c>
      <c r="B9" s="9" t="s">
        <v>26</v>
      </c>
      <c r="C9" s="9" t="s">
        <v>27</v>
      </c>
      <c r="D9" s="9" t="s">
        <v>30</v>
      </c>
      <c r="E9" s="9" t="s">
        <v>15</v>
      </c>
      <c r="F9" s="8" t="s">
        <v>16</v>
      </c>
      <c r="G9" s="6" t="n">
        <v>46140</v>
      </c>
      <c r="H9" s="6" t="n">
        <v>46140</v>
      </c>
      <c r="I9" s="7" t="s">
        <v>17</v>
      </c>
      <c r="J9" s="9" t="s">
        <v>18</v>
      </c>
    </row>
    <row r="10" customFormat="false" ht="23.85" hidden="false" customHeight="false" outlineLevel="0" collapsed="false">
      <c r="A10" s="4" t="n">
        <v>7</v>
      </c>
      <c r="B10" s="5" t="s">
        <v>31</v>
      </c>
      <c r="C10" s="5" t="s">
        <v>31</v>
      </c>
      <c r="D10" s="5" t="s">
        <v>32</v>
      </c>
      <c r="E10" s="5" t="s">
        <v>15</v>
      </c>
      <c r="F10" s="4" t="s">
        <v>16</v>
      </c>
      <c r="G10" s="6" t="n">
        <v>46140</v>
      </c>
      <c r="H10" s="6" t="n">
        <v>46140</v>
      </c>
      <c r="I10" s="7" t="s">
        <v>17</v>
      </c>
      <c r="J10" s="5" t="s">
        <v>18</v>
      </c>
    </row>
    <row r="11" customFormat="false" ht="23.85" hidden="false" customHeight="false" outlineLevel="0" collapsed="false">
      <c r="A11" s="8" t="n">
        <v>8</v>
      </c>
      <c r="B11" s="9" t="s">
        <v>33</v>
      </c>
      <c r="C11" s="9" t="s">
        <v>33</v>
      </c>
      <c r="D11" s="9" t="s">
        <v>34</v>
      </c>
      <c r="E11" s="9" t="s">
        <v>15</v>
      </c>
      <c r="F11" s="8" t="s">
        <v>16</v>
      </c>
      <c r="G11" s="6" t="n">
        <v>46140</v>
      </c>
      <c r="H11" s="6" t="n">
        <v>46140</v>
      </c>
      <c r="I11" s="7" t="s">
        <v>17</v>
      </c>
      <c r="J11" s="9" t="s">
        <v>18</v>
      </c>
    </row>
    <row r="12" customFormat="false" ht="23.85" hidden="false" customHeight="false" outlineLevel="0" collapsed="false">
      <c r="A12" s="4" t="n">
        <v>9</v>
      </c>
      <c r="B12" s="5" t="s">
        <v>35</v>
      </c>
      <c r="C12" s="5" t="s">
        <v>36</v>
      </c>
      <c r="D12" s="5" t="s">
        <v>37</v>
      </c>
      <c r="E12" s="5" t="s">
        <v>15</v>
      </c>
      <c r="F12" s="4" t="s">
        <v>21</v>
      </c>
      <c r="G12" s="6" t="n">
        <v>46161</v>
      </c>
      <c r="H12" s="6" t="n">
        <v>46161</v>
      </c>
      <c r="I12" s="7" t="s">
        <v>17</v>
      </c>
      <c r="J12" s="5" t="s">
        <v>23</v>
      </c>
    </row>
    <row r="13" customFormat="false" ht="23.85" hidden="false" customHeight="false" outlineLevel="0" collapsed="false">
      <c r="A13" s="8" t="n">
        <v>10</v>
      </c>
      <c r="B13" s="9" t="s">
        <v>35</v>
      </c>
      <c r="C13" s="9" t="s">
        <v>38</v>
      </c>
      <c r="D13" s="9" t="s">
        <v>39</v>
      </c>
      <c r="E13" s="9" t="s">
        <v>15</v>
      </c>
      <c r="F13" s="8" t="s">
        <v>21</v>
      </c>
      <c r="G13" s="6" t="n">
        <v>46161</v>
      </c>
      <c r="H13" s="8"/>
      <c r="I13" s="10" t="s">
        <v>22</v>
      </c>
      <c r="J13" s="9" t="s">
        <v>23</v>
      </c>
    </row>
    <row r="14" customFormat="false" ht="23.85" hidden="false" customHeight="false" outlineLevel="0" collapsed="false">
      <c r="A14" s="4" t="n">
        <v>11</v>
      </c>
      <c r="B14" s="5" t="s">
        <v>40</v>
      </c>
      <c r="C14" s="5" t="s">
        <v>41</v>
      </c>
      <c r="D14" s="5" t="s">
        <v>42</v>
      </c>
      <c r="E14" s="5" t="s">
        <v>15</v>
      </c>
      <c r="F14" s="4" t="s">
        <v>16</v>
      </c>
      <c r="G14" s="6" t="n">
        <v>46140</v>
      </c>
      <c r="H14" s="6" t="n">
        <v>46140</v>
      </c>
      <c r="I14" s="7" t="s">
        <v>17</v>
      </c>
      <c r="J14" s="5" t="s">
        <v>18</v>
      </c>
    </row>
    <row r="15" customFormat="false" ht="23.85" hidden="false" customHeight="false" outlineLevel="0" collapsed="false">
      <c r="A15" s="8" t="n">
        <v>12</v>
      </c>
      <c r="B15" s="9" t="s">
        <v>40</v>
      </c>
      <c r="C15" s="9" t="s">
        <v>41</v>
      </c>
      <c r="D15" s="9" t="s">
        <v>43</v>
      </c>
      <c r="E15" s="9" t="s">
        <v>15</v>
      </c>
      <c r="F15" s="8" t="s">
        <v>16</v>
      </c>
      <c r="G15" s="6" t="n">
        <v>46140</v>
      </c>
      <c r="H15" s="6" t="n">
        <v>46140</v>
      </c>
      <c r="I15" s="7" t="s">
        <v>17</v>
      </c>
      <c r="J15" s="9" t="s">
        <v>18</v>
      </c>
    </row>
    <row r="16" customFormat="false" ht="23.85" hidden="false" customHeight="false" outlineLevel="0" collapsed="false">
      <c r="A16" s="4" t="n">
        <v>13</v>
      </c>
      <c r="B16" s="5" t="s">
        <v>40</v>
      </c>
      <c r="C16" s="5" t="s">
        <v>41</v>
      </c>
      <c r="D16" s="5" t="s">
        <v>44</v>
      </c>
      <c r="E16" s="5" t="s">
        <v>15</v>
      </c>
      <c r="F16" s="4" t="s">
        <v>21</v>
      </c>
      <c r="G16" s="6" t="n">
        <v>46161</v>
      </c>
      <c r="H16" s="6" t="n">
        <v>46161</v>
      </c>
      <c r="I16" s="7" t="s">
        <v>17</v>
      </c>
      <c r="J16" s="5" t="s">
        <v>18</v>
      </c>
    </row>
    <row r="17" customFormat="false" ht="23.85" hidden="false" customHeight="false" outlineLevel="0" collapsed="false">
      <c r="A17" s="8" t="n">
        <v>14</v>
      </c>
      <c r="B17" s="9" t="s">
        <v>40</v>
      </c>
      <c r="C17" s="9" t="s">
        <v>45</v>
      </c>
      <c r="D17" s="9" t="s">
        <v>46</v>
      </c>
      <c r="E17" s="9" t="s">
        <v>15</v>
      </c>
      <c r="F17" s="8" t="s">
        <v>21</v>
      </c>
      <c r="G17" s="6" t="n">
        <v>46161</v>
      </c>
      <c r="H17" s="6" t="n">
        <v>46161</v>
      </c>
      <c r="I17" s="7" t="s">
        <v>17</v>
      </c>
      <c r="J17" s="9" t="s">
        <v>47</v>
      </c>
    </row>
    <row r="18" customFormat="false" ht="23.85" hidden="false" customHeight="false" outlineLevel="0" collapsed="false">
      <c r="A18" s="4" t="n">
        <v>15</v>
      </c>
      <c r="B18" s="5" t="s">
        <v>40</v>
      </c>
      <c r="C18" s="5" t="s">
        <v>45</v>
      </c>
      <c r="D18" s="5" t="s">
        <v>48</v>
      </c>
      <c r="E18" s="5" t="s">
        <v>15</v>
      </c>
      <c r="F18" s="4" t="s">
        <v>49</v>
      </c>
      <c r="G18" s="6" t="n">
        <v>46182</v>
      </c>
      <c r="H18" s="6" t="n">
        <v>46182</v>
      </c>
      <c r="I18" s="7" t="s">
        <v>17</v>
      </c>
      <c r="J18" s="5" t="s">
        <v>18</v>
      </c>
    </row>
    <row r="19" customFormat="false" ht="23.85" hidden="false" customHeight="false" outlineLevel="0" collapsed="false">
      <c r="A19" s="8" t="n">
        <v>16</v>
      </c>
      <c r="B19" s="9" t="s">
        <v>40</v>
      </c>
      <c r="C19" s="9" t="s">
        <v>40</v>
      </c>
      <c r="D19" s="9" t="s">
        <v>50</v>
      </c>
      <c r="E19" s="9" t="s">
        <v>15</v>
      </c>
      <c r="F19" s="8" t="s">
        <v>49</v>
      </c>
      <c r="G19" s="6" t="n">
        <v>46189</v>
      </c>
      <c r="H19" s="6" t="n">
        <v>46189</v>
      </c>
      <c r="I19" s="7" t="s">
        <v>17</v>
      </c>
      <c r="J19" s="9" t="s">
        <v>18</v>
      </c>
    </row>
    <row r="20" customFormat="false" ht="23.85" hidden="false" customHeight="false" outlineLevel="0" collapsed="false">
      <c r="A20" s="4" t="n">
        <v>17</v>
      </c>
      <c r="B20" s="5" t="s">
        <v>40</v>
      </c>
      <c r="C20" s="5" t="s">
        <v>40</v>
      </c>
      <c r="D20" s="5" t="s">
        <v>51</v>
      </c>
      <c r="E20" s="5" t="s">
        <v>15</v>
      </c>
      <c r="F20" s="4" t="s">
        <v>49</v>
      </c>
      <c r="G20" s="6" t="n">
        <v>46189</v>
      </c>
      <c r="H20" s="6" t="n">
        <v>46189</v>
      </c>
      <c r="I20" s="7" t="s">
        <v>17</v>
      </c>
      <c r="J20" s="5" t="s">
        <v>18</v>
      </c>
    </row>
    <row r="21" customFormat="false" ht="23.85" hidden="false" customHeight="false" outlineLevel="0" collapsed="false">
      <c r="A21" s="8" t="n">
        <v>18</v>
      </c>
      <c r="B21" s="9" t="s">
        <v>40</v>
      </c>
      <c r="C21" s="9" t="s">
        <v>52</v>
      </c>
      <c r="D21" s="9" t="s">
        <v>53</v>
      </c>
      <c r="E21" s="9" t="s">
        <v>54</v>
      </c>
      <c r="F21" s="8" t="s">
        <v>49</v>
      </c>
      <c r="G21" s="6" t="n">
        <v>46189</v>
      </c>
      <c r="H21" s="6" t="n">
        <v>46211</v>
      </c>
      <c r="I21" s="7" t="s">
        <v>17</v>
      </c>
      <c r="J21" s="9" t="s">
        <v>55</v>
      </c>
    </row>
    <row r="22" customFormat="false" ht="23.85" hidden="false" customHeight="false" outlineLevel="0" collapsed="false">
      <c r="A22" s="4" t="n">
        <v>19</v>
      </c>
      <c r="B22" s="5" t="s">
        <v>56</v>
      </c>
      <c r="C22" s="5" t="s">
        <v>57</v>
      </c>
      <c r="D22" s="5" t="s">
        <v>58</v>
      </c>
      <c r="E22" s="5" t="s">
        <v>15</v>
      </c>
      <c r="F22" s="4" t="s">
        <v>21</v>
      </c>
      <c r="G22" s="6" t="n">
        <v>46161</v>
      </c>
      <c r="H22" s="6" t="n">
        <v>46182</v>
      </c>
      <c r="I22" s="7" t="s">
        <v>17</v>
      </c>
      <c r="J22" s="5" t="s">
        <v>18</v>
      </c>
    </row>
    <row r="23" customFormat="false" ht="23.85" hidden="false" customHeight="false" outlineLevel="0" collapsed="false">
      <c r="A23" s="8" t="n">
        <v>20</v>
      </c>
      <c r="B23" s="9" t="s">
        <v>59</v>
      </c>
      <c r="C23" s="9" t="s">
        <v>59</v>
      </c>
      <c r="D23" s="9" t="s">
        <v>60</v>
      </c>
      <c r="E23" s="9" t="s">
        <v>15</v>
      </c>
      <c r="F23" s="8" t="s">
        <v>16</v>
      </c>
      <c r="G23" s="6" t="n">
        <v>46140</v>
      </c>
      <c r="H23" s="6" t="n">
        <v>46161</v>
      </c>
      <c r="I23" s="7" t="s">
        <v>17</v>
      </c>
      <c r="J23" s="9" t="s">
        <v>18</v>
      </c>
    </row>
    <row r="24" customFormat="false" ht="23.85" hidden="false" customHeight="false" outlineLevel="0" collapsed="false">
      <c r="A24" s="4" t="n">
        <v>21</v>
      </c>
      <c r="B24" s="5" t="s">
        <v>59</v>
      </c>
      <c r="C24" s="5" t="s">
        <v>59</v>
      </c>
      <c r="D24" s="5" t="s">
        <v>61</v>
      </c>
      <c r="E24" s="5" t="s">
        <v>15</v>
      </c>
      <c r="F24" s="4" t="s">
        <v>21</v>
      </c>
      <c r="G24" s="6" t="n">
        <v>46161</v>
      </c>
      <c r="H24" s="6" t="n">
        <v>46182</v>
      </c>
      <c r="I24" s="7" t="s">
        <v>17</v>
      </c>
      <c r="J24" s="5" t="s">
        <v>18</v>
      </c>
    </row>
    <row r="25" customFormat="false" ht="23.85" hidden="false" customHeight="false" outlineLevel="0" collapsed="false">
      <c r="A25" s="8" t="n">
        <v>22</v>
      </c>
      <c r="B25" s="9" t="s">
        <v>59</v>
      </c>
      <c r="C25" s="9" t="s">
        <v>62</v>
      </c>
      <c r="D25" s="9" t="s">
        <v>63</v>
      </c>
      <c r="E25" s="9" t="s">
        <v>15</v>
      </c>
      <c r="F25" s="8" t="s">
        <v>21</v>
      </c>
      <c r="G25" s="6" t="n">
        <v>46161</v>
      </c>
      <c r="H25" s="8"/>
      <c r="I25" s="10" t="s">
        <v>22</v>
      </c>
      <c r="J25" s="9" t="s">
        <v>23</v>
      </c>
    </row>
    <row r="26" customFormat="false" ht="23.85" hidden="false" customHeight="false" outlineLevel="0" collapsed="false">
      <c r="A26" s="4" t="n">
        <v>23</v>
      </c>
      <c r="B26" s="5" t="s">
        <v>59</v>
      </c>
      <c r="C26" s="5" t="s">
        <v>62</v>
      </c>
      <c r="D26" s="5" t="s">
        <v>64</v>
      </c>
      <c r="E26" s="5" t="s">
        <v>15</v>
      </c>
      <c r="F26" s="4" t="s">
        <v>21</v>
      </c>
      <c r="G26" s="6" t="n">
        <v>46161</v>
      </c>
      <c r="H26" s="8"/>
      <c r="I26" s="10" t="s">
        <v>22</v>
      </c>
      <c r="J26" s="5" t="s">
        <v>23</v>
      </c>
    </row>
    <row r="27" customFormat="false" ht="35.05" hidden="false" customHeight="false" outlineLevel="0" collapsed="false">
      <c r="A27" s="8" t="n">
        <v>24</v>
      </c>
      <c r="B27" s="9" t="s">
        <v>59</v>
      </c>
      <c r="C27" s="9" t="s">
        <v>65</v>
      </c>
      <c r="D27" s="9" t="s">
        <v>66</v>
      </c>
      <c r="E27" s="9" t="s">
        <v>54</v>
      </c>
      <c r="F27" s="8" t="s">
        <v>49</v>
      </c>
      <c r="G27" s="6" t="n">
        <v>46174</v>
      </c>
      <c r="H27" s="8"/>
      <c r="I27" s="10" t="s">
        <v>22</v>
      </c>
      <c r="J27" s="9" t="s">
        <v>67</v>
      </c>
    </row>
    <row r="28" customFormat="false" ht="35.05" hidden="false" customHeight="false" outlineLevel="0" collapsed="false">
      <c r="A28" s="4" t="n">
        <v>25</v>
      </c>
      <c r="B28" s="5" t="s">
        <v>59</v>
      </c>
      <c r="C28" s="5" t="s">
        <v>68</v>
      </c>
      <c r="D28" s="5" t="s">
        <v>69</v>
      </c>
      <c r="E28" s="5" t="s">
        <v>54</v>
      </c>
      <c r="F28" s="4" t="s">
        <v>49</v>
      </c>
      <c r="G28" s="6" t="n">
        <v>46176</v>
      </c>
      <c r="H28" s="8"/>
      <c r="I28" s="10" t="s">
        <v>22</v>
      </c>
      <c r="J28" s="5" t="s">
        <v>70</v>
      </c>
    </row>
    <row r="29" customFormat="false" ht="23.85" hidden="false" customHeight="false" outlineLevel="0" collapsed="false">
      <c r="A29" s="8" t="n">
        <v>26</v>
      </c>
      <c r="B29" s="9" t="s">
        <v>59</v>
      </c>
      <c r="C29" s="9" t="s">
        <v>71</v>
      </c>
      <c r="D29" s="9" t="s">
        <v>72</v>
      </c>
      <c r="E29" s="9" t="s">
        <v>15</v>
      </c>
      <c r="F29" s="8" t="s">
        <v>49</v>
      </c>
      <c r="G29" s="6" t="n">
        <v>46182</v>
      </c>
      <c r="H29" s="6" t="n">
        <v>46182</v>
      </c>
      <c r="I29" s="7" t="s">
        <v>17</v>
      </c>
      <c r="J29" s="9" t="s">
        <v>18</v>
      </c>
    </row>
    <row r="30" customFormat="false" ht="23.85" hidden="false" customHeight="false" outlineLevel="0" collapsed="false">
      <c r="A30" s="4" t="n">
        <v>27</v>
      </c>
      <c r="B30" s="5" t="s">
        <v>73</v>
      </c>
      <c r="C30" s="5" t="s">
        <v>74</v>
      </c>
      <c r="D30" s="5" t="s">
        <v>75</v>
      </c>
      <c r="E30" s="5" t="s">
        <v>15</v>
      </c>
      <c r="F30" s="4" t="s">
        <v>21</v>
      </c>
      <c r="G30" s="6" t="n">
        <v>46161</v>
      </c>
      <c r="H30" s="8"/>
      <c r="I30" s="10" t="s">
        <v>22</v>
      </c>
      <c r="J30" s="5" t="s">
        <v>23</v>
      </c>
    </row>
    <row r="31" customFormat="false" ht="23.85" hidden="false" customHeight="false" outlineLevel="0" collapsed="false">
      <c r="A31" s="8" t="n">
        <v>28</v>
      </c>
      <c r="B31" s="9" t="s">
        <v>73</v>
      </c>
      <c r="C31" s="9" t="s">
        <v>74</v>
      </c>
      <c r="D31" s="9" t="s">
        <v>76</v>
      </c>
      <c r="E31" s="9" t="s">
        <v>15</v>
      </c>
      <c r="F31" s="8" t="s">
        <v>21</v>
      </c>
      <c r="G31" s="6" t="n">
        <v>46161</v>
      </c>
      <c r="H31" s="8"/>
      <c r="I31" s="10" t="s">
        <v>22</v>
      </c>
      <c r="J31" s="9" t="s">
        <v>23</v>
      </c>
    </row>
    <row r="32" customFormat="false" ht="23.85" hidden="false" customHeight="false" outlineLevel="0" collapsed="false">
      <c r="A32" s="4" t="n">
        <v>29</v>
      </c>
      <c r="B32" s="5" t="s">
        <v>73</v>
      </c>
      <c r="C32" s="5" t="s">
        <v>74</v>
      </c>
      <c r="D32" s="5" t="s">
        <v>77</v>
      </c>
      <c r="E32" s="5" t="s">
        <v>15</v>
      </c>
      <c r="F32" s="4" t="s">
        <v>21</v>
      </c>
      <c r="G32" s="6" t="n">
        <v>46161</v>
      </c>
      <c r="H32" s="8"/>
      <c r="I32" s="10" t="s">
        <v>22</v>
      </c>
      <c r="J32" s="5" t="s">
        <v>23</v>
      </c>
    </row>
    <row r="33" customFormat="false" ht="23.85" hidden="false" customHeight="false" outlineLevel="0" collapsed="false">
      <c r="A33" s="8" t="n">
        <v>30</v>
      </c>
      <c r="B33" s="9" t="s">
        <v>78</v>
      </c>
      <c r="C33" s="9" t="s">
        <v>79</v>
      </c>
      <c r="D33" s="9" t="s">
        <v>80</v>
      </c>
      <c r="E33" s="9" t="s">
        <v>15</v>
      </c>
      <c r="F33" s="8" t="s">
        <v>16</v>
      </c>
      <c r="G33" s="6" t="n">
        <v>46140</v>
      </c>
      <c r="H33" s="6" t="n">
        <v>46140</v>
      </c>
      <c r="I33" s="7" t="s">
        <v>17</v>
      </c>
      <c r="J33" s="9" t="s">
        <v>18</v>
      </c>
    </row>
    <row r="34" customFormat="false" ht="23.85" hidden="false" customHeight="false" outlineLevel="0" collapsed="false">
      <c r="A34" s="4" t="n">
        <v>31</v>
      </c>
      <c r="B34" s="5" t="s">
        <v>78</v>
      </c>
      <c r="C34" s="5" t="s">
        <v>81</v>
      </c>
      <c r="D34" s="5" t="s">
        <v>82</v>
      </c>
      <c r="E34" s="5" t="s">
        <v>15</v>
      </c>
      <c r="F34" s="4" t="s">
        <v>16</v>
      </c>
      <c r="G34" s="6" t="n">
        <v>46140</v>
      </c>
      <c r="H34" s="6" t="n">
        <v>46140</v>
      </c>
      <c r="I34" s="7" t="s">
        <v>17</v>
      </c>
      <c r="J34" s="5" t="s">
        <v>18</v>
      </c>
    </row>
    <row r="35" customFormat="false" ht="23.85" hidden="false" customHeight="false" outlineLevel="0" collapsed="false">
      <c r="A35" s="8" t="n">
        <v>32</v>
      </c>
      <c r="B35" s="9" t="s">
        <v>78</v>
      </c>
      <c r="C35" s="9" t="s">
        <v>83</v>
      </c>
      <c r="D35" s="9" t="s">
        <v>84</v>
      </c>
      <c r="E35" s="9" t="s">
        <v>15</v>
      </c>
      <c r="F35" s="8" t="s">
        <v>16</v>
      </c>
      <c r="G35" s="6" t="n">
        <v>46140</v>
      </c>
      <c r="H35" s="6" t="n">
        <v>46140</v>
      </c>
      <c r="I35" s="7" t="s">
        <v>17</v>
      </c>
      <c r="J35" s="9" t="s">
        <v>18</v>
      </c>
    </row>
    <row r="36" customFormat="false" ht="23.85" hidden="false" customHeight="false" outlineLevel="0" collapsed="false">
      <c r="A36" s="4" t="n">
        <v>33</v>
      </c>
      <c r="B36" s="5" t="s">
        <v>78</v>
      </c>
      <c r="C36" s="5" t="s">
        <v>85</v>
      </c>
      <c r="D36" s="5" t="s">
        <v>86</v>
      </c>
      <c r="E36" s="5" t="s">
        <v>15</v>
      </c>
      <c r="F36" s="4" t="s">
        <v>16</v>
      </c>
      <c r="G36" s="6" t="n">
        <v>46140</v>
      </c>
      <c r="H36" s="6" t="n">
        <v>46140</v>
      </c>
      <c r="I36" s="7" t="s">
        <v>17</v>
      </c>
      <c r="J36" s="5" t="s">
        <v>18</v>
      </c>
    </row>
    <row r="37" customFormat="false" ht="23.85" hidden="false" customHeight="false" outlineLevel="0" collapsed="false">
      <c r="A37" s="8" t="n">
        <v>34</v>
      </c>
      <c r="B37" s="9" t="s">
        <v>78</v>
      </c>
      <c r="C37" s="9" t="s">
        <v>78</v>
      </c>
      <c r="D37" s="9" t="s">
        <v>87</v>
      </c>
      <c r="E37" s="9" t="s">
        <v>15</v>
      </c>
      <c r="F37" s="8" t="s">
        <v>16</v>
      </c>
      <c r="G37" s="6" t="n">
        <v>46140</v>
      </c>
      <c r="H37" s="6" t="n">
        <v>46140</v>
      </c>
      <c r="I37" s="7" t="s">
        <v>17</v>
      </c>
      <c r="J37" s="9" t="s">
        <v>18</v>
      </c>
    </row>
    <row r="38" customFormat="false" ht="23.85" hidden="false" customHeight="false" outlineLevel="0" collapsed="false">
      <c r="A38" s="4" t="n">
        <v>35</v>
      </c>
      <c r="B38" s="5" t="s">
        <v>78</v>
      </c>
      <c r="C38" s="5" t="s">
        <v>78</v>
      </c>
      <c r="D38" s="5" t="s">
        <v>88</v>
      </c>
      <c r="E38" s="5" t="s">
        <v>15</v>
      </c>
      <c r="F38" s="4" t="s">
        <v>16</v>
      </c>
      <c r="G38" s="6" t="n">
        <v>46140</v>
      </c>
      <c r="H38" s="6" t="n">
        <v>46140</v>
      </c>
      <c r="I38" s="7" t="s">
        <v>17</v>
      </c>
      <c r="J38" s="5" t="s">
        <v>18</v>
      </c>
    </row>
    <row r="39" customFormat="false" ht="46.25" hidden="false" customHeight="false" outlineLevel="0" collapsed="false">
      <c r="A39" s="8" t="n">
        <v>36</v>
      </c>
      <c r="B39" s="9" t="s">
        <v>78</v>
      </c>
      <c r="C39" s="9" t="s">
        <v>89</v>
      </c>
      <c r="D39" s="9" t="s">
        <v>90</v>
      </c>
      <c r="E39" s="9" t="s">
        <v>54</v>
      </c>
      <c r="F39" s="8" t="s">
        <v>49</v>
      </c>
      <c r="G39" s="6" t="n">
        <v>46191</v>
      </c>
      <c r="H39" s="8"/>
      <c r="I39" s="10" t="s">
        <v>22</v>
      </c>
      <c r="J39" s="9" t="s">
        <v>91</v>
      </c>
    </row>
    <row r="40" customFormat="false" ht="57.45" hidden="false" customHeight="false" outlineLevel="0" collapsed="false">
      <c r="A40" s="4" t="n">
        <v>37</v>
      </c>
      <c r="B40" s="5" t="s">
        <v>92</v>
      </c>
      <c r="C40" s="5" t="s">
        <v>93</v>
      </c>
      <c r="D40" s="5" t="s">
        <v>94</v>
      </c>
      <c r="E40" s="5" t="s">
        <v>54</v>
      </c>
      <c r="F40" s="4" t="s">
        <v>49</v>
      </c>
      <c r="G40" s="6" t="n">
        <v>46193</v>
      </c>
      <c r="H40" s="8"/>
      <c r="I40" s="10" t="s">
        <v>22</v>
      </c>
      <c r="J40" s="5" t="s">
        <v>95</v>
      </c>
    </row>
    <row r="41" customFormat="false" ht="46.25" hidden="false" customHeight="false" outlineLevel="0" collapsed="false">
      <c r="A41" s="8" t="n">
        <v>38</v>
      </c>
      <c r="B41" s="9" t="s">
        <v>92</v>
      </c>
      <c r="C41" s="9" t="s">
        <v>96</v>
      </c>
      <c r="D41" s="9" t="s">
        <v>97</v>
      </c>
      <c r="E41" s="9" t="s">
        <v>54</v>
      </c>
      <c r="F41" s="8" t="s">
        <v>49</v>
      </c>
      <c r="G41" s="6" t="n">
        <v>46193</v>
      </c>
      <c r="H41" s="8"/>
      <c r="I41" s="10" t="s">
        <v>22</v>
      </c>
      <c r="J41" s="9" t="s">
        <v>98</v>
      </c>
    </row>
    <row r="42" customFormat="false" ht="35.05" hidden="false" customHeight="false" outlineLevel="0" collapsed="false">
      <c r="A42" s="4" t="n">
        <v>39</v>
      </c>
      <c r="B42" s="5" t="s">
        <v>99</v>
      </c>
      <c r="C42" s="5" t="s">
        <v>99</v>
      </c>
      <c r="D42" s="5" t="s">
        <v>100</v>
      </c>
      <c r="E42" s="5" t="s">
        <v>15</v>
      </c>
      <c r="F42" s="4" t="s">
        <v>49</v>
      </c>
      <c r="G42" s="6" t="n">
        <v>46189</v>
      </c>
      <c r="H42" s="6" t="n">
        <v>46189</v>
      </c>
      <c r="I42" s="7" t="s">
        <v>17</v>
      </c>
      <c r="J42" s="5" t="s">
        <v>18</v>
      </c>
    </row>
    <row r="43" customFormat="false" ht="23.85" hidden="false" customHeight="false" outlineLevel="0" collapsed="false">
      <c r="A43" s="8" t="n">
        <v>40</v>
      </c>
      <c r="B43" s="9" t="s">
        <v>99</v>
      </c>
      <c r="C43" s="9" t="s">
        <v>99</v>
      </c>
      <c r="D43" s="9" t="s">
        <v>101</v>
      </c>
      <c r="E43" s="9" t="s">
        <v>15</v>
      </c>
      <c r="F43" s="8" t="s">
        <v>49</v>
      </c>
      <c r="G43" s="6" t="n">
        <v>46189</v>
      </c>
      <c r="H43" s="6" t="n">
        <v>46189</v>
      </c>
      <c r="I43" s="7" t="s">
        <v>17</v>
      </c>
      <c r="J43" s="9" t="s">
        <v>18</v>
      </c>
    </row>
    <row r="44" customFormat="false" ht="23.85" hidden="false" customHeight="false" outlineLevel="0" collapsed="false">
      <c r="A44" s="4" t="n">
        <v>41</v>
      </c>
      <c r="B44" s="5" t="s">
        <v>99</v>
      </c>
      <c r="C44" s="5" t="s">
        <v>99</v>
      </c>
      <c r="D44" s="5" t="s">
        <v>102</v>
      </c>
      <c r="E44" s="5" t="s">
        <v>15</v>
      </c>
      <c r="F44" s="4" t="s">
        <v>49</v>
      </c>
      <c r="G44" s="6" t="n">
        <v>46189</v>
      </c>
      <c r="H44" s="6" t="n">
        <v>46189</v>
      </c>
      <c r="I44" s="7" t="s">
        <v>17</v>
      </c>
      <c r="J44" s="5" t="s">
        <v>18</v>
      </c>
    </row>
    <row r="45" customFormat="false" ht="35.05" hidden="false" customHeight="false" outlineLevel="0" collapsed="false">
      <c r="A45" s="8" t="n">
        <v>42</v>
      </c>
      <c r="B45" s="9" t="s">
        <v>99</v>
      </c>
      <c r="C45" s="9" t="s">
        <v>99</v>
      </c>
      <c r="D45" s="9" t="s">
        <v>103</v>
      </c>
      <c r="E45" s="9" t="s">
        <v>15</v>
      </c>
      <c r="F45" s="8" t="s">
        <v>49</v>
      </c>
      <c r="G45" s="6" t="n">
        <v>46189</v>
      </c>
      <c r="H45" s="6" t="n">
        <v>46189</v>
      </c>
      <c r="I45" s="7" t="s">
        <v>17</v>
      </c>
      <c r="J45" s="9" t="s">
        <v>18</v>
      </c>
    </row>
    <row r="46" customFormat="false" ht="23.85" hidden="false" customHeight="false" outlineLevel="0" collapsed="false">
      <c r="A46" s="4" t="n">
        <v>43</v>
      </c>
      <c r="B46" s="5" t="s">
        <v>99</v>
      </c>
      <c r="C46" s="5" t="s">
        <v>99</v>
      </c>
      <c r="D46" s="5" t="s">
        <v>104</v>
      </c>
      <c r="E46" s="5" t="s">
        <v>15</v>
      </c>
      <c r="F46" s="4" t="s">
        <v>49</v>
      </c>
      <c r="G46" s="6" t="n">
        <v>46189</v>
      </c>
      <c r="H46" s="6" t="n">
        <v>46189</v>
      </c>
      <c r="I46" s="7" t="s">
        <v>17</v>
      </c>
      <c r="J46" s="5" t="s">
        <v>18</v>
      </c>
    </row>
    <row r="47" customFormat="false" ht="23.85" hidden="false" customHeight="false" outlineLevel="0" collapsed="false">
      <c r="A47" s="8" t="n">
        <v>44</v>
      </c>
      <c r="B47" s="9" t="s">
        <v>105</v>
      </c>
      <c r="C47" s="9" t="s">
        <v>106</v>
      </c>
      <c r="D47" s="9" t="s">
        <v>107</v>
      </c>
      <c r="E47" s="9" t="s">
        <v>15</v>
      </c>
      <c r="F47" s="8" t="s">
        <v>16</v>
      </c>
      <c r="G47" s="6" t="n">
        <v>46140</v>
      </c>
      <c r="H47" s="8"/>
      <c r="I47" s="10" t="s">
        <v>22</v>
      </c>
      <c r="J47" s="9" t="s">
        <v>108</v>
      </c>
    </row>
    <row r="48" customFormat="false" ht="23.85" hidden="false" customHeight="false" outlineLevel="0" collapsed="false">
      <c r="A48" s="4" t="n">
        <v>45</v>
      </c>
      <c r="B48" s="5" t="s">
        <v>105</v>
      </c>
      <c r="C48" s="5" t="s">
        <v>109</v>
      </c>
      <c r="D48" s="5" t="s">
        <v>110</v>
      </c>
      <c r="E48" s="5" t="s">
        <v>15</v>
      </c>
      <c r="F48" s="4" t="s">
        <v>16</v>
      </c>
      <c r="G48" s="6" t="n">
        <v>46140</v>
      </c>
      <c r="H48" s="6" t="n">
        <v>46140</v>
      </c>
      <c r="I48" s="7" t="s">
        <v>17</v>
      </c>
      <c r="J48" s="5" t="s">
        <v>18</v>
      </c>
    </row>
    <row r="49" customFormat="false" ht="23.85" hidden="false" customHeight="false" outlineLevel="0" collapsed="false">
      <c r="A49" s="8" t="n">
        <v>46</v>
      </c>
      <c r="B49" s="9" t="s">
        <v>105</v>
      </c>
      <c r="C49" s="9" t="s">
        <v>111</v>
      </c>
      <c r="D49" s="9" t="s">
        <v>112</v>
      </c>
      <c r="E49" s="9" t="s">
        <v>15</v>
      </c>
      <c r="F49" s="8" t="s">
        <v>16</v>
      </c>
      <c r="G49" s="6" t="n">
        <v>46140</v>
      </c>
      <c r="H49" s="6" t="n">
        <v>46140</v>
      </c>
      <c r="I49" s="7" t="s">
        <v>17</v>
      </c>
      <c r="J49" s="9" t="s">
        <v>18</v>
      </c>
    </row>
    <row r="50" customFormat="false" ht="23.85" hidden="false" customHeight="false" outlineLevel="0" collapsed="false">
      <c r="A50" s="4" t="n">
        <v>47</v>
      </c>
      <c r="B50" s="5" t="s">
        <v>105</v>
      </c>
      <c r="C50" s="5" t="s">
        <v>113</v>
      </c>
      <c r="D50" s="5" t="s">
        <v>114</v>
      </c>
      <c r="E50" s="5" t="s">
        <v>15</v>
      </c>
      <c r="F50" s="4" t="s">
        <v>16</v>
      </c>
      <c r="G50" s="6" t="n">
        <v>46140</v>
      </c>
      <c r="H50" s="8"/>
      <c r="I50" s="10" t="s">
        <v>22</v>
      </c>
      <c r="J50" s="5" t="s">
        <v>115</v>
      </c>
    </row>
    <row r="51" customFormat="false" ht="23.85" hidden="false" customHeight="false" outlineLevel="0" collapsed="false">
      <c r="A51" s="8" t="n">
        <v>48</v>
      </c>
      <c r="B51" s="9" t="s">
        <v>105</v>
      </c>
      <c r="C51" s="9" t="s">
        <v>116</v>
      </c>
      <c r="D51" s="9" t="s">
        <v>117</v>
      </c>
      <c r="E51" s="9" t="s">
        <v>15</v>
      </c>
      <c r="F51" s="8" t="s">
        <v>16</v>
      </c>
      <c r="G51" s="6" t="n">
        <v>46140</v>
      </c>
      <c r="H51" s="6" t="n">
        <v>46140</v>
      </c>
      <c r="I51" s="7" t="s">
        <v>17</v>
      </c>
      <c r="J51" s="9" t="s">
        <v>18</v>
      </c>
    </row>
    <row r="52" customFormat="false" ht="23.85" hidden="false" customHeight="false" outlineLevel="0" collapsed="false">
      <c r="A52" s="4" t="n">
        <v>49</v>
      </c>
      <c r="B52" s="5" t="s">
        <v>105</v>
      </c>
      <c r="C52" s="5" t="s">
        <v>118</v>
      </c>
      <c r="D52" s="5" t="s">
        <v>119</v>
      </c>
      <c r="E52" s="5" t="s">
        <v>15</v>
      </c>
      <c r="F52" s="4" t="s">
        <v>16</v>
      </c>
      <c r="G52" s="6" t="n">
        <v>46140</v>
      </c>
      <c r="H52" s="6" t="n">
        <v>46140</v>
      </c>
      <c r="I52" s="7" t="s">
        <v>17</v>
      </c>
      <c r="J52" s="5" t="s">
        <v>18</v>
      </c>
    </row>
    <row r="53" customFormat="false" ht="23.85" hidden="false" customHeight="false" outlineLevel="0" collapsed="false">
      <c r="A53" s="8" t="n">
        <v>50</v>
      </c>
      <c r="B53" s="9" t="s">
        <v>105</v>
      </c>
      <c r="C53" s="9" t="s">
        <v>118</v>
      </c>
      <c r="D53" s="9" t="s">
        <v>120</v>
      </c>
      <c r="E53" s="9" t="s">
        <v>15</v>
      </c>
      <c r="F53" s="8" t="s">
        <v>16</v>
      </c>
      <c r="G53" s="6" t="n">
        <v>46140</v>
      </c>
      <c r="H53" s="6" t="n">
        <v>46140</v>
      </c>
      <c r="I53" s="7" t="s">
        <v>17</v>
      </c>
      <c r="J53" s="9" t="s">
        <v>18</v>
      </c>
    </row>
    <row r="54" customFormat="false" ht="23.85" hidden="false" customHeight="false" outlineLevel="0" collapsed="false">
      <c r="A54" s="4" t="n">
        <v>51</v>
      </c>
      <c r="B54" s="5" t="s">
        <v>105</v>
      </c>
      <c r="C54" s="5" t="s">
        <v>121</v>
      </c>
      <c r="D54" s="5" t="s">
        <v>122</v>
      </c>
      <c r="E54" s="5" t="s">
        <v>15</v>
      </c>
      <c r="F54" s="4" t="s">
        <v>16</v>
      </c>
      <c r="G54" s="6" t="n">
        <v>46140</v>
      </c>
      <c r="H54" s="6" t="n">
        <v>46140</v>
      </c>
      <c r="I54" s="7" t="s">
        <v>17</v>
      </c>
      <c r="J54" s="5" t="s">
        <v>18</v>
      </c>
    </row>
    <row r="55" customFormat="false" ht="23.85" hidden="false" customHeight="false" outlineLevel="0" collapsed="false">
      <c r="A55" s="8" t="n">
        <v>52</v>
      </c>
      <c r="B55" s="9" t="s">
        <v>105</v>
      </c>
      <c r="C55" s="9" t="s">
        <v>123</v>
      </c>
      <c r="D55" s="9" t="s">
        <v>124</v>
      </c>
      <c r="E55" s="9" t="s">
        <v>15</v>
      </c>
      <c r="F55" s="8" t="s">
        <v>21</v>
      </c>
      <c r="G55" s="6" t="n">
        <v>46161</v>
      </c>
      <c r="H55" s="6" t="n">
        <v>46161</v>
      </c>
      <c r="I55" s="7" t="s">
        <v>17</v>
      </c>
      <c r="J55" s="9" t="s">
        <v>18</v>
      </c>
    </row>
    <row r="56" customFormat="false" ht="23.85" hidden="false" customHeight="false" outlineLevel="0" collapsed="false">
      <c r="A56" s="4" t="n">
        <v>53</v>
      </c>
      <c r="B56" s="5" t="s">
        <v>105</v>
      </c>
      <c r="C56" s="5" t="s">
        <v>125</v>
      </c>
      <c r="D56" s="5" t="s">
        <v>126</v>
      </c>
      <c r="E56" s="5" t="s">
        <v>15</v>
      </c>
      <c r="F56" s="4" t="s">
        <v>21</v>
      </c>
      <c r="G56" s="6" t="n">
        <v>46161</v>
      </c>
      <c r="H56" s="8"/>
      <c r="I56" s="10" t="s">
        <v>22</v>
      </c>
      <c r="J56" s="5" t="s">
        <v>22</v>
      </c>
    </row>
    <row r="57" customFormat="false" ht="35.05" hidden="false" customHeight="false" outlineLevel="0" collapsed="false">
      <c r="A57" s="8" t="n">
        <v>54</v>
      </c>
      <c r="B57" s="9" t="s">
        <v>105</v>
      </c>
      <c r="C57" s="9" t="s">
        <v>127</v>
      </c>
      <c r="D57" s="9" t="s">
        <v>128</v>
      </c>
      <c r="E57" s="9" t="s">
        <v>15</v>
      </c>
      <c r="F57" s="8" t="s">
        <v>21</v>
      </c>
      <c r="G57" s="6" t="n">
        <v>46161</v>
      </c>
      <c r="H57" s="8"/>
      <c r="I57" s="10" t="s">
        <v>22</v>
      </c>
      <c r="J57" s="9" t="s">
        <v>22</v>
      </c>
    </row>
    <row r="58" customFormat="false" ht="23.85" hidden="false" customHeight="false" outlineLevel="0" collapsed="false">
      <c r="A58" s="4" t="n">
        <v>55</v>
      </c>
      <c r="B58" s="5" t="s">
        <v>105</v>
      </c>
      <c r="C58" s="5" t="s">
        <v>129</v>
      </c>
      <c r="D58" s="5" t="s">
        <v>101</v>
      </c>
      <c r="E58" s="5" t="s">
        <v>15</v>
      </c>
      <c r="F58" s="4" t="s">
        <v>21</v>
      </c>
      <c r="G58" s="6" t="n">
        <v>46161</v>
      </c>
      <c r="H58" s="8"/>
      <c r="I58" s="10" t="s">
        <v>22</v>
      </c>
      <c r="J58" s="5" t="s">
        <v>22</v>
      </c>
    </row>
    <row r="59" customFormat="false" ht="46.25" hidden="false" customHeight="false" outlineLevel="0" collapsed="false">
      <c r="A59" s="8" t="n">
        <v>56</v>
      </c>
      <c r="B59" s="9" t="s">
        <v>105</v>
      </c>
      <c r="C59" s="9" t="s">
        <v>130</v>
      </c>
      <c r="D59" s="9" t="s">
        <v>131</v>
      </c>
      <c r="E59" s="9" t="s">
        <v>54</v>
      </c>
      <c r="F59" s="8" t="s">
        <v>21</v>
      </c>
      <c r="G59" s="6" t="n">
        <v>46164</v>
      </c>
      <c r="H59" s="8"/>
      <c r="I59" s="10" t="s">
        <v>22</v>
      </c>
      <c r="J59" s="9" t="s">
        <v>132</v>
      </c>
    </row>
    <row r="60" customFormat="false" ht="46.25" hidden="false" customHeight="false" outlineLevel="0" collapsed="false">
      <c r="A60" s="4" t="n">
        <v>57</v>
      </c>
      <c r="B60" s="5" t="s">
        <v>105</v>
      </c>
      <c r="C60" s="5" t="s">
        <v>133</v>
      </c>
      <c r="D60" s="5" t="s">
        <v>134</v>
      </c>
      <c r="E60" s="5" t="s">
        <v>54</v>
      </c>
      <c r="F60" s="4" t="s">
        <v>21</v>
      </c>
      <c r="G60" s="6" t="n">
        <v>46164</v>
      </c>
      <c r="H60" s="8"/>
      <c r="I60" s="10" t="s">
        <v>22</v>
      </c>
      <c r="J60" s="5" t="s">
        <v>135</v>
      </c>
    </row>
    <row r="61" customFormat="false" ht="35.05" hidden="false" customHeight="false" outlineLevel="0" collapsed="false">
      <c r="A61" s="8" t="n">
        <v>58</v>
      </c>
      <c r="B61" s="9" t="s">
        <v>105</v>
      </c>
      <c r="C61" s="9" t="s">
        <v>136</v>
      </c>
      <c r="D61" s="9" t="s">
        <v>137</v>
      </c>
      <c r="E61" s="9" t="s">
        <v>54</v>
      </c>
      <c r="F61" s="8" t="s">
        <v>21</v>
      </c>
      <c r="G61" s="6" t="n">
        <v>46164</v>
      </c>
      <c r="H61" s="8"/>
      <c r="I61" s="10" t="s">
        <v>22</v>
      </c>
      <c r="J61" s="9" t="s">
        <v>138</v>
      </c>
    </row>
    <row r="62" customFormat="false" ht="46.25" hidden="false" customHeight="false" outlineLevel="0" collapsed="false">
      <c r="A62" s="4" t="n">
        <v>59</v>
      </c>
      <c r="B62" s="5" t="s">
        <v>105</v>
      </c>
      <c r="C62" s="5" t="s">
        <v>139</v>
      </c>
      <c r="D62" s="5" t="s">
        <v>140</v>
      </c>
      <c r="E62" s="5" t="s">
        <v>54</v>
      </c>
      <c r="F62" s="4" t="s">
        <v>21</v>
      </c>
      <c r="G62" s="6" t="n">
        <v>46164</v>
      </c>
      <c r="H62" s="8"/>
      <c r="I62" s="10" t="s">
        <v>22</v>
      </c>
      <c r="J62" s="5" t="s">
        <v>141</v>
      </c>
    </row>
    <row r="63" customFormat="false" ht="35.05" hidden="false" customHeight="false" outlineLevel="0" collapsed="false">
      <c r="A63" s="8" t="n">
        <v>60</v>
      </c>
      <c r="B63" s="9" t="s">
        <v>105</v>
      </c>
      <c r="C63" s="9" t="s">
        <v>142</v>
      </c>
      <c r="D63" s="9" t="s">
        <v>143</v>
      </c>
      <c r="E63" s="9" t="s">
        <v>54</v>
      </c>
      <c r="F63" s="8" t="s">
        <v>21</v>
      </c>
      <c r="G63" s="6" t="n">
        <v>46164</v>
      </c>
      <c r="H63" s="8"/>
      <c r="I63" s="10" t="s">
        <v>22</v>
      </c>
      <c r="J63" s="9" t="s">
        <v>144</v>
      </c>
    </row>
    <row r="64" customFormat="false" ht="35.05" hidden="false" customHeight="false" outlineLevel="0" collapsed="false">
      <c r="A64" s="4" t="n">
        <v>61</v>
      </c>
      <c r="B64" s="5" t="s">
        <v>105</v>
      </c>
      <c r="C64" s="5" t="s">
        <v>145</v>
      </c>
      <c r="D64" s="5" t="s">
        <v>146</v>
      </c>
      <c r="E64" s="5" t="s">
        <v>54</v>
      </c>
      <c r="F64" s="4" t="s">
        <v>49</v>
      </c>
      <c r="G64" s="6" t="n">
        <v>46174</v>
      </c>
      <c r="H64" s="8"/>
      <c r="I64" s="10" t="s">
        <v>22</v>
      </c>
      <c r="J64" s="5" t="s">
        <v>147</v>
      </c>
    </row>
    <row r="65" customFormat="false" ht="35.05" hidden="false" customHeight="false" outlineLevel="0" collapsed="false">
      <c r="A65" s="8" t="n">
        <v>62</v>
      </c>
      <c r="B65" s="9" t="s">
        <v>105</v>
      </c>
      <c r="C65" s="9" t="s">
        <v>148</v>
      </c>
      <c r="D65" s="9" t="s">
        <v>149</v>
      </c>
      <c r="E65" s="9" t="s">
        <v>54</v>
      </c>
      <c r="F65" s="8" t="s">
        <v>49</v>
      </c>
      <c r="G65" s="6" t="n">
        <v>46176</v>
      </c>
      <c r="H65" s="8"/>
      <c r="I65" s="10" t="s">
        <v>22</v>
      </c>
      <c r="J65" s="9" t="s">
        <v>150</v>
      </c>
    </row>
    <row r="66" customFormat="false" ht="79.85" hidden="false" customHeight="false" outlineLevel="0" collapsed="false">
      <c r="A66" s="4" t="n">
        <v>63</v>
      </c>
      <c r="B66" s="5" t="s">
        <v>105</v>
      </c>
      <c r="C66" s="5" t="s">
        <v>151</v>
      </c>
      <c r="D66" s="5" t="s">
        <v>152</v>
      </c>
      <c r="E66" s="5" t="s">
        <v>54</v>
      </c>
      <c r="F66" s="4" t="s">
        <v>49</v>
      </c>
      <c r="G66" s="6" t="n">
        <v>46182</v>
      </c>
      <c r="H66" s="8"/>
      <c r="I66" s="10" t="s">
        <v>22</v>
      </c>
      <c r="J66" s="5" t="s">
        <v>153</v>
      </c>
    </row>
    <row r="67" customFormat="false" ht="46.25" hidden="false" customHeight="false" outlineLevel="0" collapsed="false">
      <c r="A67" s="8" t="n">
        <v>64</v>
      </c>
      <c r="B67" s="9" t="s">
        <v>105</v>
      </c>
      <c r="C67" s="9" t="s">
        <v>154</v>
      </c>
      <c r="D67" s="9" t="s">
        <v>155</v>
      </c>
      <c r="E67" s="9" t="s">
        <v>54</v>
      </c>
      <c r="F67" s="8" t="s">
        <v>49</v>
      </c>
      <c r="G67" s="6" t="n">
        <v>46193</v>
      </c>
      <c r="H67" s="8"/>
      <c r="I67" s="10" t="s">
        <v>22</v>
      </c>
      <c r="J67" s="9" t="s">
        <v>156</v>
      </c>
    </row>
    <row r="68" customFormat="false" ht="57.45" hidden="false" customHeight="false" outlineLevel="0" collapsed="false">
      <c r="A68" s="4" t="n">
        <v>65</v>
      </c>
      <c r="B68" s="5" t="s">
        <v>105</v>
      </c>
      <c r="C68" s="5" t="s">
        <v>157</v>
      </c>
      <c r="D68" s="5" t="s">
        <v>158</v>
      </c>
      <c r="E68" s="5" t="s">
        <v>159</v>
      </c>
      <c r="F68" s="4" t="s">
        <v>160</v>
      </c>
      <c r="G68" s="6" t="n">
        <v>46204</v>
      </c>
      <c r="H68" s="6" t="n">
        <v>46209</v>
      </c>
      <c r="I68" s="7" t="s">
        <v>17</v>
      </c>
      <c r="J68" s="5" t="s">
        <v>161</v>
      </c>
    </row>
    <row r="69" customFormat="false" ht="79.85" hidden="false" customHeight="false" outlineLevel="0" collapsed="false">
      <c r="A69" s="8" t="n">
        <v>66</v>
      </c>
      <c r="B69" s="9" t="s">
        <v>105</v>
      </c>
      <c r="C69" s="9" t="s">
        <v>162</v>
      </c>
      <c r="D69" s="9" t="s">
        <v>163</v>
      </c>
      <c r="E69" s="9" t="s">
        <v>54</v>
      </c>
      <c r="F69" s="8" t="s">
        <v>160</v>
      </c>
      <c r="G69" s="6" t="n">
        <v>46205</v>
      </c>
      <c r="H69" s="6" t="n">
        <v>46210</v>
      </c>
      <c r="I69" s="7" t="s">
        <v>17</v>
      </c>
      <c r="J69" s="9" t="s">
        <v>164</v>
      </c>
    </row>
    <row r="70" customFormat="false" ht="35.05" hidden="false" customHeight="false" outlineLevel="0" collapsed="false">
      <c r="A70" s="4" t="n">
        <v>67</v>
      </c>
      <c r="B70" s="5" t="s">
        <v>105</v>
      </c>
      <c r="C70" s="5" t="s">
        <v>165</v>
      </c>
      <c r="D70" s="5" t="s">
        <v>166</v>
      </c>
      <c r="E70" s="5" t="s">
        <v>159</v>
      </c>
      <c r="F70" s="4" t="s">
        <v>160</v>
      </c>
      <c r="G70" s="6" t="n">
        <v>46205</v>
      </c>
      <c r="H70" s="6" t="n">
        <v>46211</v>
      </c>
      <c r="I70" s="7" t="s">
        <v>17</v>
      </c>
      <c r="J70" s="5" t="s">
        <v>167</v>
      </c>
    </row>
    <row r="71" customFormat="false" ht="23.85" hidden="false" customHeight="false" outlineLevel="0" collapsed="false">
      <c r="A71" s="8" t="n">
        <v>68</v>
      </c>
      <c r="B71" s="9" t="s">
        <v>105</v>
      </c>
      <c r="C71" s="9" t="s">
        <v>168</v>
      </c>
      <c r="D71" s="9" t="s">
        <v>169</v>
      </c>
      <c r="E71" s="9" t="s">
        <v>54</v>
      </c>
      <c r="F71" s="8" t="s">
        <v>160</v>
      </c>
      <c r="G71" s="6" t="n">
        <v>46216</v>
      </c>
      <c r="H71" s="8"/>
      <c r="I71" s="10" t="s">
        <v>22</v>
      </c>
      <c r="J71" s="9" t="s">
        <v>170</v>
      </c>
    </row>
    <row r="72" customFormat="false" ht="23.85" hidden="false" customHeight="false" outlineLevel="0" collapsed="false">
      <c r="A72" s="4" t="n">
        <v>69</v>
      </c>
      <c r="B72" s="5" t="s">
        <v>105</v>
      </c>
      <c r="C72" s="5" t="s">
        <v>168</v>
      </c>
      <c r="D72" s="5" t="s">
        <v>171</v>
      </c>
      <c r="E72" s="5" t="s">
        <v>54</v>
      </c>
      <c r="F72" s="4" t="s">
        <v>160</v>
      </c>
      <c r="G72" s="6" t="n">
        <v>46216</v>
      </c>
      <c r="H72" s="8"/>
      <c r="I72" s="10" t="s">
        <v>22</v>
      </c>
      <c r="J72" s="5" t="s">
        <v>172</v>
      </c>
    </row>
    <row r="73" customFormat="false" ht="35.05" hidden="false" customHeight="false" outlineLevel="0" collapsed="false">
      <c r="A73" s="8" t="n">
        <v>70</v>
      </c>
      <c r="B73" s="9" t="s">
        <v>105</v>
      </c>
      <c r="C73" s="9" t="s">
        <v>168</v>
      </c>
      <c r="D73" s="9" t="s">
        <v>173</v>
      </c>
      <c r="E73" s="9" t="s">
        <v>54</v>
      </c>
      <c r="F73" s="8" t="s">
        <v>160</v>
      </c>
      <c r="G73" s="6" t="n">
        <v>46217</v>
      </c>
      <c r="H73" s="8"/>
      <c r="I73" s="10" t="s">
        <v>22</v>
      </c>
      <c r="J73" s="9" t="s">
        <v>174</v>
      </c>
    </row>
    <row r="74" customFormat="false" ht="23.85" hidden="false" customHeight="false" outlineLevel="0" collapsed="false">
      <c r="A74" s="4" t="n">
        <v>71</v>
      </c>
      <c r="B74" s="5" t="s">
        <v>105</v>
      </c>
      <c r="C74" s="5" t="s">
        <v>168</v>
      </c>
      <c r="D74" s="5" t="s">
        <v>175</v>
      </c>
      <c r="E74" s="5" t="s">
        <v>54</v>
      </c>
      <c r="F74" s="4" t="s">
        <v>160</v>
      </c>
      <c r="G74" s="6" t="n">
        <v>46217</v>
      </c>
      <c r="H74" s="8"/>
      <c r="I74" s="10" t="s">
        <v>22</v>
      </c>
      <c r="J74" s="5" t="s">
        <v>176</v>
      </c>
    </row>
    <row r="75" customFormat="false" ht="23.85" hidden="false" customHeight="false" outlineLevel="0" collapsed="false">
      <c r="A75" s="8" t="n">
        <v>72</v>
      </c>
      <c r="B75" s="9" t="s">
        <v>177</v>
      </c>
      <c r="C75" s="9" t="s">
        <v>178</v>
      </c>
      <c r="D75" s="9" t="s">
        <v>179</v>
      </c>
      <c r="E75" s="9" t="s">
        <v>15</v>
      </c>
      <c r="F75" s="8" t="s">
        <v>16</v>
      </c>
      <c r="G75" s="6" t="n">
        <v>46140</v>
      </c>
      <c r="H75" s="6" t="n">
        <v>46140</v>
      </c>
      <c r="I75" s="7" t="s">
        <v>17</v>
      </c>
      <c r="J75" s="9" t="s">
        <v>18</v>
      </c>
    </row>
    <row r="76" customFormat="false" ht="23.85" hidden="false" customHeight="false" outlineLevel="0" collapsed="false">
      <c r="A76" s="4" t="n">
        <v>73</v>
      </c>
      <c r="B76" s="5" t="s">
        <v>177</v>
      </c>
      <c r="C76" s="5" t="s">
        <v>178</v>
      </c>
      <c r="D76" s="5" t="s">
        <v>180</v>
      </c>
      <c r="E76" s="5" t="s">
        <v>15</v>
      </c>
      <c r="F76" s="4" t="s">
        <v>21</v>
      </c>
      <c r="G76" s="6" t="n">
        <v>46161</v>
      </c>
      <c r="H76" s="6" t="n">
        <v>46161</v>
      </c>
      <c r="I76" s="7" t="s">
        <v>17</v>
      </c>
      <c r="J76" s="5" t="s">
        <v>18</v>
      </c>
    </row>
    <row r="77" customFormat="false" ht="23.85" hidden="false" customHeight="false" outlineLevel="0" collapsed="false">
      <c r="A77" s="8" t="n">
        <v>74</v>
      </c>
      <c r="B77" s="9" t="s">
        <v>177</v>
      </c>
      <c r="C77" s="9" t="s">
        <v>181</v>
      </c>
      <c r="D77" s="9" t="s">
        <v>182</v>
      </c>
      <c r="E77" s="9" t="s">
        <v>15</v>
      </c>
      <c r="F77" s="8" t="s">
        <v>21</v>
      </c>
      <c r="G77" s="6" t="n">
        <v>46161</v>
      </c>
      <c r="H77" s="8"/>
      <c r="I77" s="10" t="s">
        <v>22</v>
      </c>
      <c r="J77" s="9" t="s">
        <v>22</v>
      </c>
    </row>
    <row r="78" customFormat="false" ht="23.85" hidden="false" customHeight="false" outlineLevel="0" collapsed="false">
      <c r="A78" s="4" t="n">
        <v>75</v>
      </c>
      <c r="B78" s="5" t="s">
        <v>177</v>
      </c>
      <c r="C78" s="5" t="s">
        <v>183</v>
      </c>
      <c r="D78" s="5" t="s">
        <v>104</v>
      </c>
      <c r="E78" s="5" t="s">
        <v>15</v>
      </c>
      <c r="F78" s="4" t="s">
        <v>21</v>
      </c>
      <c r="G78" s="6" t="n">
        <v>46161</v>
      </c>
      <c r="H78" s="8"/>
      <c r="I78" s="10" t="s">
        <v>22</v>
      </c>
      <c r="J78" s="5" t="s">
        <v>22</v>
      </c>
    </row>
    <row r="79" customFormat="false" ht="35.05" hidden="false" customHeight="false" outlineLevel="0" collapsed="false">
      <c r="A79" s="8" t="n">
        <v>76</v>
      </c>
      <c r="B79" s="9" t="s">
        <v>177</v>
      </c>
      <c r="C79" s="9" t="s">
        <v>184</v>
      </c>
      <c r="D79" s="9" t="s">
        <v>185</v>
      </c>
      <c r="E79" s="9" t="s">
        <v>54</v>
      </c>
      <c r="F79" s="8" t="s">
        <v>49</v>
      </c>
      <c r="G79" s="6" t="n">
        <v>46181</v>
      </c>
      <c r="H79" s="8"/>
      <c r="I79" s="10" t="s">
        <v>22</v>
      </c>
      <c r="J79" s="9" t="s">
        <v>186</v>
      </c>
    </row>
    <row r="80" customFormat="false" ht="23.85" hidden="false" customHeight="false" outlineLevel="0" collapsed="false">
      <c r="A80" s="4" t="n">
        <v>77</v>
      </c>
      <c r="B80" s="5" t="s">
        <v>187</v>
      </c>
      <c r="C80" s="5" t="s">
        <v>188</v>
      </c>
      <c r="D80" s="5" t="s">
        <v>189</v>
      </c>
      <c r="E80" s="5" t="s">
        <v>15</v>
      </c>
      <c r="F80" s="4" t="s">
        <v>49</v>
      </c>
      <c r="G80" s="6" t="n">
        <v>46182</v>
      </c>
      <c r="H80" s="6" t="n">
        <v>46182</v>
      </c>
      <c r="I80" s="7" t="s">
        <v>17</v>
      </c>
      <c r="J80" s="5" t="s">
        <v>18</v>
      </c>
    </row>
    <row r="81" customFormat="false" ht="23.85" hidden="false" customHeight="false" outlineLevel="0" collapsed="false">
      <c r="A81" s="8" t="n">
        <v>78</v>
      </c>
      <c r="B81" s="9" t="s">
        <v>187</v>
      </c>
      <c r="C81" s="9" t="s">
        <v>188</v>
      </c>
      <c r="D81" s="9" t="s">
        <v>190</v>
      </c>
      <c r="E81" s="9" t="s">
        <v>15</v>
      </c>
      <c r="F81" s="8" t="s">
        <v>49</v>
      </c>
      <c r="G81" s="6" t="n">
        <v>46189</v>
      </c>
      <c r="H81" s="6" t="n">
        <v>46189</v>
      </c>
      <c r="I81" s="7" t="s">
        <v>17</v>
      </c>
      <c r="J81" s="9" t="s">
        <v>18</v>
      </c>
    </row>
    <row r="82" customFormat="false" ht="23.85" hidden="false" customHeight="false" outlineLevel="0" collapsed="false">
      <c r="A82" s="4" t="n">
        <v>79</v>
      </c>
      <c r="B82" s="5" t="s">
        <v>191</v>
      </c>
      <c r="C82" s="5" t="s">
        <v>192</v>
      </c>
      <c r="D82" s="5" t="s">
        <v>193</v>
      </c>
      <c r="E82" s="5" t="s">
        <v>15</v>
      </c>
      <c r="F82" s="4" t="s">
        <v>49</v>
      </c>
      <c r="G82" s="6" t="n">
        <v>46189</v>
      </c>
      <c r="H82" s="6" t="n">
        <v>46189</v>
      </c>
      <c r="I82" s="7" t="s">
        <v>17</v>
      </c>
      <c r="J82" s="5" t="s">
        <v>18</v>
      </c>
    </row>
    <row r="83" customFormat="false" ht="23.85" hidden="false" customHeight="false" outlineLevel="0" collapsed="false">
      <c r="A83" s="8" t="n">
        <v>80</v>
      </c>
      <c r="B83" s="9" t="s">
        <v>191</v>
      </c>
      <c r="C83" s="9" t="s">
        <v>192</v>
      </c>
      <c r="D83" s="9" t="s">
        <v>194</v>
      </c>
      <c r="E83" s="9" t="s">
        <v>15</v>
      </c>
      <c r="F83" s="8" t="s">
        <v>49</v>
      </c>
      <c r="G83" s="6" t="n">
        <v>46189</v>
      </c>
      <c r="H83" s="6" t="n">
        <v>46189</v>
      </c>
      <c r="I83" s="7" t="s">
        <v>17</v>
      </c>
      <c r="J83" s="9" t="s">
        <v>18</v>
      </c>
    </row>
    <row r="84" customFormat="false" ht="23.85" hidden="false" customHeight="false" outlineLevel="0" collapsed="false">
      <c r="A84" s="4" t="n">
        <v>81</v>
      </c>
      <c r="B84" s="5" t="s">
        <v>191</v>
      </c>
      <c r="C84" s="5" t="s">
        <v>192</v>
      </c>
      <c r="D84" s="5" t="s">
        <v>195</v>
      </c>
      <c r="E84" s="5" t="s">
        <v>15</v>
      </c>
      <c r="F84" s="4" t="s">
        <v>49</v>
      </c>
      <c r="G84" s="6" t="n">
        <v>46189</v>
      </c>
      <c r="H84" s="6" t="n">
        <v>46189</v>
      </c>
      <c r="I84" s="7" t="s">
        <v>17</v>
      </c>
      <c r="J84" s="5" t="s">
        <v>18</v>
      </c>
    </row>
    <row r="85" customFormat="false" ht="23.85" hidden="false" customHeight="false" outlineLevel="0" collapsed="false">
      <c r="A85" s="8" t="n">
        <v>82</v>
      </c>
      <c r="B85" s="9" t="s">
        <v>191</v>
      </c>
      <c r="C85" s="9" t="s">
        <v>192</v>
      </c>
      <c r="D85" s="9" t="s">
        <v>196</v>
      </c>
      <c r="E85" s="9" t="s">
        <v>15</v>
      </c>
      <c r="F85" s="8" t="s">
        <v>49</v>
      </c>
      <c r="G85" s="6" t="n">
        <v>46189</v>
      </c>
      <c r="H85" s="6" t="n">
        <v>46189</v>
      </c>
      <c r="I85" s="7" t="s">
        <v>17</v>
      </c>
      <c r="J85" s="9" t="s">
        <v>18</v>
      </c>
    </row>
    <row r="86" customFormat="false" ht="23.85" hidden="false" customHeight="false" outlineLevel="0" collapsed="false">
      <c r="A86" s="4" t="n">
        <v>83</v>
      </c>
      <c r="B86" s="5" t="s">
        <v>191</v>
      </c>
      <c r="C86" s="5" t="s">
        <v>197</v>
      </c>
      <c r="D86" s="5" t="s">
        <v>198</v>
      </c>
      <c r="E86" s="5" t="s">
        <v>15</v>
      </c>
      <c r="F86" s="4" t="s">
        <v>49</v>
      </c>
      <c r="G86" s="6" t="n">
        <v>46189</v>
      </c>
      <c r="H86" s="6" t="n">
        <v>46189</v>
      </c>
      <c r="I86" s="7" t="s">
        <v>17</v>
      </c>
      <c r="J86" s="5" t="s">
        <v>199</v>
      </c>
    </row>
    <row r="87" customFormat="false" ht="23.85" hidden="false" customHeight="false" outlineLevel="0" collapsed="false">
      <c r="A87" s="8" t="n">
        <v>84</v>
      </c>
      <c r="B87" s="9" t="s">
        <v>191</v>
      </c>
      <c r="C87" s="9" t="s">
        <v>197</v>
      </c>
      <c r="D87" s="9" t="s">
        <v>200</v>
      </c>
      <c r="E87" s="9" t="s">
        <v>15</v>
      </c>
      <c r="F87" s="8" t="s">
        <v>49</v>
      </c>
      <c r="G87" s="6" t="n">
        <v>46189</v>
      </c>
      <c r="H87" s="6" t="n">
        <v>46189</v>
      </c>
      <c r="I87" s="7" t="s">
        <v>17</v>
      </c>
      <c r="J87" s="9" t="s">
        <v>199</v>
      </c>
    </row>
    <row r="88" customFormat="false" ht="23.85" hidden="false" customHeight="false" outlineLevel="0" collapsed="false">
      <c r="A88" s="4" t="n">
        <v>85</v>
      </c>
      <c r="B88" s="5" t="s">
        <v>191</v>
      </c>
      <c r="C88" s="5" t="s">
        <v>197</v>
      </c>
      <c r="D88" s="5" t="s">
        <v>201</v>
      </c>
      <c r="E88" s="5" t="s">
        <v>15</v>
      </c>
      <c r="F88" s="4" t="s">
        <v>49</v>
      </c>
      <c r="G88" s="6" t="n">
        <v>46189</v>
      </c>
      <c r="H88" s="6" t="n">
        <v>46189</v>
      </c>
      <c r="I88" s="7" t="s">
        <v>17</v>
      </c>
      <c r="J88" s="5" t="s">
        <v>199</v>
      </c>
    </row>
    <row r="89" customFormat="false" ht="46.25" hidden="false" customHeight="false" outlineLevel="0" collapsed="false">
      <c r="A89" s="8" t="n">
        <v>86</v>
      </c>
      <c r="B89" s="9" t="s">
        <v>191</v>
      </c>
      <c r="C89" s="9" t="s">
        <v>197</v>
      </c>
      <c r="D89" s="9" t="s">
        <v>202</v>
      </c>
      <c r="E89" s="9" t="s">
        <v>15</v>
      </c>
      <c r="F89" s="8" t="s">
        <v>49</v>
      </c>
      <c r="G89" s="6" t="n">
        <v>46189</v>
      </c>
      <c r="H89" s="6" t="n">
        <v>46189</v>
      </c>
      <c r="I89" s="7" t="s">
        <v>17</v>
      </c>
      <c r="J89" s="9" t="s">
        <v>199</v>
      </c>
    </row>
    <row r="90" customFormat="false" ht="23.85" hidden="false" customHeight="false" outlineLevel="0" collapsed="false">
      <c r="A90" s="4" t="n">
        <v>87</v>
      </c>
      <c r="B90" s="5" t="s">
        <v>191</v>
      </c>
      <c r="C90" s="5" t="s">
        <v>197</v>
      </c>
      <c r="D90" s="5" t="s">
        <v>203</v>
      </c>
      <c r="E90" s="5" t="s">
        <v>15</v>
      </c>
      <c r="F90" s="4" t="s">
        <v>49</v>
      </c>
      <c r="G90" s="6" t="n">
        <v>46189</v>
      </c>
      <c r="H90" s="6" t="n">
        <v>46189</v>
      </c>
      <c r="I90" s="7" t="s">
        <v>17</v>
      </c>
      <c r="J90" s="5" t="s">
        <v>199</v>
      </c>
    </row>
    <row r="91" customFormat="false" ht="23.85" hidden="false" customHeight="false" outlineLevel="0" collapsed="false">
      <c r="A91" s="8" t="n">
        <v>88</v>
      </c>
      <c r="B91" s="9" t="s">
        <v>191</v>
      </c>
      <c r="C91" s="9" t="s">
        <v>197</v>
      </c>
      <c r="D91" s="9" t="s">
        <v>204</v>
      </c>
      <c r="E91" s="9" t="s">
        <v>15</v>
      </c>
      <c r="F91" s="8" t="s">
        <v>49</v>
      </c>
      <c r="G91" s="6" t="n">
        <v>46189</v>
      </c>
      <c r="H91" s="6" t="n">
        <v>46189</v>
      </c>
      <c r="I91" s="7" t="s">
        <v>17</v>
      </c>
      <c r="J91" s="9" t="s">
        <v>199</v>
      </c>
    </row>
    <row r="92" customFormat="false" ht="23.85" hidden="false" customHeight="false" outlineLevel="0" collapsed="false">
      <c r="A92" s="4" t="n">
        <v>89</v>
      </c>
      <c r="B92" s="5" t="s">
        <v>191</v>
      </c>
      <c r="C92" s="5" t="s">
        <v>197</v>
      </c>
      <c r="D92" s="5" t="s">
        <v>205</v>
      </c>
      <c r="E92" s="5" t="s">
        <v>15</v>
      </c>
      <c r="F92" s="4" t="s">
        <v>49</v>
      </c>
      <c r="G92" s="6" t="n">
        <v>46189</v>
      </c>
      <c r="H92" s="6" t="n">
        <v>46189</v>
      </c>
      <c r="I92" s="7" t="s">
        <v>17</v>
      </c>
      <c r="J92" s="5" t="s">
        <v>199</v>
      </c>
    </row>
    <row r="93" customFormat="false" ht="23.85" hidden="false" customHeight="false" outlineLevel="0" collapsed="false">
      <c r="A93" s="8" t="n">
        <v>90</v>
      </c>
      <c r="B93" s="9" t="s">
        <v>191</v>
      </c>
      <c r="C93" s="9" t="s">
        <v>197</v>
      </c>
      <c r="D93" s="9" t="s">
        <v>206</v>
      </c>
      <c r="E93" s="9" t="s">
        <v>15</v>
      </c>
      <c r="F93" s="8" t="s">
        <v>49</v>
      </c>
      <c r="G93" s="6" t="n">
        <v>46189</v>
      </c>
      <c r="H93" s="6" t="n">
        <v>46189</v>
      </c>
      <c r="I93" s="7" t="s">
        <v>17</v>
      </c>
      <c r="J93" s="9" t="s">
        <v>199</v>
      </c>
    </row>
    <row r="94" customFormat="false" ht="23.85" hidden="false" customHeight="false" outlineLevel="0" collapsed="false">
      <c r="A94" s="4" t="n">
        <v>91</v>
      </c>
      <c r="B94" s="5" t="s">
        <v>191</v>
      </c>
      <c r="C94" s="5" t="s">
        <v>197</v>
      </c>
      <c r="D94" s="5" t="s">
        <v>207</v>
      </c>
      <c r="E94" s="5" t="s">
        <v>15</v>
      </c>
      <c r="F94" s="4" t="s">
        <v>49</v>
      </c>
      <c r="G94" s="6" t="n">
        <v>46189</v>
      </c>
      <c r="H94" s="6" t="n">
        <v>46189</v>
      </c>
      <c r="I94" s="7" t="s">
        <v>17</v>
      </c>
      <c r="J94" s="5" t="s">
        <v>199</v>
      </c>
    </row>
    <row r="95" customFormat="false" ht="23.85" hidden="false" customHeight="false" outlineLevel="0" collapsed="false">
      <c r="A95" s="8" t="n">
        <v>92</v>
      </c>
      <c r="B95" s="9" t="s">
        <v>191</v>
      </c>
      <c r="C95" s="9" t="s">
        <v>197</v>
      </c>
      <c r="D95" s="9" t="s">
        <v>208</v>
      </c>
      <c r="E95" s="9" t="s">
        <v>15</v>
      </c>
      <c r="F95" s="8" t="s">
        <v>49</v>
      </c>
      <c r="G95" s="6" t="n">
        <v>46189</v>
      </c>
      <c r="H95" s="6" t="n">
        <v>46189</v>
      </c>
      <c r="I95" s="7" t="s">
        <v>17</v>
      </c>
      <c r="J95" s="9" t="s">
        <v>199</v>
      </c>
    </row>
    <row r="96" customFormat="false" ht="23.85" hidden="false" customHeight="false" outlineLevel="0" collapsed="false">
      <c r="A96" s="4" t="n">
        <v>93</v>
      </c>
      <c r="B96" s="5" t="s">
        <v>191</v>
      </c>
      <c r="C96" s="5" t="s">
        <v>197</v>
      </c>
      <c r="D96" s="5" t="s">
        <v>209</v>
      </c>
      <c r="E96" s="5" t="s">
        <v>15</v>
      </c>
      <c r="F96" s="4" t="s">
        <v>49</v>
      </c>
      <c r="G96" s="6" t="n">
        <v>46189</v>
      </c>
      <c r="H96" s="6" t="n">
        <v>46189</v>
      </c>
      <c r="I96" s="7" t="s">
        <v>17</v>
      </c>
      <c r="J96" s="5" t="s">
        <v>199</v>
      </c>
    </row>
    <row r="97" customFormat="false" ht="23.85" hidden="false" customHeight="false" outlineLevel="0" collapsed="false">
      <c r="A97" s="8" t="n">
        <v>94</v>
      </c>
      <c r="B97" s="9" t="s">
        <v>191</v>
      </c>
      <c r="C97" s="9" t="s">
        <v>197</v>
      </c>
      <c r="D97" s="9" t="s">
        <v>210</v>
      </c>
      <c r="E97" s="9" t="s">
        <v>15</v>
      </c>
      <c r="F97" s="8" t="s">
        <v>49</v>
      </c>
      <c r="G97" s="6" t="n">
        <v>46189</v>
      </c>
      <c r="H97" s="6" t="n">
        <v>46189</v>
      </c>
      <c r="I97" s="7" t="s">
        <v>17</v>
      </c>
      <c r="J97" s="9" t="s">
        <v>199</v>
      </c>
    </row>
    <row r="98" customFormat="false" ht="23.85" hidden="false" customHeight="false" outlineLevel="0" collapsed="false">
      <c r="A98" s="4" t="n">
        <v>95</v>
      </c>
      <c r="B98" s="5" t="s">
        <v>191</v>
      </c>
      <c r="C98" s="5" t="s">
        <v>197</v>
      </c>
      <c r="D98" s="5" t="s">
        <v>211</v>
      </c>
      <c r="E98" s="5" t="s">
        <v>15</v>
      </c>
      <c r="F98" s="4" t="s">
        <v>49</v>
      </c>
      <c r="G98" s="6" t="n">
        <v>46189</v>
      </c>
      <c r="H98" s="6" t="n">
        <v>46189</v>
      </c>
      <c r="I98" s="7" t="s">
        <v>17</v>
      </c>
      <c r="J98" s="5" t="s">
        <v>199</v>
      </c>
    </row>
    <row r="99" customFormat="false" ht="23.85" hidden="false" customHeight="false" outlineLevel="0" collapsed="false">
      <c r="A99" s="8" t="n">
        <v>96</v>
      </c>
      <c r="B99" s="9" t="s">
        <v>191</v>
      </c>
      <c r="C99" s="9" t="s">
        <v>197</v>
      </c>
      <c r="D99" s="9" t="s">
        <v>212</v>
      </c>
      <c r="E99" s="9" t="s">
        <v>15</v>
      </c>
      <c r="F99" s="8" t="s">
        <v>49</v>
      </c>
      <c r="G99" s="6" t="n">
        <v>46189</v>
      </c>
      <c r="H99" s="6" t="n">
        <v>46189</v>
      </c>
      <c r="I99" s="7" t="s">
        <v>17</v>
      </c>
      <c r="J99" s="9" t="s">
        <v>199</v>
      </c>
    </row>
    <row r="100" customFormat="false" ht="23.85" hidden="false" customHeight="false" outlineLevel="0" collapsed="false">
      <c r="A100" s="4" t="n">
        <v>97</v>
      </c>
      <c r="B100" s="5" t="s">
        <v>191</v>
      </c>
      <c r="C100" s="5" t="s">
        <v>197</v>
      </c>
      <c r="D100" s="5" t="s">
        <v>213</v>
      </c>
      <c r="E100" s="5" t="s">
        <v>15</v>
      </c>
      <c r="F100" s="4" t="s">
        <v>49</v>
      </c>
      <c r="G100" s="6" t="n">
        <v>46189</v>
      </c>
      <c r="H100" s="6" t="n">
        <v>46189</v>
      </c>
      <c r="I100" s="7" t="s">
        <v>17</v>
      </c>
      <c r="J100" s="5" t="s">
        <v>199</v>
      </c>
    </row>
    <row r="101" customFormat="false" ht="23.85" hidden="false" customHeight="false" outlineLevel="0" collapsed="false">
      <c r="A101" s="8" t="n">
        <v>98</v>
      </c>
      <c r="B101" s="9" t="s">
        <v>214</v>
      </c>
      <c r="C101" s="9" t="s">
        <v>214</v>
      </c>
      <c r="D101" s="9" t="s">
        <v>215</v>
      </c>
      <c r="E101" s="9" t="s">
        <v>15</v>
      </c>
      <c r="F101" s="8" t="s">
        <v>21</v>
      </c>
      <c r="G101" s="6" t="n">
        <v>46161</v>
      </c>
      <c r="H101" s="6" t="n">
        <v>46161</v>
      </c>
      <c r="I101" s="7" t="s">
        <v>17</v>
      </c>
      <c r="J101" s="9" t="s">
        <v>18</v>
      </c>
    </row>
    <row r="102" customFormat="false" ht="23.85" hidden="false" customHeight="false" outlineLevel="0" collapsed="false">
      <c r="A102" s="4" t="n">
        <v>99</v>
      </c>
      <c r="B102" s="5" t="s">
        <v>214</v>
      </c>
      <c r="C102" s="5" t="s">
        <v>216</v>
      </c>
      <c r="D102" s="5" t="s">
        <v>217</v>
      </c>
      <c r="E102" s="5" t="s">
        <v>15</v>
      </c>
      <c r="F102" s="4" t="s">
        <v>21</v>
      </c>
      <c r="G102" s="6" t="n">
        <v>46161</v>
      </c>
      <c r="H102" s="6" t="n">
        <v>46182</v>
      </c>
      <c r="I102" s="7" t="s">
        <v>17</v>
      </c>
      <c r="J102" s="5" t="s">
        <v>18</v>
      </c>
    </row>
    <row r="103" customFormat="false" ht="35.05" hidden="false" customHeight="false" outlineLevel="0" collapsed="false">
      <c r="A103" s="8" t="n">
        <v>100</v>
      </c>
      <c r="B103" s="9" t="s">
        <v>214</v>
      </c>
      <c r="C103" s="9" t="s">
        <v>218</v>
      </c>
      <c r="D103" s="9" t="s">
        <v>219</v>
      </c>
      <c r="E103" s="9" t="s">
        <v>54</v>
      </c>
      <c r="F103" s="8" t="s">
        <v>49</v>
      </c>
      <c r="G103" s="6" t="n">
        <v>46174</v>
      </c>
      <c r="H103" s="8"/>
      <c r="I103" s="10" t="s">
        <v>22</v>
      </c>
      <c r="J103" s="9" t="s">
        <v>220</v>
      </c>
    </row>
    <row r="104" customFormat="false" ht="35.05" hidden="false" customHeight="false" outlineLevel="0" collapsed="false">
      <c r="A104" s="4" t="n">
        <v>101</v>
      </c>
      <c r="B104" s="5" t="s">
        <v>214</v>
      </c>
      <c r="C104" s="5" t="s">
        <v>221</v>
      </c>
      <c r="D104" s="5" t="s">
        <v>222</v>
      </c>
      <c r="E104" s="5" t="s">
        <v>54</v>
      </c>
      <c r="F104" s="4" t="s">
        <v>49</v>
      </c>
      <c r="G104" s="6" t="n">
        <v>46177</v>
      </c>
      <c r="H104" s="8"/>
      <c r="I104" s="10" t="s">
        <v>22</v>
      </c>
      <c r="J104" s="5" t="s">
        <v>223</v>
      </c>
    </row>
    <row r="105" customFormat="false" ht="35.05" hidden="false" customHeight="false" outlineLevel="0" collapsed="false">
      <c r="A105" s="8" t="n">
        <v>102</v>
      </c>
      <c r="B105" s="9" t="s">
        <v>214</v>
      </c>
      <c r="C105" s="9" t="s">
        <v>224</v>
      </c>
      <c r="D105" s="9" t="s">
        <v>225</v>
      </c>
      <c r="E105" s="9" t="s">
        <v>54</v>
      </c>
      <c r="F105" s="8" t="s">
        <v>49</v>
      </c>
      <c r="G105" s="6" t="n">
        <v>46177</v>
      </c>
      <c r="H105" s="8"/>
      <c r="I105" s="10" t="s">
        <v>22</v>
      </c>
      <c r="J105" s="9" t="s">
        <v>226</v>
      </c>
    </row>
    <row r="106" customFormat="false" ht="23.85" hidden="false" customHeight="false" outlineLevel="0" collapsed="false">
      <c r="A106" s="4" t="n">
        <v>103</v>
      </c>
      <c r="B106" s="5" t="s">
        <v>214</v>
      </c>
      <c r="C106" s="5" t="s">
        <v>214</v>
      </c>
      <c r="D106" s="5" t="s">
        <v>227</v>
      </c>
      <c r="E106" s="5" t="s">
        <v>15</v>
      </c>
      <c r="F106" s="4" t="s">
        <v>49</v>
      </c>
      <c r="G106" s="6" t="n">
        <v>46182</v>
      </c>
      <c r="H106" s="6" t="n">
        <v>46182</v>
      </c>
      <c r="I106" s="7" t="s">
        <v>17</v>
      </c>
      <c r="J106" s="5" t="s">
        <v>18</v>
      </c>
    </row>
    <row r="107" customFormat="false" ht="23.85" hidden="false" customHeight="false" outlineLevel="0" collapsed="false">
      <c r="A107" s="8" t="n">
        <v>104</v>
      </c>
      <c r="B107" s="9" t="s">
        <v>214</v>
      </c>
      <c r="C107" s="9" t="s">
        <v>214</v>
      </c>
      <c r="D107" s="9" t="s">
        <v>228</v>
      </c>
      <c r="E107" s="9" t="s">
        <v>15</v>
      </c>
      <c r="F107" s="8" t="s">
        <v>49</v>
      </c>
      <c r="G107" s="6" t="n">
        <v>46189</v>
      </c>
      <c r="H107" s="6" t="n">
        <v>46189</v>
      </c>
      <c r="I107" s="7" t="s">
        <v>17</v>
      </c>
      <c r="J107" s="9" t="s">
        <v>18</v>
      </c>
    </row>
    <row r="108" customFormat="false" ht="23.85" hidden="false" customHeight="false" outlineLevel="0" collapsed="false">
      <c r="A108" s="4" t="n">
        <v>105</v>
      </c>
      <c r="B108" s="5" t="s">
        <v>214</v>
      </c>
      <c r="C108" s="5" t="s">
        <v>214</v>
      </c>
      <c r="D108" s="5" t="s">
        <v>229</v>
      </c>
      <c r="E108" s="5" t="s">
        <v>15</v>
      </c>
      <c r="F108" s="4" t="s">
        <v>49</v>
      </c>
      <c r="G108" s="6" t="n">
        <v>46189</v>
      </c>
      <c r="H108" s="6" t="n">
        <v>46189</v>
      </c>
      <c r="I108" s="7" t="s">
        <v>17</v>
      </c>
      <c r="J108" s="5" t="s">
        <v>18</v>
      </c>
    </row>
    <row r="109" customFormat="false" ht="23.85" hidden="false" customHeight="false" outlineLevel="0" collapsed="false">
      <c r="A109" s="8" t="n">
        <v>106</v>
      </c>
      <c r="B109" s="9" t="s">
        <v>214</v>
      </c>
      <c r="C109" s="9" t="s">
        <v>214</v>
      </c>
      <c r="D109" s="9" t="s">
        <v>230</v>
      </c>
      <c r="E109" s="9" t="s">
        <v>15</v>
      </c>
      <c r="F109" s="8" t="s">
        <v>49</v>
      </c>
      <c r="G109" s="6" t="n">
        <v>46189</v>
      </c>
      <c r="H109" s="6" t="n">
        <v>46189</v>
      </c>
      <c r="I109" s="7" t="s">
        <v>17</v>
      </c>
      <c r="J109" s="9" t="s">
        <v>18</v>
      </c>
    </row>
    <row r="110" customFormat="false" ht="23.85" hidden="false" customHeight="false" outlineLevel="0" collapsed="false">
      <c r="A110" s="4" t="n">
        <v>107</v>
      </c>
      <c r="B110" s="5" t="s">
        <v>214</v>
      </c>
      <c r="C110" s="5" t="s">
        <v>214</v>
      </c>
      <c r="D110" s="5" t="s">
        <v>231</v>
      </c>
      <c r="E110" s="5" t="s">
        <v>15</v>
      </c>
      <c r="F110" s="4" t="s">
        <v>49</v>
      </c>
      <c r="G110" s="6" t="n">
        <v>46189</v>
      </c>
      <c r="H110" s="6" t="n">
        <v>46189</v>
      </c>
      <c r="I110" s="7" t="s">
        <v>17</v>
      </c>
      <c r="J110" s="5" t="s">
        <v>18</v>
      </c>
    </row>
    <row r="111" customFormat="false" ht="35.05" hidden="false" customHeight="false" outlineLevel="0" collapsed="false">
      <c r="A111" s="8" t="n">
        <v>108</v>
      </c>
      <c r="B111" s="9" t="s">
        <v>214</v>
      </c>
      <c r="C111" s="9" t="s">
        <v>232</v>
      </c>
      <c r="D111" s="9" t="s">
        <v>233</v>
      </c>
      <c r="E111" s="9" t="s">
        <v>159</v>
      </c>
      <c r="F111" s="8" t="s">
        <v>49</v>
      </c>
      <c r="G111" s="6" t="n">
        <v>46191</v>
      </c>
      <c r="H111" s="8"/>
      <c r="I111" s="10" t="s">
        <v>22</v>
      </c>
      <c r="J111" s="9" t="s">
        <v>234</v>
      </c>
    </row>
    <row r="112" customFormat="false" ht="35.05" hidden="false" customHeight="false" outlineLevel="0" collapsed="false">
      <c r="A112" s="4" t="n">
        <v>109</v>
      </c>
      <c r="B112" s="5" t="s">
        <v>214</v>
      </c>
      <c r="C112" s="5" t="s">
        <v>235</v>
      </c>
      <c r="D112" s="5" t="s">
        <v>236</v>
      </c>
      <c r="E112" s="5" t="s">
        <v>54</v>
      </c>
      <c r="F112" s="4" t="s">
        <v>49</v>
      </c>
      <c r="G112" s="6" t="n">
        <v>46191</v>
      </c>
      <c r="H112" s="8"/>
      <c r="I112" s="10" t="s">
        <v>22</v>
      </c>
      <c r="J112" s="5" t="s">
        <v>237</v>
      </c>
    </row>
    <row r="113" customFormat="false" ht="23.85" hidden="false" customHeight="false" outlineLevel="0" collapsed="false">
      <c r="A113" s="8" t="n">
        <v>110</v>
      </c>
      <c r="B113" s="9" t="s">
        <v>238</v>
      </c>
      <c r="C113" s="9" t="s">
        <v>238</v>
      </c>
      <c r="D113" s="9" t="s">
        <v>239</v>
      </c>
      <c r="E113" s="9" t="s">
        <v>15</v>
      </c>
      <c r="F113" s="8" t="s">
        <v>16</v>
      </c>
      <c r="G113" s="6" t="n">
        <v>46140</v>
      </c>
      <c r="H113" s="6" t="n">
        <v>46182</v>
      </c>
      <c r="I113" s="7" t="s">
        <v>17</v>
      </c>
      <c r="J113" s="9" t="s">
        <v>18</v>
      </c>
    </row>
    <row r="114" customFormat="false" ht="23.85" hidden="false" customHeight="false" outlineLevel="0" collapsed="false">
      <c r="A114" s="4" t="n">
        <v>111</v>
      </c>
      <c r="B114" s="5" t="s">
        <v>238</v>
      </c>
      <c r="C114" s="5" t="s">
        <v>240</v>
      </c>
      <c r="D114" s="5" t="s">
        <v>241</v>
      </c>
      <c r="E114" s="5" t="s">
        <v>15</v>
      </c>
      <c r="F114" s="4" t="s">
        <v>21</v>
      </c>
      <c r="G114" s="6" t="n">
        <v>46161</v>
      </c>
      <c r="H114" s="8"/>
      <c r="I114" s="10" t="s">
        <v>22</v>
      </c>
      <c r="J114" s="5" t="s">
        <v>22</v>
      </c>
    </row>
    <row r="115" customFormat="false" ht="23.85" hidden="false" customHeight="false" outlineLevel="0" collapsed="false">
      <c r="A115" s="8" t="n">
        <v>112</v>
      </c>
      <c r="B115" s="9" t="s">
        <v>242</v>
      </c>
      <c r="C115" s="9" t="s">
        <v>242</v>
      </c>
      <c r="D115" s="9" t="s">
        <v>243</v>
      </c>
      <c r="E115" s="9" t="s">
        <v>15</v>
      </c>
      <c r="F115" s="8" t="s">
        <v>16</v>
      </c>
      <c r="G115" s="6" t="n">
        <v>46140</v>
      </c>
      <c r="H115" s="6" t="n">
        <v>46140</v>
      </c>
      <c r="I115" s="7" t="s">
        <v>17</v>
      </c>
      <c r="J115" s="9" t="s">
        <v>18</v>
      </c>
    </row>
    <row r="116" customFormat="false" ht="23.85" hidden="false" customHeight="false" outlineLevel="0" collapsed="false">
      <c r="A116" s="4" t="n">
        <v>113</v>
      </c>
      <c r="B116" s="5" t="s">
        <v>244</v>
      </c>
      <c r="C116" s="5" t="s">
        <v>245</v>
      </c>
      <c r="D116" s="5" t="s">
        <v>246</v>
      </c>
      <c r="E116" s="5" t="s">
        <v>15</v>
      </c>
      <c r="F116" s="4" t="s">
        <v>21</v>
      </c>
      <c r="G116" s="6" t="n">
        <v>46161</v>
      </c>
      <c r="H116" s="6" t="n">
        <v>46182</v>
      </c>
      <c r="I116" s="7" t="s">
        <v>17</v>
      </c>
      <c r="J116" s="5" t="s">
        <v>18</v>
      </c>
    </row>
    <row r="117" customFormat="false" ht="23.85" hidden="false" customHeight="false" outlineLevel="0" collapsed="false">
      <c r="A117" s="8" t="n">
        <v>114</v>
      </c>
      <c r="B117" s="9" t="s">
        <v>244</v>
      </c>
      <c r="C117" s="9" t="s">
        <v>245</v>
      </c>
      <c r="D117" s="9" t="s">
        <v>247</v>
      </c>
      <c r="E117" s="9" t="s">
        <v>15</v>
      </c>
      <c r="F117" s="8" t="s">
        <v>21</v>
      </c>
      <c r="G117" s="6" t="n">
        <v>46161</v>
      </c>
      <c r="H117" s="6" t="n">
        <v>46182</v>
      </c>
      <c r="I117" s="7" t="s">
        <v>17</v>
      </c>
      <c r="J117" s="9" t="s">
        <v>18</v>
      </c>
    </row>
    <row r="118" customFormat="false" ht="35.05" hidden="false" customHeight="false" outlineLevel="0" collapsed="false">
      <c r="A118" s="4" t="n">
        <v>115</v>
      </c>
      <c r="B118" s="5" t="s">
        <v>244</v>
      </c>
      <c r="C118" s="5" t="s">
        <v>245</v>
      </c>
      <c r="D118" s="5" t="s">
        <v>248</v>
      </c>
      <c r="E118" s="5" t="s">
        <v>15</v>
      </c>
      <c r="F118" s="4" t="s">
        <v>21</v>
      </c>
      <c r="G118" s="6" t="n">
        <v>46161</v>
      </c>
      <c r="H118" s="6" t="n">
        <v>46182</v>
      </c>
      <c r="I118" s="7" t="s">
        <v>17</v>
      </c>
      <c r="J118" s="5" t="s">
        <v>18</v>
      </c>
    </row>
    <row r="119" customFormat="false" ht="23.85" hidden="false" customHeight="false" outlineLevel="0" collapsed="false">
      <c r="A119" s="8" t="n">
        <v>116</v>
      </c>
      <c r="B119" s="9" t="s">
        <v>244</v>
      </c>
      <c r="C119" s="9" t="s">
        <v>245</v>
      </c>
      <c r="D119" s="9" t="s">
        <v>249</v>
      </c>
      <c r="E119" s="9" t="s">
        <v>15</v>
      </c>
      <c r="F119" s="8" t="s">
        <v>21</v>
      </c>
      <c r="G119" s="6" t="n">
        <v>46161</v>
      </c>
      <c r="H119" s="6" t="n">
        <v>46161</v>
      </c>
      <c r="I119" s="7" t="s">
        <v>17</v>
      </c>
      <c r="J119" s="9" t="s">
        <v>18</v>
      </c>
    </row>
    <row r="120" customFormat="false" ht="35.05" hidden="false" customHeight="false" outlineLevel="0" collapsed="false">
      <c r="A120" s="4" t="n">
        <v>117</v>
      </c>
      <c r="B120" s="5" t="s">
        <v>244</v>
      </c>
      <c r="C120" s="5" t="s">
        <v>245</v>
      </c>
      <c r="D120" s="5" t="s">
        <v>250</v>
      </c>
      <c r="E120" s="5" t="s">
        <v>15</v>
      </c>
      <c r="F120" s="4" t="s">
        <v>21</v>
      </c>
      <c r="G120" s="6" t="n">
        <v>46161</v>
      </c>
      <c r="H120" s="6" t="n">
        <v>46161</v>
      </c>
      <c r="I120" s="7" t="s">
        <v>17</v>
      </c>
      <c r="J120" s="5" t="s">
        <v>18</v>
      </c>
    </row>
    <row r="121" customFormat="false" ht="23.85" hidden="false" customHeight="false" outlineLevel="0" collapsed="false">
      <c r="A121" s="8" t="n">
        <v>118</v>
      </c>
      <c r="B121" s="9" t="s">
        <v>244</v>
      </c>
      <c r="C121" s="9" t="s">
        <v>251</v>
      </c>
      <c r="D121" s="9" t="s">
        <v>252</v>
      </c>
      <c r="E121" s="9" t="s">
        <v>15</v>
      </c>
      <c r="F121" s="8" t="s">
        <v>21</v>
      </c>
      <c r="G121" s="6" t="n">
        <v>46161</v>
      </c>
      <c r="H121" s="6" t="n">
        <v>46161</v>
      </c>
      <c r="I121" s="7" t="s">
        <v>17</v>
      </c>
      <c r="J121" s="9" t="s">
        <v>18</v>
      </c>
    </row>
    <row r="122" customFormat="false" ht="23.85" hidden="false" customHeight="false" outlineLevel="0" collapsed="false">
      <c r="A122" s="4" t="n">
        <v>119</v>
      </c>
      <c r="B122" s="5" t="s">
        <v>244</v>
      </c>
      <c r="C122" s="5" t="s">
        <v>253</v>
      </c>
      <c r="D122" s="5" t="s">
        <v>254</v>
      </c>
      <c r="E122" s="5" t="s">
        <v>15</v>
      </c>
      <c r="F122" s="4" t="s">
        <v>21</v>
      </c>
      <c r="G122" s="6" t="n">
        <v>46161</v>
      </c>
      <c r="H122" s="8"/>
      <c r="I122" s="10" t="s">
        <v>22</v>
      </c>
      <c r="J122" s="5" t="s">
        <v>22</v>
      </c>
    </row>
    <row r="123" customFormat="false" ht="23.85" hidden="false" customHeight="false" outlineLevel="0" collapsed="false">
      <c r="A123" s="8" t="n">
        <v>120</v>
      </c>
      <c r="B123" s="9" t="s">
        <v>244</v>
      </c>
      <c r="C123" s="9" t="s">
        <v>255</v>
      </c>
      <c r="D123" s="9" t="s">
        <v>256</v>
      </c>
      <c r="E123" s="9" t="s">
        <v>15</v>
      </c>
      <c r="F123" s="8" t="s">
        <v>21</v>
      </c>
      <c r="G123" s="6" t="n">
        <v>46161</v>
      </c>
      <c r="H123" s="8"/>
      <c r="I123" s="10" t="s">
        <v>22</v>
      </c>
      <c r="J123" s="9" t="s">
        <v>23</v>
      </c>
    </row>
    <row r="124" customFormat="false" ht="23.85" hidden="false" customHeight="false" outlineLevel="0" collapsed="false">
      <c r="A124" s="4" t="n">
        <v>121</v>
      </c>
      <c r="B124" s="5" t="s">
        <v>244</v>
      </c>
      <c r="C124" s="5" t="s">
        <v>251</v>
      </c>
      <c r="D124" s="5" t="s">
        <v>257</v>
      </c>
      <c r="E124" s="5" t="s">
        <v>15</v>
      </c>
      <c r="F124" s="4" t="s">
        <v>49</v>
      </c>
      <c r="G124" s="6" t="n">
        <v>46182</v>
      </c>
      <c r="H124" s="6" t="n">
        <v>46182</v>
      </c>
      <c r="I124" s="7" t="s">
        <v>17</v>
      </c>
      <c r="J124" s="5" t="s">
        <v>18</v>
      </c>
    </row>
    <row r="125" customFormat="false" ht="23.85" hidden="false" customHeight="false" outlineLevel="0" collapsed="false">
      <c r="A125" s="8" t="n">
        <v>122</v>
      </c>
      <c r="B125" s="9" t="s">
        <v>244</v>
      </c>
      <c r="C125" s="9" t="s">
        <v>245</v>
      </c>
      <c r="D125" s="9" t="s">
        <v>258</v>
      </c>
      <c r="E125" s="9" t="s">
        <v>15</v>
      </c>
      <c r="F125" s="8" t="s">
        <v>49</v>
      </c>
      <c r="G125" s="6" t="n">
        <v>46189</v>
      </c>
      <c r="H125" s="8"/>
      <c r="I125" s="10" t="s">
        <v>22</v>
      </c>
      <c r="J125" s="9" t="s">
        <v>115</v>
      </c>
    </row>
    <row r="126" customFormat="false" ht="23.85" hidden="false" customHeight="false" outlineLevel="0" collapsed="false">
      <c r="A126" s="4" t="n">
        <v>123</v>
      </c>
      <c r="B126" s="5" t="s">
        <v>259</v>
      </c>
      <c r="C126" s="5" t="s">
        <v>260</v>
      </c>
      <c r="D126" s="5" t="s">
        <v>261</v>
      </c>
      <c r="E126" s="5" t="s">
        <v>15</v>
      </c>
      <c r="F126" s="4" t="s">
        <v>21</v>
      </c>
      <c r="G126" s="6" t="n">
        <v>46161</v>
      </c>
      <c r="H126" s="6" t="n">
        <v>46161</v>
      </c>
      <c r="I126" s="7" t="s">
        <v>17</v>
      </c>
      <c r="J126" s="5" t="s">
        <v>18</v>
      </c>
    </row>
  </sheetData>
  <autoFilter ref="A3:J126"/>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2"/>
  </cols>
  <sheetData>
    <row r="1" customFormat="false" ht="24" hidden="false" customHeight="true" outlineLevel="0" collapsed="false">
      <c r="A1" s="1" t="s">
        <v>262</v>
      </c>
      <c r="B1" s="1"/>
      <c r="C1" s="1"/>
      <c r="D1" s="1"/>
      <c r="E1" s="1"/>
    </row>
    <row r="2" customFormat="false" ht="24" hidden="false" customHeight="true" outlineLevel="0" collapsed="false">
      <c r="A2" s="3" t="s">
        <v>3</v>
      </c>
      <c r="B2" s="3" t="s">
        <v>263</v>
      </c>
      <c r="C2" s="3" t="s">
        <v>17</v>
      </c>
      <c r="D2" s="3" t="s">
        <v>22</v>
      </c>
      <c r="E2" s="3" t="s">
        <v>264</v>
      </c>
    </row>
    <row r="3" customFormat="false" ht="15" hidden="false" customHeight="false" outlineLevel="0" collapsed="false">
      <c r="A3" s="11" t="s">
        <v>12</v>
      </c>
      <c r="B3" s="12" t="n">
        <v>3</v>
      </c>
      <c r="C3" s="12" t="n">
        <v>1</v>
      </c>
      <c r="D3" s="12" t="n">
        <v>2</v>
      </c>
      <c r="E3" s="13" t="n">
        <f aca="false">C3/B3</f>
        <v>0.333333333333333</v>
      </c>
    </row>
    <row r="4" customFormat="false" ht="15" hidden="false" customHeight="false" outlineLevel="0" collapsed="false">
      <c r="A4" s="14" t="s">
        <v>26</v>
      </c>
      <c r="B4" s="15" t="n">
        <v>3</v>
      </c>
      <c r="C4" s="15" t="n">
        <v>3</v>
      </c>
      <c r="D4" s="15" t="n">
        <v>0</v>
      </c>
      <c r="E4" s="16" t="n">
        <f aca="false">C4/B4</f>
        <v>1</v>
      </c>
    </row>
    <row r="5" customFormat="false" ht="15" hidden="false" customHeight="false" outlineLevel="0" collapsed="false">
      <c r="A5" s="11" t="s">
        <v>31</v>
      </c>
      <c r="B5" s="12" t="n">
        <v>1</v>
      </c>
      <c r="C5" s="12" t="n">
        <v>1</v>
      </c>
      <c r="D5" s="12" t="n">
        <v>0</v>
      </c>
      <c r="E5" s="13" t="n">
        <f aca="false">C5/B5</f>
        <v>1</v>
      </c>
    </row>
    <row r="6" customFormat="false" ht="15" hidden="false" customHeight="false" outlineLevel="0" collapsed="false">
      <c r="A6" s="14" t="s">
        <v>33</v>
      </c>
      <c r="B6" s="15" t="n">
        <v>1</v>
      </c>
      <c r="C6" s="15" t="n">
        <v>1</v>
      </c>
      <c r="D6" s="15" t="n">
        <v>0</v>
      </c>
      <c r="E6" s="16" t="n">
        <f aca="false">C6/B6</f>
        <v>1</v>
      </c>
    </row>
    <row r="7" customFormat="false" ht="15" hidden="false" customHeight="false" outlineLevel="0" collapsed="false">
      <c r="A7" s="11" t="s">
        <v>35</v>
      </c>
      <c r="B7" s="12" t="n">
        <v>2</v>
      </c>
      <c r="C7" s="12" t="n">
        <v>1</v>
      </c>
      <c r="D7" s="12" t="n">
        <v>1</v>
      </c>
      <c r="E7" s="13" t="n">
        <f aca="false">C7/B7</f>
        <v>0.5</v>
      </c>
    </row>
    <row r="8" customFormat="false" ht="15" hidden="false" customHeight="false" outlineLevel="0" collapsed="false">
      <c r="A8" s="14" t="s">
        <v>40</v>
      </c>
      <c r="B8" s="15" t="n">
        <v>8</v>
      </c>
      <c r="C8" s="15" t="n">
        <v>8</v>
      </c>
      <c r="D8" s="15" t="n">
        <v>0</v>
      </c>
      <c r="E8" s="16" t="n">
        <f aca="false">C8/B8</f>
        <v>1</v>
      </c>
    </row>
    <row r="9" customFormat="false" ht="15" hidden="false" customHeight="false" outlineLevel="0" collapsed="false">
      <c r="A9" s="11" t="s">
        <v>56</v>
      </c>
      <c r="B9" s="12" t="n">
        <v>1</v>
      </c>
      <c r="C9" s="12" t="n">
        <v>1</v>
      </c>
      <c r="D9" s="12" t="n">
        <v>0</v>
      </c>
      <c r="E9" s="13" t="n">
        <f aca="false">C9/B9</f>
        <v>1</v>
      </c>
    </row>
    <row r="10" customFormat="false" ht="15" hidden="false" customHeight="false" outlineLevel="0" collapsed="false">
      <c r="A10" s="14" t="s">
        <v>59</v>
      </c>
      <c r="B10" s="15" t="n">
        <v>7</v>
      </c>
      <c r="C10" s="15" t="n">
        <v>3</v>
      </c>
      <c r="D10" s="15" t="n">
        <v>4</v>
      </c>
      <c r="E10" s="16" t="n">
        <f aca="false">C10/B10</f>
        <v>0.428571428571429</v>
      </c>
    </row>
    <row r="11" customFormat="false" ht="15" hidden="false" customHeight="false" outlineLevel="0" collapsed="false">
      <c r="A11" s="11" t="s">
        <v>73</v>
      </c>
      <c r="B11" s="12" t="n">
        <v>3</v>
      </c>
      <c r="C11" s="12" t="n">
        <v>0</v>
      </c>
      <c r="D11" s="12" t="n">
        <v>3</v>
      </c>
      <c r="E11" s="13" t="n">
        <f aca="false">C11/B11</f>
        <v>0</v>
      </c>
    </row>
    <row r="12" customFormat="false" ht="15" hidden="false" customHeight="false" outlineLevel="0" collapsed="false">
      <c r="A12" s="14" t="s">
        <v>78</v>
      </c>
      <c r="B12" s="15" t="n">
        <v>7</v>
      </c>
      <c r="C12" s="15" t="n">
        <v>6</v>
      </c>
      <c r="D12" s="15" t="n">
        <v>1</v>
      </c>
      <c r="E12" s="16" t="n">
        <f aca="false">C12/B12</f>
        <v>0.857142857142857</v>
      </c>
    </row>
    <row r="13" customFormat="false" ht="15" hidden="false" customHeight="false" outlineLevel="0" collapsed="false">
      <c r="A13" s="11" t="s">
        <v>92</v>
      </c>
      <c r="B13" s="12" t="n">
        <v>2</v>
      </c>
      <c r="C13" s="12" t="n">
        <v>0</v>
      </c>
      <c r="D13" s="12" t="n">
        <v>2</v>
      </c>
      <c r="E13" s="13" t="n">
        <f aca="false">C13/B13</f>
        <v>0</v>
      </c>
    </row>
    <row r="14" customFormat="false" ht="15" hidden="false" customHeight="false" outlineLevel="0" collapsed="false">
      <c r="A14" s="14" t="s">
        <v>99</v>
      </c>
      <c r="B14" s="15" t="n">
        <v>5</v>
      </c>
      <c r="C14" s="15" t="n">
        <v>5</v>
      </c>
      <c r="D14" s="15" t="n">
        <v>0</v>
      </c>
      <c r="E14" s="16" t="n">
        <f aca="false">C14/B14</f>
        <v>1</v>
      </c>
    </row>
    <row r="15" customFormat="false" ht="15" hidden="false" customHeight="false" outlineLevel="0" collapsed="false">
      <c r="A15" s="11" t="s">
        <v>105</v>
      </c>
      <c r="B15" s="12" t="n">
        <v>28</v>
      </c>
      <c r="C15" s="12" t="n">
        <v>10</v>
      </c>
      <c r="D15" s="12" t="n">
        <v>18</v>
      </c>
      <c r="E15" s="13" t="n">
        <f aca="false">C15/B15</f>
        <v>0.357142857142857</v>
      </c>
    </row>
    <row r="16" customFormat="false" ht="15" hidden="false" customHeight="false" outlineLevel="0" collapsed="false">
      <c r="A16" s="14" t="s">
        <v>177</v>
      </c>
      <c r="B16" s="15" t="n">
        <v>5</v>
      </c>
      <c r="C16" s="15" t="n">
        <v>2</v>
      </c>
      <c r="D16" s="15" t="n">
        <v>3</v>
      </c>
      <c r="E16" s="16" t="n">
        <f aca="false">C16/B16</f>
        <v>0.4</v>
      </c>
    </row>
    <row r="17" customFormat="false" ht="15" hidden="false" customHeight="false" outlineLevel="0" collapsed="false">
      <c r="A17" s="11" t="s">
        <v>187</v>
      </c>
      <c r="B17" s="12" t="n">
        <v>2</v>
      </c>
      <c r="C17" s="12" t="n">
        <v>2</v>
      </c>
      <c r="D17" s="12" t="n">
        <v>0</v>
      </c>
      <c r="E17" s="13" t="n">
        <f aca="false">C17/B17</f>
        <v>1</v>
      </c>
    </row>
    <row r="18" customFormat="false" ht="15" hidden="false" customHeight="false" outlineLevel="0" collapsed="false">
      <c r="A18" s="14" t="s">
        <v>191</v>
      </c>
      <c r="B18" s="15" t="n">
        <v>19</v>
      </c>
      <c r="C18" s="15" t="n">
        <v>19</v>
      </c>
      <c r="D18" s="15" t="n">
        <v>0</v>
      </c>
      <c r="E18" s="16" t="n">
        <f aca="false">C18/B18</f>
        <v>1</v>
      </c>
    </row>
    <row r="19" customFormat="false" ht="15" hidden="false" customHeight="false" outlineLevel="0" collapsed="false">
      <c r="A19" s="11" t="s">
        <v>214</v>
      </c>
      <c r="B19" s="12" t="n">
        <v>12</v>
      </c>
      <c r="C19" s="12" t="n">
        <v>7</v>
      </c>
      <c r="D19" s="12" t="n">
        <v>5</v>
      </c>
      <c r="E19" s="13" t="n">
        <f aca="false">C19/B19</f>
        <v>0.583333333333333</v>
      </c>
    </row>
    <row r="20" customFormat="false" ht="15" hidden="false" customHeight="false" outlineLevel="0" collapsed="false">
      <c r="A20" s="14" t="s">
        <v>238</v>
      </c>
      <c r="B20" s="15" t="n">
        <v>2</v>
      </c>
      <c r="C20" s="15" t="n">
        <v>1</v>
      </c>
      <c r="D20" s="15" t="n">
        <v>1</v>
      </c>
      <c r="E20" s="16" t="n">
        <f aca="false">C20/B20</f>
        <v>0.5</v>
      </c>
    </row>
    <row r="21" customFormat="false" ht="15" hidden="false" customHeight="false" outlineLevel="0" collapsed="false">
      <c r="A21" s="11" t="s">
        <v>242</v>
      </c>
      <c r="B21" s="12" t="n">
        <v>1</v>
      </c>
      <c r="C21" s="12" t="n">
        <v>1</v>
      </c>
      <c r="D21" s="12" t="n">
        <v>0</v>
      </c>
      <c r="E21" s="13" t="n">
        <f aca="false">C21/B21</f>
        <v>1</v>
      </c>
    </row>
    <row r="22" customFormat="false" ht="15" hidden="false" customHeight="false" outlineLevel="0" collapsed="false">
      <c r="A22" s="14" t="s">
        <v>244</v>
      </c>
      <c r="B22" s="15" t="n">
        <v>10</v>
      </c>
      <c r="C22" s="15" t="n">
        <v>7</v>
      </c>
      <c r="D22" s="15" t="n">
        <v>3</v>
      </c>
      <c r="E22" s="16" t="n">
        <f aca="false">C22/B22</f>
        <v>0.7</v>
      </c>
    </row>
    <row r="23" customFormat="false" ht="15" hidden="false" customHeight="false" outlineLevel="0" collapsed="false">
      <c r="A23" s="11" t="s">
        <v>259</v>
      </c>
      <c r="B23" s="12" t="n">
        <v>1</v>
      </c>
      <c r="C23" s="12" t="n">
        <v>1</v>
      </c>
      <c r="D23" s="12" t="n">
        <v>0</v>
      </c>
      <c r="E23" s="13" t="n">
        <f aca="false">C23/B23</f>
        <v>1</v>
      </c>
    </row>
    <row r="24" customFormat="false" ht="15" hidden="false" customHeight="false" outlineLevel="0" collapsed="false">
      <c r="A24" s="17" t="s">
        <v>265</v>
      </c>
      <c r="B24" s="17" t="n">
        <f aca="false">SUM(B3:B23)</f>
        <v>123</v>
      </c>
      <c r="C24" s="17" t="n">
        <f aca="false">SUM(C3:C23)</f>
        <v>80</v>
      </c>
      <c r="D24" s="17" t="n">
        <f aca="false">SUM(D3:D23)</f>
        <v>43</v>
      </c>
      <c r="E24" s="18" t="n">
        <f aca="false">C24/B24</f>
        <v>0.650406504065041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2026-07-15T04:51:30Z</dcterms:created>
  <dc:creator>openpyxl</dc:creator>
  <dc:description/>
  <dc:language>en-US</dc:language>
  <cp:lastModifiedBy/>
  <dcterms:modified xsi:type="dcterms:W3CDTF">2026-07-15T04:51:30Z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