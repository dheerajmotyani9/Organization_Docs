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MPSeDC Documents\DWRS\"/>
    </mc:Choice>
  </mc:AlternateContent>
  <xr:revisionPtr revIDLastSave="0" documentId="13_ncr:1_{3AAD4169-2C6E-4934-B204-DC2C3769D896}" xr6:coauthVersionLast="47" xr6:coauthVersionMax="47" xr10:uidLastSave="{00000000-0000-0000-0000-000000000000}"/>
  <bookViews>
    <workbookView xWindow="-108" yWindow="-108" windowWidth="23256" windowHeight="13896" firstSheet="4" activeTab="6" xr2:uid="{00000000-000D-0000-FFFF-FFFF00000000}"/>
  </bookViews>
  <sheets>
    <sheet name="WRD_L1_Login" sheetId="1" r:id="rId1"/>
    <sheet name="WRD_L2_Login" sheetId="5" r:id="rId2"/>
    <sheet name="WRD_L3" sheetId="7" r:id="rId3"/>
    <sheet name="SDERF_L1_Login" sheetId="2" r:id="rId4"/>
    <sheet name="SDERF_L2_Login" sheetId="4" r:id="rId5"/>
    <sheet name="SDERF_L3" sheetId="6" r:id="rId6"/>
    <sheet name="DIstrict_Admin" sheetId="12" r:id="rId7"/>
    <sheet name="Division" sheetId="13" r:id="rId8"/>
    <sheet name="Revenue_Admin_District" sheetId="9" r:id="rId9"/>
    <sheet name="Revenue_PRC" sheetId="3" r:id="rId10"/>
    <sheet name="SmartCity" sheetId="8" r:id="rId11"/>
    <sheet name="VBSR_MAP_IT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6" l="1"/>
  <c r="F10" i="4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I52" i="1"/>
  <c r="H81" i="2" l="1"/>
  <c r="F81" i="2"/>
  <c r="H54" i="4"/>
  <c r="F54" i="4"/>
  <c r="E54" i="12"/>
  <c r="F54" i="9"/>
  <c r="G25" i="2" l="1"/>
  <c r="G23" i="2"/>
  <c r="F11" i="13"/>
  <c r="F10" i="13"/>
  <c r="F9" i="13"/>
  <c r="F8" i="13"/>
  <c r="F7" i="13"/>
  <c r="F6" i="13"/>
  <c r="F5" i="13"/>
  <c r="F4" i="13"/>
  <c r="F3" i="13"/>
  <c r="F2" i="13"/>
  <c r="F80" i="2" l="1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G3" i="6" l="1"/>
  <c r="A4" i="6" l="1"/>
  <c r="A5" i="6" s="1"/>
  <c r="A6" i="6" s="1"/>
  <c r="A7" i="6" s="1"/>
  <c r="A3" i="6"/>
  <c r="G2" i="6"/>
  <c r="G24" i="2" l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3" i="6"/>
  <c r="E2" i="11"/>
  <c r="G2" i="11"/>
  <c r="I32" i="1"/>
  <c r="I33" i="1"/>
  <c r="I34" i="1"/>
  <c r="I35" i="1"/>
  <c r="I58" i="1"/>
  <c r="I36" i="1"/>
  <c r="I37" i="1"/>
  <c r="I38" i="1"/>
  <c r="I39" i="1"/>
  <c r="I53" i="1"/>
  <c r="I40" i="1"/>
  <c r="I59" i="1"/>
  <c r="I41" i="1"/>
  <c r="I60" i="1"/>
  <c r="I42" i="1"/>
  <c r="I61" i="1"/>
  <c r="I43" i="1"/>
  <c r="I44" i="1"/>
  <c r="I45" i="1"/>
  <c r="I46" i="1"/>
  <c r="I47" i="1"/>
  <c r="I48" i="1"/>
  <c r="I49" i="1"/>
  <c r="I50" i="1"/>
  <c r="I51" i="1"/>
  <c r="I31" i="1"/>
  <c r="I30" i="1"/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2" i="9"/>
  <c r="G3" i="8" l="1"/>
  <c r="G4" i="8"/>
  <c r="G5" i="8"/>
  <c r="G6" i="8"/>
  <c r="G7" i="8"/>
  <c r="G8" i="8"/>
  <c r="E5" i="8"/>
  <c r="E6" i="8"/>
  <c r="E7" i="8"/>
  <c r="E8" i="8"/>
  <c r="E3" i="8"/>
  <c r="E4" i="8"/>
  <c r="E2" i="8"/>
  <c r="G2" i="8"/>
  <c r="G4" i="7"/>
  <c r="E4" i="7"/>
  <c r="G3" i="7"/>
  <c r="E3" i="7"/>
  <c r="G2" i="7"/>
  <c r="E2" i="7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3" i="5"/>
  <c r="H2" i="5"/>
  <c r="H53" i="4"/>
  <c r="F53" i="4"/>
  <c r="H52" i="4"/>
  <c r="F52" i="4"/>
  <c r="H51" i="4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H9" i="4"/>
  <c r="F9" i="4"/>
  <c r="H8" i="4"/>
  <c r="F8" i="4"/>
  <c r="H7" i="4"/>
  <c r="F7" i="4"/>
  <c r="H6" i="4"/>
  <c r="F6" i="4"/>
  <c r="H5" i="4"/>
  <c r="F5" i="4"/>
  <c r="H4" i="4"/>
  <c r="F4" i="4"/>
  <c r="H3" i="4"/>
  <c r="F3" i="4"/>
  <c r="H2" i="4"/>
  <c r="F2" i="4"/>
  <c r="G3" i="3" l="1"/>
  <c r="G4" i="3"/>
  <c r="G2" i="3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4" i="2"/>
  <c r="G3" i="2"/>
  <c r="G2" i="2"/>
</calcChain>
</file>

<file path=xl/sharedStrings.xml><?xml version="1.0" encoding="utf-8"?>
<sst xmlns="http://schemas.openxmlformats.org/spreadsheetml/2006/main" count="1944" uniqueCount="788">
  <si>
    <t>S.No.</t>
  </si>
  <si>
    <t>District</t>
  </si>
  <si>
    <t>Authorised Person</t>
  </si>
  <si>
    <t>contact No.</t>
  </si>
  <si>
    <t>Bansagar Dam</t>
  </si>
  <si>
    <t>Shahdol</t>
  </si>
  <si>
    <t>Bansujara Major Project</t>
  </si>
  <si>
    <t>Tikamgarh</t>
  </si>
  <si>
    <t>Rajhuveer Singh</t>
  </si>
  <si>
    <t>Bargi</t>
  </si>
  <si>
    <t>Jabalpur</t>
  </si>
  <si>
    <t>Ajay Sure</t>
  </si>
  <si>
    <t>Barna Dam</t>
  </si>
  <si>
    <t>Raisen</t>
  </si>
  <si>
    <t>H.D. Kumhar</t>
  </si>
  <si>
    <t>Bawanthadi (Rajiv Sagar)</t>
  </si>
  <si>
    <t>Balaghat</t>
  </si>
  <si>
    <t>Ram sevak Verma</t>
  </si>
  <si>
    <t>Dholawad Tank</t>
  </si>
  <si>
    <t>Ratlam</t>
  </si>
  <si>
    <t>H.K. Malviya</t>
  </si>
  <si>
    <t>Gandhisagar Dam</t>
  </si>
  <si>
    <t>Mandsaure</t>
  </si>
  <si>
    <t>Arun singh Chouhan</t>
  </si>
  <si>
    <t>Gopikrishn Sagar</t>
  </si>
  <si>
    <t>Guna</t>
  </si>
  <si>
    <t>G.L. Dhanore</t>
  </si>
  <si>
    <t>Indirasagar</t>
  </si>
  <si>
    <t>Khandwa</t>
  </si>
  <si>
    <t>Control Room</t>
  </si>
  <si>
    <t>Kaka Sahab gadagil sagar Project</t>
  </si>
  <si>
    <t>Kaliasote Dam</t>
  </si>
  <si>
    <t>Bhopal</t>
  </si>
  <si>
    <t>Ashok Saxena</t>
  </si>
  <si>
    <t>Kerwan Dam</t>
  </si>
  <si>
    <t>Kolar Dam</t>
  </si>
  <si>
    <t>Sehore</t>
  </si>
  <si>
    <t>Harsha Jainwal</t>
  </si>
  <si>
    <t>Kundalia Major Project</t>
  </si>
  <si>
    <t>Rajgarh</t>
  </si>
  <si>
    <t>M.K. Saraf</t>
  </si>
  <si>
    <t>Madikheda Dam</t>
  </si>
  <si>
    <t>Shivpuri</t>
  </si>
  <si>
    <t>S.K. Agarwal</t>
  </si>
  <si>
    <t>Mahi Main Dam</t>
  </si>
  <si>
    <t>Jhabua</t>
  </si>
  <si>
    <t>Praveen Kharat</t>
  </si>
  <si>
    <t>Mahi Subsidiary Dam</t>
  </si>
  <si>
    <t>Dhar</t>
  </si>
  <si>
    <t>Mohanpura Multipurpose Project</t>
  </si>
  <si>
    <t>Ashok Kumar Dixit</t>
  </si>
  <si>
    <t>Omkareshwar Dam</t>
  </si>
  <si>
    <t>Parasdoh Tank</t>
  </si>
  <si>
    <t>Betul</t>
  </si>
  <si>
    <t>Ashok Dehariya</t>
  </si>
  <si>
    <t>Pawai Medium Irrigation Project</t>
  </si>
  <si>
    <t>Panna</t>
  </si>
  <si>
    <t>B.l. Dadoria</t>
  </si>
  <si>
    <t>Pench Diversion</t>
  </si>
  <si>
    <t>Chindwara</t>
  </si>
  <si>
    <t>N.K. Belwanshi</t>
  </si>
  <si>
    <t>Rajghat Dam</t>
  </si>
  <si>
    <t>Ashoknagar</t>
  </si>
  <si>
    <t>Retam Barrage</t>
  </si>
  <si>
    <t>Samrat Ashok Sagar (Halali)</t>
  </si>
  <si>
    <t>Vidisha</t>
  </si>
  <si>
    <t>R.K. Jain</t>
  </si>
  <si>
    <t>Sukta Tank</t>
  </si>
  <si>
    <t>Ashok Kumar Jain</t>
  </si>
  <si>
    <t>Tawa Dam</t>
  </si>
  <si>
    <t>Hoshangabad</t>
  </si>
  <si>
    <t>Ishwar Das Kumre</t>
  </si>
  <si>
    <t>Wainganga (Sanjay Sarovar)</t>
  </si>
  <si>
    <t>Seoni</t>
  </si>
  <si>
    <t>Name of the Dam</t>
  </si>
  <si>
    <t>Proposed Login</t>
  </si>
  <si>
    <t>Proposed Password</t>
  </si>
  <si>
    <t>bansagar</t>
  </si>
  <si>
    <t>bansujara</t>
  </si>
  <si>
    <t>bargi</t>
  </si>
  <si>
    <t>barna</t>
  </si>
  <si>
    <t>bawanthadi</t>
  </si>
  <si>
    <t>dholawad</t>
  </si>
  <si>
    <t>gandhisagar</t>
  </si>
  <si>
    <t>gopikrishn</t>
  </si>
  <si>
    <t>indirasagar</t>
  </si>
  <si>
    <t>kerwan</t>
  </si>
  <si>
    <t>kakasahab</t>
  </si>
  <si>
    <t>kaliasot</t>
  </si>
  <si>
    <t>Authorty</t>
  </si>
  <si>
    <t>CE</t>
  </si>
  <si>
    <t>EnC</t>
  </si>
  <si>
    <t>ACS</t>
  </si>
  <si>
    <t>Incharge Flood Cell</t>
  </si>
  <si>
    <t>floodcell</t>
  </si>
  <si>
    <t>kolar</t>
  </si>
  <si>
    <t>kundalia</t>
  </si>
  <si>
    <t>madikheda</t>
  </si>
  <si>
    <t>mahimain</t>
  </si>
  <si>
    <t>mahisub</t>
  </si>
  <si>
    <t>mohanpura</t>
  </si>
  <si>
    <t>omkareshwar</t>
  </si>
  <si>
    <t>parasdoh</t>
  </si>
  <si>
    <t>pawai</t>
  </si>
  <si>
    <t>pench</t>
  </si>
  <si>
    <t>rajghat</t>
  </si>
  <si>
    <t>retam</t>
  </si>
  <si>
    <t>halali</t>
  </si>
  <si>
    <t>sukta</t>
  </si>
  <si>
    <t>tawa</t>
  </si>
  <si>
    <t>wainganga</t>
  </si>
  <si>
    <t>State</t>
  </si>
  <si>
    <t>CE, Bodhi</t>
  </si>
  <si>
    <t>Flood Cell, State</t>
  </si>
  <si>
    <t>SDERF</t>
  </si>
  <si>
    <t>Type of User</t>
  </si>
  <si>
    <t>Call Taker</t>
  </si>
  <si>
    <t>Call Taker1</t>
  </si>
  <si>
    <t>Call Taker2</t>
  </si>
  <si>
    <t>Call Taker3</t>
  </si>
  <si>
    <t>Call Taker4</t>
  </si>
  <si>
    <t>Call Taker5</t>
  </si>
  <si>
    <t>Call Taker6</t>
  </si>
  <si>
    <t>Call Taker7</t>
  </si>
  <si>
    <t>Call Taker8</t>
  </si>
  <si>
    <t>Call Taker9</t>
  </si>
  <si>
    <t>Call Taker10</t>
  </si>
  <si>
    <t>Call Taker11</t>
  </si>
  <si>
    <t>Call Taker12</t>
  </si>
  <si>
    <t>Call Taker13</t>
  </si>
  <si>
    <t>Call Taker14</t>
  </si>
  <si>
    <t>Call Taker15</t>
  </si>
  <si>
    <t>Call Taker16</t>
  </si>
  <si>
    <t>Call Taker17</t>
  </si>
  <si>
    <t>Call Taker18</t>
  </si>
  <si>
    <t>Call Taker19</t>
  </si>
  <si>
    <t>Call Taker20</t>
  </si>
  <si>
    <t>ct1</t>
  </si>
  <si>
    <t>ct2</t>
  </si>
  <si>
    <t>ct3</t>
  </si>
  <si>
    <t>ct4</t>
  </si>
  <si>
    <t>ct5</t>
  </si>
  <si>
    <t>ct6</t>
  </si>
  <si>
    <t>ct7</t>
  </si>
  <si>
    <t>ct8</t>
  </si>
  <si>
    <t>ct9</t>
  </si>
  <si>
    <t>ct10</t>
  </si>
  <si>
    <t>ct11</t>
  </si>
  <si>
    <t>ct12</t>
  </si>
  <si>
    <t>ct13</t>
  </si>
  <si>
    <t>ct14</t>
  </si>
  <si>
    <t>ct15</t>
  </si>
  <si>
    <t>ct16</t>
  </si>
  <si>
    <t>ct17</t>
  </si>
  <si>
    <t>ct18</t>
  </si>
  <si>
    <t>ct19</t>
  </si>
  <si>
    <t>ct20</t>
  </si>
  <si>
    <t>District Commandant</t>
  </si>
  <si>
    <t>DAM Incharge</t>
  </si>
  <si>
    <t>State Command Centre</t>
  </si>
  <si>
    <t>Agar malwa</t>
  </si>
  <si>
    <t>Alirajpur</t>
  </si>
  <si>
    <t>Anuppur</t>
  </si>
  <si>
    <t>Barwani</t>
  </si>
  <si>
    <t>Bhind</t>
  </si>
  <si>
    <t>Burhanpur</t>
  </si>
  <si>
    <t>Chhatarpur</t>
  </si>
  <si>
    <t>Chhindwara</t>
  </si>
  <si>
    <t>Damoh</t>
  </si>
  <si>
    <t>Datia</t>
  </si>
  <si>
    <t>Dewas</t>
  </si>
  <si>
    <t>Dindori</t>
  </si>
  <si>
    <t>Gwalior</t>
  </si>
  <si>
    <t>Harda</t>
  </si>
  <si>
    <t>Indore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</si>
  <si>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</si>
  <si>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</si>
  <si>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</si>
  <si>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</si>
  <si>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</si>
  <si>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</si>
  <si>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</si>
  <si>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</si>
  <si>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Rewa</t>
  </si>
  <si>
    <t>Sagar</t>
  </si>
  <si>
    <t>Satna</t>
  </si>
  <si>
    <t>Shajapur</t>
  </si>
  <si>
    <t>Sheopur</t>
  </si>
  <si>
    <t>Sidhi</t>
  </si>
  <si>
    <t>Singrauli</t>
  </si>
  <si>
    <t>Ujjain</t>
  </si>
  <si>
    <t>Umaria</t>
  </si>
  <si>
    <t>DG, Home Guard</t>
  </si>
  <si>
    <t>State Level Authority</t>
  </si>
  <si>
    <t>dcagar</t>
  </si>
  <si>
    <t>dcalirajpur</t>
  </si>
  <si>
    <t>dcanuppur</t>
  </si>
  <si>
    <t>dcashoknagar</t>
  </si>
  <si>
    <t>dcbalaghat</t>
  </si>
  <si>
    <t>dcbarwani</t>
  </si>
  <si>
    <t>dcbetul</t>
  </si>
  <si>
    <t>dcbhind</t>
  </si>
  <si>
    <t>dcbhopal</t>
  </si>
  <si>
    <t>dcburhanpur</t>
  </si>
  <si>
    <t>dcchhatarpur</t>
  </si>
  <si>
    <t>dcchhindwara</t>
  </si>
  <si>
    <t>dcdamoh</t>
  </si>
  <si>
    <t>dcdatia</t>
  </si>
  <si>
    <t>dcdewas</t>
  </si>
  <si>
    <t>dcdhar</t>
  </si>
  <si>
    <t>dcdindori</t>
  </si>
  <si>
    <t>dcguna</t>
  </si>
  <si>
    <t>dcgwalior</t>
  </si>
  <si>
    <t>dcharda</t>
  </si>
  <si>
    <t>dchoshangabad</t>
  </si>
  <si>
    <t>dcindore</t>
  </si>
  <si>
    <t>dcjabalpur</t>
  </si>
  <si>
    <t>dcjhabua</t>
  </si>
  <si>
    <t>dckatni</t>
  </si>
  <si>
    <t>dckhandwa</t>
  </si>
  <si>
    <t>dckhargone</t>
  </si>
  <si>
    <t>dcmandla</t>
  </si>
  <si>
    <t>dcmandsaur</t>
  </si>
  <si>
    <t>dcmorena</t>
  </si>
  <si>
    <t>dcnarsinghpur</t>
  </si>
  <si>
    <t>dcneemuch</t>
  </si>
  <si>
    <t>dcniwari</t>
  </si>
  <si>
    <t>dcpanna</t>
  </si>
  <si>
    <t>dcraisen</t>
  </si>
  <si>
    <t>dcrajgarh</t>
  </si>
  <si>
    <t>dcratlam</t>
  </si>
  <si>
    <t>dcrewa</t>
  </si>
  <si>
    <t>dcsagar</t>
  </si>
  <si>
    <t>dcsatna</t>
  </si>
  <si>
    <t>dcsehore</t>
  </si>
  <si>
    <t>dcseoni</t>
  </si>
  <si>
    <t>dcshahdol</t>
  </si>
  <si>
    <t>dcshajapur</t>
  </si>
  <si>
    <t>dcsheopur</t>
  </si>
  <si>
    <t>dcshivpuri</t>
  </si>
  <si>
    <t>dcsidhi</t>
  </si>
  <si>
    <t>dcsingrauli</t>
  </si>
  <si>
    <t>dctikamgarh</t>
  </si>
  <si>
    <t>dcujjain</t>
  </si>
  <si>
    <t>dcumaria</t>
  </si>
  <si>
    <t>dcvidisha</t>
  </si>
  <si>
    <t>cebodhi</t>
  </si>
  <si>
    <t>encwrd</t>
  </si>
  <si>
    <t>acswrd</t>
  </si>
  <si>
    <t>District/State</t>
  </si>
  <si>
    <t>PRC</t>
  </si>
  <si>
    <t>State Authority</t>
  </si>
  <si>
    <t>Technical Officer, PRC</t>
  </si>
  <si>
    <t>DS, Revenue, PRC</t>
  </si>
  <si>
    <t>prc</t>
  </si>
  <si>
    <t>dsprc</t>
  </si>
  <si>
    <t>toprc</t>
  </si>
  <si>
    <t>Facility in EWS, Portal</t>
  </si>
  <si>
    <t>Dashboard</t>
  </si>
  <si>
    <t>Dam_ID</t>
  </si>
  <si>
    <t>Dist_ID</t>
  </si>
  <si>
    <t>501</t>
  </si>
  <si>
    <t>465</t>
  </si>
  <si>
    <t>461</t>
  </si>
  <si>
    <t>459</t>
  </si>
  <si>
    <t>457</t>
  </si>
  <si>
    <t>441</t>
  </si>
  <si>
    <t>447</t>
  </si>
  <si>
    <t>420</t>
  </si>
  <si>
    <t>444</t>
  </si>
  <si>
    <t>467</t>
  </si>
  <si>
    <t>425</t>
  </si>
  <si>
    <t>455</t>
  </si>
  <si>
    <t>428</t>
  </si>
  <si>
    <t>422</t>
  </si>
  <si>
    <t>437</t>
  </si>
  <si>
    <t>438</t>
  </si>
  <si>
    <t>453</t>
  </si>
  <si>
    <t>458</t>
  </si>
  <si>
    <t>421</t>
  </si>
  <si>
    <t>448</t>
  </si>
  <si>
    <t>449</t>
  </si>
  <si>
    <t>439</t>
  </si>
  <si>
    <t>451</t>
  </si>
  <si>
    <t>464</t>
  </si>
  <si>
    <t>450</t>
  </si>
  <si>
    <t>466</t>
  </si>
  <si>
    <t>440</t>
  </si>
  <si>
    <t>454</t>
  </si>
  <si>
    <t>433</t>
  </si>
  <si>
    <t>419</t>
  </si>
  <si>
    <t>452</t>
  </si>
  <si>
    <t>432</t>
  </si>
  <si>
    <t>426</t>
  </si>
  <si>
    <t>446</t>
  </si>
  <si>
    <t>442</t>
  </si>
  <si>
    <t>434</t>
  </si>
  <si>
    <t>430</t>
  </si>
  <si>
    <t>427</t>
  </si>
  <si>
    <t>429</t>
  </si>
  <si>
    <t>445</t>
  </si>
  <si>
    <t>456</t>
  </si>
  <si>
    <t>460</t>
  </si>
  <si>
    <t>436</t>
  </si>
  <si>
    <t>418</t>
  </si>
  <si>
    <t>423</t>
  </si>
  <si>
    <t>462</t>
  </si>
  <si>
    <t>463</t>
  </si>
  <si>
    <t>424</t>
  </si>
  <si>
    <t>435</t>
  </si>
  <si>
    <t>431</t>
  </si>
  <si>
    <t>443</t>
  </si>
  <si>
    <t>ceujjain</t>
  </si>
  <si>
    <t>ceseoni</t>
  </si>
  <si>
    <t>ceindore</t>
  </si>
  <si>
    <t>cerewa</t>
  </si>
  <si>
    <t>cebhopal</t>
  </si>
  <si>
    <t>cehoshangabad</t>
  </si>
  <si>
    <t>cegwalior</t>
  </si>
  <si>
    <t>cesagar</t>
  </si>
  <si>
    <t>cedatia</t>
  </si>
  <si>
    <t>WRD</t>
  </si>
  <si>
    <t>PS</t>
  </si>
  <si>
    <t>pswrd</t>
  </si>
  <si>
    <t>Smart City</t>
  </si>
  <si>
    <t>Technical Officer, Smart City</t>
  </si>
  <si>
    <t>scbhopal</t>
  </si>
  <si>
    <t>scindore</t>
  </si>
  <si>
    <t>scgwalior</t>
  </si>
  <si>
    <t>scjabalpur</t>
  </si>
  <si>
    <t>scsagar</t>
  </si>
  <si>
    <t>scsatna</t>
  </si>
  <si>
    <t>scujjain</t>
  </si>
  <si>
    <t>IrDa000723</t>
  </si>
  <si>
    <t>IrDa004852</t>
  </si>
  <si>
    <t>IrDa003063</t>
  </si>
  <si>
    <t>IrDa002349</t>
  </si>
  <si>
    <t>IrDa004827</t>
  </si>
  <si>
    <t>IrDa000882</t>
  </si>
  <si>
    <t>IrDa002677</t>
  </si>
  <si>
    <t>IrDa003267</t>
  </si>
  <si>
    <t>IrDa002880</t>
  </si>
  <si>
    <t>IrDa002646</t>
  </si>
  <si>
    <t>IrDa000766</t>
  </si>
  <si>
    <t>IrDa000765</t>
  </si>
  <si>
    <t>IrDa001567</t>
  </si>
  <si>
    <t>IrDa002162</t>
  </si>
  <si>
    <t>IrDa001283</t>
  </si>
  <si>
    <t>IrDa003452</t>
  </si>
  <si>
    <t>IrDa003453</t>
  </si>
  <si>
    <t>IrDa000762</t>
  </si>
  <si>
    <t>IrDa002857</t>
  </si>
  <si>
    <t>IrDa004104</t>
  </si>
  <si>
    <t>IrDa002460</t>
  </si>
  <si>
    <t>IrDa003857</t>
  </si>
  <si>
    <t>IrDa004842</t>
  </si>
  <si>
    <t>IrDa004839</t>
  </si>
  <si>
    <t>IrDa001050</t>
  </si>
  <si>
    <t>IrDa002853</t>
  </si>
  <si>
    <t>IrDa000940</t>
  </si>
  <si>
    <t>IrDa000889</t>
  </si>
  <si>
    <t>SLR</t>
  </si>
  <si>
    <t>District Revenue Officer</t>
  </si>
  <si>
    <t>revagar@123</t>
  </si>
  <si>
    <t>revalirajpur@123</t>
  </si>
  <si>
    <t>revanuppur@123</t>
  </si>
  <si>
    <t>revashoknagar@123</t>
  </si>
  <si>
    <t>revbalaghat@123</t>
  </si>
  <si>
    <t>revbarwani@123</t>
  </si>
  <si>
    <t>revbetul@123</t>
  </si>
  <si>
    <t>revbhind@123</t>
  </si>
  <si>
    <t>revbhopal@123</t>
  </si>
  <si>
    <t>revburhanpur@123</t>
  </si>
  <si>
    <t>revchhatarpur@123</t>
  </si>
  <si>
    <t>revchhindwara@123</t>
  </si>
  <si>
    <t>revdamoh@123</t>
  </si>
  <si>
    <t>revdatia@123</t>
  </si>
  <si>
    <t>revdewas@123</t>
  </si>
  <si>
    <t>revdhar@123</t>
  </si>
  <si>
    <t>revdindori@123</t>
  </si>
  <si>
    <t>revguna@123</t>
  </si>
  <si>
    <t>revgwalior@123</t>
  </si>
  <si>
    <t>revharda@123</t>
  </si>
  <si>
    <t>revhoshangabad@123</t>
  </si>
  <si>
    <t>revindore@123</t>
  </si>
  <si>
    <t>revjabalpur@123</t>
  </si>
  <si>
    <t>revjhabua@123</t>
  </si>
  <si>
    <t>revkatni@123</t>
  </si>
  <si>
    <t>revkhandwa@123</t>
  </si>
  <si>
    <t>revkhargone@123</t>
  </si>
  <si>
    <t>revmandla@123</t>
  </si>
  <si>
    <t>revmandsaur@123</t>
  </si>
  <si>
    <t>revmorena@123</t>
  </si>
  <si>
    <t>revnarsinghpur@123</t>
  </si>
  <si>
    <t>revneemuch@123</t>
  </si>
  <si>
    <t>revniwari@123</t>
  </si>
  <si>
    <t>revpanna@123</t>
  </si>
  <si>
    <t>revraisen@123</t>
  </si>
  <si>
    <t>revrajgarh@123</t>
  </si>
  <si>
    <t>revratlam@123</t>
  </si>
  <si>
    <t>revrewa@123</t>
  </si>
  <si>
    <t>revsagar@123</t>
  </si>
  <si>
    <t>revsatna@123</t>
  </si>
  <si>
    <t>revsehore@123</t>
  </si>
  <si>
    <t>revseoni@123</t>
  </si>
  <si>
    <t>revshahdol@123</t>
  </si>
  <si>
    <t>revshajapur@123</t>
  </si>
  <si>
    <t>revsheopur@123</t>
  </si>
  <si>
    <t>revshivpuri@123</t>
  </si>
  <si>
    <t>revsidhi@123</t>
  </si>
  <si>
    <t>revsingrauli@123</t>
  </si>
  <si>
    <t>revtikamgarh@123</t>
  </si>
  <si>
    <t>revujjain@123</t>
  </si>
  <si>
    <t>revumaria@123</t>
  </si>
  <si>
    <t>revvidisha@123</t>
  </si>
  <si>
    <t>Suresh Mandliya</t>
  </si>
  <si>
    <t>O.P.Rajoriya</t>
  </si>
  <si>
    <t>Kutni</t>
  </si>
  <si>
    <t>IrDa000175</t>
  </si>
  <si>
    <t>Rangawan</t>
  </si>
  <si>
    <t>IrDa000682</t>
  </si>
  <si>
    <t>Singhpur</t>
  </si>
  <si>
    <t>IrDa003885</t>
  </si>
  <si>
    <t>Urmil</t>
  </si>
  <si>
    <t>IrDa003939</t>
  </si>
  <si>
    <t>Harsi</t>
  </si>
  <si>
    <t>IrDa003118</t>
  </si>
  <si>
    <t>Tigra</t>
  </si>
  <si>
    <t>IrDa003119</t>
  </si>
  <si>
    <t>Pillowa Kotwal Upper Kaketo Mahuar</t>
  </si>
  <si>
    <t>IrDa003125</t>
  </si>
  <si>
    <t>Pehsari</t>
  </si>
  <si>
    <t>IrDa003212</t>
  </si>
  <si>
    <t>Dejala Dewda</t>
  </si>
  <si>
    <t>IrDa002828</t>
  </si>
  <si>
    <t>Matiyari</t>
  </si>
  <si>
    <t>IrDa000631</t>
  </si>
  <si>
    <t>Aoda</t>
  </si>
  <si>
    <t>IrDa000075</t>
  </si>
  <si>
    <t>IrDa002570</t>
  </si>
  <si>
    <t>Pagara</t>
  </si>
  <si>
    <t>IrDa002594</t>
  </si>
  <si>
    <t>Bankpura</t>
  </si>
  <si>
    <t>IrDa002233</t>
  </si>
  <si>
    <t>Kushalpura</t>
  </si>
  <si>
    <t>IrDa002291</t>
  </si>
  <si>
    <t>Dudhi</t>
  </si>
  <si>
    <t>IrDa002308</t>
  </si>
  <si>
    <t xml:space="preserve">Rajgarh </t>
  </si>
  <si>
    <t>IrDa001814</t>
  </si>
  <si>
    <t>Tilawd</t>
  </si>
  <si>
    <t>IrDa001369</t>
  </si>
  <si>
    <t>Upper Kaketo</t>
  </si>
  <si>
    <t>IrDa001342</t>
  </si>
  <si>
    <t>Mahuar</t>
  </si>
  <si>
    <t>IrDa004845</t>
  </si>
  <si>
    <t>Mohini Pick Up Weir</t>
  </si>
  <si>
    <t>IrDa004849</t>
  </si>
  <si>
    <t>Mahan</t>
  </si>
  <si>
    <t>IrDa001254</t>
  </si>
  <si>
    <t>Sagad</t>
  </si>
  <si>
    <t>IrDa000927</t>
  </si>
  <si>
    <t>Sanjay Sagar(Bah) Project</t>
  </si>
  <si>
    <t>IrDa004836</t>
  </si>
  <si>
    <t>IrDa004623</t>
  </si>
  <si>
    <t>Kaketo Dam</t>
  </si>
  <si>
    <t>IrDa001285</t>
  </si>
  <si>
    <t>Thanwar Dam</t>
  </si>
  <si>
    <t>IrDa002689</t>
  </si>
  <si>
    <t>Bilgaon Medium Project</t>
  </si>
  <si>
    <t>kutni</t>
  </si>
  <si>
    <t>rangawan</t>
  </si>
  <si>
    <t>singhpur</t>
  </si>
  <si>
    <t>urmil</t>
  </si>
  <si>
    <t>harsi</t>
  </si>
  <si>
    <t>tigra</t>
  </si>
  <si>
    <t>pehsari</t>
  </si>
  <si>
    <t>matiyari</t>
  </si>
  <si>
    <t>aoda</t>
  </si>
  <si>
    <t>kotwal</t>
  </si>
  <si>
    <t>pagara</t>
  </si>
  <si>
    <t>bankpura</t>
  </si>
  <si>
    <t>kushalpura</t>
  </si>
  <si>
    <t>dudhi</t>
  </si>
  <si>
    <t>pagra</t>
  </si>
  <si>
    <t>tilawd</t>
  </si>
  <si>
    <t>mahuar</t>
  </si>
  <si>
    <t>mahan</t>
  </si>
  <si>
    <t>sagad</t>
  </si>
  <si>
    <t>upperkaketo</t>
  </si>
  <si>
    <t>kaketo</t>
  </si>
  <si>
    <t>dejaladewda</t>
  </si>
  <si>
    <t>sanjaysagar</t>
  </si>
  <si>
    <t>bilgaon</t>
  </si>
  <si>
    <t>thanwar</t>
  </si>
  <si>
    <t>mohini</t>
  </si>
  <si>
    <t>R.K. Singh</t>
  </si>
  <si>
    <t>VBSR</t>
  </si>
  <si>
    <t>vbsr</t>
  </si>
  <si>
    <t>MPSEDC</t>
  </si>
  <si>
    <t>MPSEDC_GIS</t>
  </si>
  <si>
    <t>mpsedc</t>
  </si>
  <si>
    <t>mpsedc@123</t>
  </si>
  <si>
    <t>DIV Commandant</t>
  </si>
  <si>
    <t>DIV Commandant, Home Guard</t>
  </si>
  <si>
    <t>DIG/ ACG</t>
  </si>
  <si>
    <t>DIG/ACG, Home Guard</t>
  </si>
  <si>
    <t>dig@123</t>
  </si>
  <si>
    <t>IG</t>
  </si>
  <si>
    <t>IG, Home Guard</t>
  </si>
  <si>
    <t>ig@123</t>
  </si>
  <si>
    <t>daagar@123</t>
  </si>
  <si>
    <t>daalirajpur@123</t>
  </si>
  <si>
    <t>daanuppur@123</t>
  </si>
  <si>
    <t>daashoknagar@123</t>
  </si>
  <si>
    <t>dabalaghat@123</t>
  </si>
  <si>
    <t>dabarwani@123</t>
  </si>
  <si>
    <t>dabetul@123</t>
  </si>
  <si>
    <t>dabhind@123</t>
  </si>
  <si>
    <t>dabhopal@123</t>
  </si>
  <si>
    <t>daburhanpur@123</t>
  </si>
  <si>
    <t>dachhatarpur@123</t>
  </si>
  <si>
    <t>dachhindwara@123</t>
  </si>
  <si>
    <t>dadamoh@123</t>
  </si>
  <si>
    <t>dadatia@123</t>
  </si>
  <si>
    <t>dadewas@123</t>
  </si>
  <si>
    <t>dadhar@123</t>
  </si>
  <si>
    <t>dadindori@123</t>
  </si>
  <si>
    <t>daguna@123</t>
  </si>
  <si>
    <t>dagwalior@123</t>
  </si>
  <si>
    <t>daharda@123</t>
  </si>
  <si>
    <t>dahoshangabad@123</t>
  </si>
  <si>
    <t>daindore@123</t>
  </si>
  <si>
    <t>dajabalpur@123</t>
  </si>
  <si>
    <t>dajhabua@123</t>
  </si>
  <si>
    <t>dakatni@123</t>
  </si>
  <si>
    <t>dakhandwa@123</t>
  </si>
  <si>
    <t>dakhargone@123</t>
  </si>
  <si>
    <t>damandla@123</t>
  </si>
  <si>
    <t>damandsaur@123</t>
  </si>
  <si>
    <t>damorena@123</t>
  </si>
  <si>
    <t>danarsinghpur@123</t>
  </si>
  <si>
    <t>daneemuch@123</t>
  </si>
  <si>
    <t>daniwari@123</t>
  </si>
  <si>
    <t>dapanna@123</t>
  </si>
  <si>
    <t>daraisen@123</t>
  </si>
  <si>
    <t>darajgarh@123</t>
  </si>
  <si>
    <t>daratlam@123</t>
  </si>
  <si>
    <t>darewa@123</t>
  </si>
  <si>
    <t>dasagar@123</t>
  </si>
  <si>
    <t>dasatna@123</t>
  </si>
  <si>
    <t>dasehore@123</t>
  </si>
  <si>
    <t>daseoni@123</t>
  </si>
  <si>
    <t>dashahdol@123</t>
  </si>
  <si>
    <t>dashajapur@123</t>
  </si>
  <si>
    <t>dasheopur@123</t>
  </si>
  <si>
    <t>dashivpuri@123</t>
  </si>
  <si>
    <t>dasidhi@123</t>
  </si>
  <si>
    <t>dasingrauli@123</t>
  </si>
  <si>
    <t>datikamgarh@123</t>
  </si>
  <si>
    <t>daujjain@123</t>
  </si>
  <si>
    <t>daumaria@123</t>
  </si>
  <si>
    <t>davidisha@123</t>
  </si>
  <si>
    <t>District Administrator</t>
  </si>
  <si>
    <t>daraisen</t>
  </si>
  <si>
    <t>revbhind</t>
  </si>
  <si>
    <t>adg</t>
  </si>
  <si>
    <t>ADG</t>
  </si>
  <si>
    <t>dig</t>
  </si>
  <si>
    <t>ig</t>
  </si>
  <si>
    <t>da_agar</t>
  </si>
  <si>
    <t>da_alirajpur</t>
  </si>
  <si>
    <t>da_anuppur</t>
  </si>
  <si>
    <t>da_ashoknagar</t>
  </si>
  <si>
    <t>da_balaghat</t>
  </si>
  <si>
    <t>da_barwani</t>
  </si>
  <si>
    <t>da_betul</t>
  </si>
  <si>
    <t>da_bhind</t>
  </si>
  <si>
    <t>da_bhopal</t>
  </si>
  <si>
    <t>da_burhanpur</t>
  </si>
  <si>
    <t>da_chhatarpur</t>
  </si>
  <si>
    <t>da_chhindwara</t>
  </si>
  <si>
    <t>da_damoh</t>
  </si>
  <si>
    <t>da_datia</t>
  </si>
  <si>
    <t>da_dewas</t>
  </si>
  <si>
    <t>da_dhar</t>
  </si>
  <si>
    <t>da_vidisha</t>
  </si>
  <si>
    <t>da_umaria</t>
  </si>
  <si>
    <t>da_ujjain</t>
  </si>
  <si>
    <t>da_tikamgarh</t>
  </si>
  <si>
    <t>da_singrauli</t>
  </si>
  <si>
    <t>da_sidhi</t>
  </si>
  <si>
    <t>da_shivpuri</t>
  </si>
  <si>
    <t>da_sheopur</t>
  </si>
  <si>
    <t>da_shajapur</t>
  </si>
  <si>
    <t>da_shahdol</t>
  </si>
  <si>
    <t>da_seoni</t>
  </si>
  <si>
    <t>da_sehore</t>
  </si>
  <si>
    <t>da_satna</t>
  </si>
  <si>
    <t>da_sagar</t>
  </si>
  <si>
    <t>rev_agar</t>
  </si>
  <si>
    <t>rev_alirajpur</t>
  </si>
  <si>
    <t>rev_anuppur</t>
  </si>
  <si>
    <t>rev_ashoknagar</t>
  </si>
  <si>
    <t>rev_balaghat</t>
  </si>
  <si>
    <t>rev_barwani</t>
  </si>
  <si>
    <t>rev_betul</t>
  </si>
  <si>
    <t>rev_bhopal</t>
  </si>
  <si>
    <t>rev_burhanpur</t>
  </si>
  <si>
    <t>rev_vidisha</t>
  </si>
  <si>
    <t>rev_umaria</t>
  </si>
  <si>
    <t>rev_ujjain</t>
  </si>
  <si>
    <t>rev_tikamgarh</t>
  </si>
  <si>
    <t>re_vsingrauli</t>
  </si>
  <si>
    <t>rev_sidhi</t>
  </si>
  <si>
    <t>rev_shivpuri</t>
  </si>
  <si>
    <t>rev_sheopur</t>
  </si>
  <si>
    <t>rev_chhatarpur</t>
  </si>
  <si>
    <t>rev_chhindwara</t>
  </si>
  <si>
    <t>rev_damoh</t>
  </si>
  <si>
    <t>rev_datia</t>
  </si>
  <si>
    <t>rev_dewas</t>
  </si>
  <si>
    <t>rev_dhar</t>
  </si>
  <si>
    <t>rev_dindori</t>
  </si>
  <si>
    <t>rev_guna</t>
  </si>
  <si>
    <t>rev_gwalior</t>
  </si>
  <si>
    <t>rev_harda</t>
  </si>
  <si>
    <t>rev_hoshangabad</t>
  </si>
  <si>
    <t>rev_indore</t>
  </si>
  <si>
    <t>rev_jabalpur</t>
  </si>
  <si>
    <t>rev_jhabua</t>
  </si>
  <si>
    <t>rev_katni</t>
  </si>
  <si>
    <t>rev_khandwa</t>
  </si>
  <si>
    <t>rev_khargone</t>
  </si>
  <si>
    <t>rev_mandla</t>
  </si>
  <si>
    <t>rev_mandsaur</t>
  </si>
  <si>
    <t>rev_morena</t>
  </si>
  <si>
    <t>rev_narsinghpur</t>
  </si>
  <si>
    <t>rev_neemuch</t>
  </si>
  <si>
    <t>rev_niwari</t>
  </si>
  <si>
    <t>rev_panna</t>
  </si>
  <si>
    <t>rev_raisen</t>
  </si>
  <si>
    <t>rev_rajgarh</t>
  </si>
  <si>
    <t>rev_ratlam</t>
  </si>
  <si>
    <t>rev_rewa</t>
  </si>
  <si>
    <t>rev_sagar</t>
  </si>
  <si>
    <t>rev_satna</t>
  </si>
  <si>
    <t>rev_sehore</t>
  </si>
  <si>
    <t>rev_seoni</t>
  </si>
  <si>
    <t>rev_shahdol</t>
  </si>
  <si>
    <t>rev_shajapur</t>
  </si>
  <si>
    <t>divcmd</t>
  </si>
  <si>
    <t>divcmd@123</t>
  </si>
  <si>
    <t>da_dindori</t>
  </si>
  <si>
    <t>da_guna</t>
  </si>
  <si>
    <t>da_gwalior</t>
  </si>
  <si>
    <t>da_harda</t>
  </si>
  <si>
    <t>da_hoshangabad</t>
  </si>
  <si>
    <t>da_indore</t>
  </si>
  <si>
    <t>da_jabalpur</t>
  </si>
  <si>
    <t>da_jhabua</t>
  </si>
  <si>
    <t>da_katni</t>
  </si>
  <si>
    <t>da_khandwa</t>
  </si>
  <si>
    <t>da_khargone</t>
  </si>
  <si>
    <t>da_mandla</t>
  </si>
  <si>
    <t>da_mandsaur</t>
  </si>
  <si>
    <t>da_morena</t>
  </si>
  <si>
    <t>da_narsinghpur</t>
  </si>
  <si>
    <t>da_neemuch</t>
  </si>
  <si>
    <t>da_niwari</t>
  </si>
  <si>
    <t>da_panna</t>
  </si>
  <si>
    <t>da_rajgarh</t>
  </si>
  <si>
    <t>da_ratlam</t>
  </si>
  <si>
    <t>d_arewa</t>
  </si>
  <si>
    <t>dg</t>
  </si>
  <si>
    <t>District Command Center</t>
  </si>
  <si>
    <t>dccagar</t>
  </si>
  <si>
    <t>dccalirajpur</t>
  </si>
  <si>
    <t>dccanuppur</t>
  </si>
  <si>
    <t>dccashoknagar</t>
  </si>
  <si>
    <t>dccbalaghat</t>
  </si>
  <si>
    <t>dccbarwani</t>
  </si>
  <si>
    <t>dccbetul</t>
  </si>
  <si>
    <t>dccbhind</t>
  </si>
  <si>
    <t>dccbhopal</t>
  </si>
  <si>
    <t>dccburhanpur</t>
  </si>
  <si>
    <t>dccchhatarpur</t>
  </si>
  <si>
    <t>dccchhindwara</t>
  </si>
  <si>
    <t>dccdamoh</t>
  </si>
  <si>
    <t>dccdatia</t>
  </si>
  <si>
    <t>dccdewas</t>
  </si>
  <si>
    <t>dccdhar</t>
  </si>
  <si>
    <t>dccdindori</t>
  </si>
  <si>
    <t>dccguna</t>
  </si>
  <si>
    <t>dccgwalior</t>
  </si>
  <si>
    <t>dccharda</t>
  </si>
  <si>
    <t>dcchoshangabad</t>
  </si>
  <si>
    <t>dccindore</t>
  </si>
  <si>
    <t>dccjabalpur</t>
  </si>
  <si>
    <t>dccjhabua</t>
  </si>
  <si>
    <t>dcckatni</t>
  </si>
  <si>
    <t>dcckhandwa</t>
  </si>
  <si>
    <t>dcckhargone</t>
  </si>
  <si>
    <t>dccmandla</t>
  </si>
  <si>
    <t>dccmandsaur</t>
  </si>
  <si>
    <t>dccmorena</t>
  </si>
  <si>
    <t>dccnarsinghpur</t>
  </si>
  <si>
    <t>dccneemuch</t>
  </si>
  <si>
    <t>dccvidisha</t>
  </si>
  <si>
    <t>dccumaria</t>
  </si>
  <si>
    <t>dccujjain</t>
  </si>
  <si>
    <t>dcctikamgarh</t>
  </si>
  <si>
    <t>dccsingrauli</t>
  </si>
  <si>
    <t>dccsidhi</t>
  </si>
  <si>
    <t>dccshivpuri</t>
  </si>
  <si>
    <t>dccsheopur</t>
  </si>
  <si>
    <t>dccshajapur</t>
  </si>
  <si>
    <t>dccshahdol</t>
  </si>
  <si>
    <t>dccseoni</t>
  </si>
  <si>
    <t>dccsehore</t>
  </si>
  <si>
    <t>dccsatna</t>
  </si>
  <si>
    <t>dccsagar</t>
  </si>
  <si>
    <t>dccrewa</t>
  </si>
  <si>
    <t>dccratlam</t>
  </si>
  <si>
    <t>dccrajgarh</t>
  </si>
  <si>
    <t>dccraisen</t>
  </si>
  <si>
    <t>dccpanna</t>
  </si>
  <si>
    <t>dccniwari</t>
  </si>
  <si>
    <t xml:space="preserve">Division </t>
  </si>
  <si>
    <t>Chambal</t>
  </si>
  <si>
    <t>Narmadapuram</t>
  </si>
  <si>
    <t>scco</t>
  </si>
  <si>
    <t>scco@123</t>
  </si>
  <si>
    <t>SCC Officer</t>
  </si>
  <si>
    <t>SCC Office</t>
  </si>
  <si>
    <t>sccdo1</t>
  </si>
  <si>
    <t>sccdo2</t>
  </si>
  <si>
    <t>sccdo3</t>
  </si>
  <si>
    <t>SCC Duty Officer 1</t>
  </si>
  <si>
    <t>SCC Duty Officer 2</t>
  </si>
  <si>
    <t>SCC Duty Officer 3</t>
  </si>
  <si>
    <t>SCC Duty Officer</t>
  </si>
  <si>
    <t>CE Bodhi</t>
  </si>
  <si>
    <t>CE Ujjain</t>
  </si>
  <si>
    <t>CE  Indore</t>
  </si>
  <si>
    <t>CE  Rewa</t>
  </si>
  <si>
    <t>CE  Bhopal</t>
  </si>
  <si>
    <t>CE  Seoni</t>
  </si>
  <si>
    <t>CE  Hoshangabad</t>
  </si>
  <si>
    <t>CE  Gwalior</t>
  </si>
  <si>
    <t>CE  Sagar</t>
  </si>
  <si>
    <t>CE  Datia</t>
  </si>
  <si>
    <t>CE  Ujjain</t>
  </si>
  <si>
    <t>CE Seoni</t>
  </si>
  <si>
    <t>Flood Cell - State</t>
  </si>
  <si>
    <t>dvbhopal</t>
  </si>
  <si>
    <t>dvchambal</t>
  </si>
  <si>
    <t>dvgwalior</t>
  </si>
  <si>
    <t>dvindore</t>
  </si>
  <si>
    <t>dvjabalpur</t>
  </si>
  <si>
    <t>dvnarmadapuram</t>
  </si>
  <si>
    <t>dvrewa</t>
  </si>
  <si>
    <t>dvsagar</t>
  </si>
  <si>
    <t>dvshahdol</t>
  </si>
  <si>
    <t>dvujjain</t>
  </si>
  <si>
    <t>dvbhopal@123</t>
  </si>
  <si>
    <t>dvchambal@123</t>
  </si>
  <si>
    <t>dvgwalior@123</t>
  </si>
  <si>
    <t>dvindore@123</t>
  </si>
  <si>
    <t>dvjabalpur@123</t>
  </si>
  <si>
    <t>dvnarmadapuram@123</t>
  </si>
  <si>
    <t>dvrewa@123</t>
  </si>
  <si>
    <t>dvsagar@123</t>
  </si>
  <si>
    <t>dvshahdol@123</t>
  </si>
  <si>
    <t>dvujjain@123</t>
  </si>
  <si>
    <t>Mauganj</t>
  </si>
  <si>
    <t>rev_mauganj</t>
  </si>
  <si>
    <t>revmauganj@123</t>
  </si>
  <si>
    <t>da_mauganj</t>
  </si>
  <si>
    <t>damauganj@123</t>
  </si>
  <si>
    <t>dcmauganj</t>
  </si>
  <si>
    <t>dccmauganj</t>
  </si>
  <si>
    <t>Tillar Dam</t>
  </si>
  <si>
    <t xml:space="preserve"> AgarMalwa</t>
  </si>
  <si>
    <t>tillar</t>
  </si>
  <si>
    <t>Pagra Feeder</t>
  </si>
  <si>
    <t>Kotwal Feeder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</si>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</sst>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336699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1" fontId="5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1" xfId="1" applyFont="1" applyBorder="1"/>
    <xf numFmtId="0" fontId="4" fillId="0" borderId="2" xfId="0" applyFont="1" applyBorder="1"/>
    <xf numFmtId="0" fontId="6" fillId="0" borderId="1" xfId="1" applyBorder="1"/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/>
    <xf numFmtId="0" fontId="4" fillId="0" borderId="3" xfId="0" applyFont="1" applyBorder="1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" fontId="5" fillId="3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cco@123" TargetMode="External"/><Relationship Id="rId2" Type="http://schemas.openxmlformats.org/officeDocument/2006/relationships/hyperlink" Target="mailto:ig@123" TargetMode="External"/><Relationship Id="rId1" Type="http://schemas.openxmlformats.org/officeDocument/2006/relationships/hyperlink" Target="mailto:dig@123" TargetMode="External"/><Relationship Id="rId4" Type="http://schemas.openxmlformats.org/officeDocument/2006/relationships/hyperlink" Target="mailto:divcmd@12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damauganj@123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dvsagar@123" TargetMode="External"/><Relationship Id="rId3" Type="http://schemas.openxmlformats.org/officeDocument/2006/relationships/hyperlink" Target="mailto:dvgwalior@123" TargetMode="External"/><Relationship Id="rId7" Type="http://schemas.openxmlformats.org/officeDocument/2006/relationships/hyperlink" Target="mailto:dvrewa@123" TargetMode="External"/><Relationship Id="rId2" Type="http://schemas.openxmlformats.org/officeDocument/2006/relationships/hyperlink" Target="mailto:dvchambal@123" TargetMode="External"/><Relationship Id="rId1" Type="http://schemas.openxmlformats.org/officeDocument/2006/relationships/hyperlink" Target="mailto:dvbhopal@123" TargetMode="External"/><Relationship Id="rId6" Type="http://schemas.openxmlformats.org/officeDocument/2006/relationships/hyperlink" Target="mailto:dvnarmadapuram@123" TargetMode="External"/><Relationship Id="rId5" Type="http://schemas.openxmlformats.org/officeDocument/2006/relationships/hyperlink" Target="mailto:dvjabalpur@123" TargetMode="External"/><Relationship Id="rId10" Type="http://schemas.openxmlformats.org/officeDocument/2006/relationships/hyperlink" Target="mailto:dvujjain@123" TargetMode="External"/><Relationship Id="rId4" Type="http://schemas.openxmlformats.org/officeDocument/2006/relationships/hyperlink" Target="mailto:dvindore@123" TargetMode="External"/><Relationship Id="rId9" Type="http://schemas.openxmlformats.org/officeDocument/2006/relationships/hyperlink" Target="mailto:dvshahdol@123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revmauganj@123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mpsed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61"/>
  <sheetViews>
    <sheetView topLeftCell="A3" workbookViewId="0">
      <selection activeCell="H4" sqref="H4"/>
    </sheetView>
  </sheetViews>
  <sheetFormatPr defaultColWidth="30.5546875" defaultRowHeight="14.4" x14ac:dyDescent="0.3"/>
  <cols>
    <col min="1" max="1" width="5.21875" bestFit="1" customWidth="1"/>
    <col min="2" max="2" width="12.21875" bestFit="1" customWidth="1"/>
    <col min="3" max="3" width="16.77734375" style="21" customWidth="1"/>
    <col min="4" max="4" width="13.21875" customWidth="1"/>
    <col min="5" max="5" width="10.77734375" bestFit="1" customWidth="1"/>
    <col min="6" max="6" width="16.44140625" bestFit="1" customWidth="1"/>
    <col min="7" max="7" width="11" bestFit="1" customWidth="1"/>
    <col min="8" max="8" width="14.21875" style="1" bestFit="1" customWidth="1"/>
    <col min="9" max="9" width="17.44140625" style="1" bestFit="1" customWidth="1"/>
  </cols>
  <sheetData>
    <row r="1" spans="1:9" x14ac:dyDescent="0.3">
      <c r="A1" s="2" t="s">
        <v>0</v>
      </c>
      <c r="B1" s="2" t="s">
        <v>89</v>
      </c>
      <c r="C1" s="2" t="s">
        <v>74</v>
      </c>
      <c r="D1" s="2" t="s">
        <v>259</v>
      </c>
      <c r="E1" s="2" t="s">
        <v>1</v>
      </c>
      <c r="F1" s="2" t="s">
        <v>2</v>
      </c>
      <c r="G1" s="2" t="s">
        <v>3</v>
      </c>
      <c r="H1" s="3" t="s">
        <v>75</v>
      </c>
      <c r="I1" s="3" t="s">
        <v>76</v>
      </c>
    </row>
    <row r="2" spans="1:9" x14ac:dyDescent="0.3">
      <c r="A2" s="28">
        <v>1</v>
      </c>
      <c r="B2" s="7" t="s">
        <v>158</v>
      </c>
      <c r="C2" s="20" t="s">
        <v>4</v>
      </c>
      <c r="D2" s="13" t="s">
        <v>333</v>
      </c>
      <c r="E2" s="7" t="s">
        <v>5</v>
      </c>
      <c r="F2" s="7" t="s">
        <v>60</v>
      </c>
      <c r="G2" s="7">
        <v>9424634890</v>
      </c>
      <c r="H2" s="8" t="s">
        <v>77</v>
      </c>
      <c r="I2" s="8" t="str">
        <f>CONCATENATE(H2,"@123")</f>
        <v>bansagar@123</v>
      </c>
    </row>
    <row r="3" spans="1:9" ht="26.4" x14ac:dyDescent="0.3">
      <c r="A3" s="28">
        <f>A2+1</f>
        <v>2</v>
      </c>
      <c r="B3" s="7" t="s">
        <v>158</v>
      </c>
      <c r="C3" s="20" t="s">
        <v>6</v>
      </c>
      <c r="D3" s="14" t="s">
        <v>334</v>
      </c>
      <c r="E3" s="7" t="s">
        <v>7</v>
      </c>
      <c r="F3" s="7" t="s">
        <v>8</v>
      </c>
      <c r="G3" s="7">
        <v>9425111431</v>
      </c>
      <c r="H3" s="8" t="s">
        <v>78</v>
      </c>
      <c r="I3" s="8" t="str">
        <f t="shared" ref="I3:I52" si="0">CONCATENATE(H3,"@123")</f>
        <v>bansujara@123</v>
      </c>
    </row>
    <row r="4" spans="1:9" x14ac:dyDescent="0.3">
      <c r="A4" s="28">
        <f t="shared" ref="A4:A53" si="1">A3+1</f>
        <v>3</v>
      </c>
      <c r="B4" s="7" t="s">
        <v>158</v>
      </c>
      <c r="C4" s="20" t="s">
        <v>9</v>
      </c>
      <c r="D4" s="13" t="s">
        <v>335</v>
      </c>
      <c r="E4" s="7" t="s">
        <v>10</v>
      </c>
      <c r="F4" s="7" t="s">
        <v>11</v>
      </c>
      <c r="G4" s="7">
        <v>9425411335</v>
      </c>
      <c r="H4" s="8" t="s">
        <v>79</v>
      </c>
      <c r="I4" s="8" t="str">
        <f t="shared" si="0"/>
        <v>bargi@123</v>
      </c>
    </row>
    <row r="5" spans="1:9" x14ac:dyDescent="0.3">
      <c r="A5" s="28">
        <f t="shared" si="1"/>
        <v>4</v>
      </c>
      <c r="B5" s="7" t="s">
        <v>158</v>
      </c>
      <c r="C5" s="20" t="s">
        <v>12</v>
      </c>
      <c r="D5" s="13" t="s">
        <v>336</v>
      </c>
      <c r="E5" s="7" t="s">
        <v>13</v>
      </c>
      <c r="F5" s="7" t="s">
        <v>14</v>
      </c>
      <c r="G5" s="7">
        <v>8770347939</v>
      </c>
      <c r="H5" s="8" t="s">
        <v>80</v>
      </c>
      <c r="I5" s="8" t="str">
        <f t="shared" si="0"/>
        <v>barna@123</v>
      </c>
    </row>
    <row r="6" spans="1:9" ht="26.4" x14ac:dyDescent="0.3">
      <c r="A6" s="28">
        <f t="shared" si="1"/>
        <v>5</v>
      </c>
      <c r="B6" s="7" t="s">
        <v>158</v>
      </c>
      <c r="C6" s="20" t="s">
        <v>15</v>
      </c>
      <c r="D6" s="15" t="s">
        <v>337</v>
      </c>
      <c r="E6" s="7" t="s">
        <v>16</v>
      </c>
      <c r="F6" s="7" t="s">
        <v>17</v>
      </c>
      <c r="G6" s="7">
        <v>9826818528</v>
      </c>
      <c r="H6" s="8" t="s">
        <v>81</v>
      </c>
      <c r="I6" s="8" t="str">
        <f t="shared" si="0"/>
        <v>bawanthadi@123</v>
      </c>
    </row>
    <row r="7" spans="1:9" x14ac:dyDescent="0.3">
      <c r="A7" s="28">
        <f t="shared" si="1"/>
        <v>6</v>
      </c>
      <c r="B7" s="7" t="s">
        <v>158</v>
      </c>
      <c r="C7" s="20" t="s">
        <v>18</v>
      </c>
      <c r="D7" s="13" t="s">
        <v>338</v>
      </c>
      <c r="E7" s="7" t="s">
        <v>19</v>
      </c>
      <c r="F7" s="7" t="s">
        <v>20</v>
      </c>
      <c r="G7" s="7">
        <v>9926059609</v>
      </c>
      <c r="H7" s="8" t="s">
        <v>82</v>
      </c>
      <c r="I7" s="8" t="str">
        <f t="shared" si="0"/>
        <v>dholawad@123</v>
      </c>
    </row>
    <row r="8" spans="1:9" x14ac:dyDescent="0.3">
      <c r="A8" s="28">
        <f t="shared" si="1"/>
        <v>7</v>
      </c>
      <c r="B8" s="7" t="s">
        <v>158</v>
      </c>
      <c r="C8" s="20" t="s">
        <v>21</v>
      </c>
      <c r="D8" s="13" t="s">
        <v>339</v>
      </c>
      <c r="E8" s="7" t="s">
        <v>22</v>
      </c>
      <c r="F8" s="7" t="s">
        <v>23</v>
      </c>
      <c r="G8" s="7">
        <v>9977276505</v>
      </c>
      <c r="H8" s="8" t="s">
        <v>83</v>
      </c>
      <c r="I8" s="8" t="str">
        <f t="shared" si="0"/>
        <v>gandhisagar@123</v>
      </c>
    </row>
    <row r="9" spans="1:9" x14ac:dyDescent="0.3">
      <c r="A9" s="28">
        <f t="shared" si="1"/>
        <v>8</v>
      </c>
      <c r="B9" s="7" t="s">
        <v>158</v>
      </c>
      <c r="C9" s="20" t="s">
        <v>24</v>
      </c>
      <c r="D9" s="13" t="s">
        <v>340</v>
      </c>
      <c r="E9" s="7" t="s">
        <v>25</v>
      </c>
      <c r="F9" s="7" t="s">
        <v>26</v>
      </c>
      <c r="G9" s="7">
        <v>9630607370</v>
      </c>
      <c r="H9" s="8" t="s">
        <v>84</v>
      </c>
      <c r="I9" s="8" t="str">
        <f t="shared" si="0"/>
        <v>gopikrishn@123</v>
      </c>
    </row>
    <row r="10" spans="1:9" x14ac:dyDescent="0.3">
      <c r="A10" s="28">
        <f t="shared" si="1"/>
        <v>9</v>
      </c>
      <c r="B10" s="7" t="s">
        <v>158</v>
      </c>
      <c r="C10" s="20" t="s">
        <v>27</v>
      </c>
      <c r="D10" s="13" t="s">
        <v>341</v>
      </c>
      <c r="E10" s="7" t="s">
        <v>28</v>
      </c>
      <c r="F10" s="7" t="s">
        <v>29</v>
      </c>
      <c r="G10" s="7">
        <v>9630701352</v>
      </c>
      <c r="H10" s="8" t="s">
        <v>85</v>
      </c>
      <c r="I10" s="8" t="str">
        <f t="shared" si="0"/>
        <v>indirasagar@123</v>
      </c>
    </row>
    <row r="11" spans="1:9" ht="26.4" x14ac:dyDescent="0.3">
      <c r="A11" s="28">
        <f t="shared" si="1"/>
        <v>10</v>
      </c>
      <c r="B11" s="7" t="s">
        <v>158</v>
      </c>
      <c r="C11" s="20" t="s">
        <v>30</v>
      </c>
      <c r="D11" s="13" t="s">
        <v>342</v>
      </c>
      <c r="E11" s="7" t="s">
        <v>22</v>
      </c>
      <c r="F11" s="7" t="s">
        <v>416</v>
      </c>
      <c r="G11" s="7">
        <v>7223090117</v>
      </c>
      <c r="H11" s="8" t="s">
        <v>87</v>
      </c>
      <c r="I11" s="8" t="str">
        <f t="shared" si="0"/>
        <v>kakasahab@123</v>
      </c>
    </row>
    <row r="12" spans="1:9" x14ac:dyDescent="0.3">
      <c r="A12" s="28">
        <f t="shared" si="1"/>
        <v>11</v>
      </c>
      <c r="B12" s="7" t="s">
        <v>158</v>
      </c>
      <c r="C12" s="20" t="s">
        <v>31</v>
      </c>
      <c r="D12" s="13" t="s">
        <v>343</v>
      </c>
      <c r="E12" s="7" t="s">
        <v>32</v>
      </c>
      <c r="F12" s="7" t="s">
        <v>33</v>
      </c>
      <c r="G12" s="7">
        <v>9425026248</v>
      </c>
      <c r="H12" s="8" t="s">
        <v>88</v>
      </c>
      <c r="I12" s="8" t="str">
        <f t="shared" si="0"/>
        <v>kaliasot@123</v>
      </c>
    </row>
    <row r="13" spans="1:9" x14ac:dyDescent="0.3">
      <c r="A13" s="28">
        <f t="shared" si="1"/>
        <v>12</v>
      </c>
      <c r="B13" s="7" t="s">
        <v>158</v>
      </c>
      <c r="C13" s="20" t="s">
        <v>34</v>
      </c>
      <c r="D13" s="13" t="s">
        <v>344</v>
      </c>
      <c r="E13" s="7" t="s">
        <v>32</v>
      </c>
      <c r="F13" s="7" t="s">
        <v>33</v>
      </c>
      <c r="G13" s="7">
        <v>9425026248</v>
      </c>
      <c r="H13" s="8" t="s">
        <v>86</v>
      </c>
      <c r="I13" s="8" t="str">
        <f t="shared" si="0"/>
        <v>kerwan@123</v>
      </c>
    </row>
    <row r="14" spans="1:9" x14ac:dyDescent="0.3">
      <c r="A14" s="28">
        <f t="shared" si="1"/>
        <v>13</v>
      </c>
      <c r="B14" s="7" t="s">
        <v>158</v>
      </c>
      <c r="C14" s="20" t="s">
        <v>35</v>
      </c>
      <c r="D14" s="13" t="s">
        <v>345</v>
      </c>
      <c r="E14" s="7" t="s">
        <v>36</v>
      </c>
      <c r="F14" s="7" t="s">
        <v>37</v>
      </c>
      <c r="G14" s="7">
        <v>9893174470</v>
      </c>
      <c r="H14" s="8" t="s">
        <v>95</v>
      </c>
      <c r="I14" s="8" t="str">
        <f t="shared" si="0"/>
        <v>kolar@123</v>
      </c>
    </row>
    <row r="15" spans="1:9" ht="26.4" x14ac:dyDescent="0.3">
      <c r="A15" s="28">
        <f t="shared" si="1"/>
        <v>14</v>
      </c>
      <c r="B15" s="7" t="s">
        <v>158</v>
      </c>
      <c r="C15" s="20" t="s">
        <v>38</v>
      </c>
      <c r="D15" s="13" t="s">
        <v>346</v>
      </c>
      <c r="E15" s="7" t="s">
        <v>39</v>
      </c>
      <c r="F15" s="7" t="s">
        <v>40</v>
      </c>
      <c r="G15" s="7">
        <v>9425443555</v>
      </c>
      <c r="H15" s="8" t="s">
        <v>96</v>
      </c>
      <c r="I15" s="8" t="str">
        <f t="shared" si="0"/>
        <v>kundalia@123</v>
      </c>
    </row>
    <row r="16" spans="1:9" x14ac:dyDescent="0.3">
      <c r="A16" s="28">
        <f t="shared" si="1"/>
        <v>15</v>
      </c>
      <c r="B16" s="7" t="s">
        <v>158</v>
      </c>
      <c r="C16" s="20" t="s">
        <v>41</v>
      </c>
      <c r="D16" s="13" t="s">
        <v>347</v>
      </c>
      <c r="E16" s="7" t="s">
        <v>42</v>
      </c>
      <c r="F16" s="7" t="s">
        <v>43</v>
      </c>
      <c r="G16" s="7">
        <v>9406571779</v>
      </c>
      <c r="H16" s="8" t="s">
        <v>97</v>
      </c>
      <c r="I16" s="8" t="str">
        <f t="shared" si="0"/>
        <v>madikheda@123</v>
      </c>
    </row>
    <row r="17" spans="1:9" x14ac:dyDescent="0.3">
      <c r="A17" s="28">
        <f t="shared" si="1"/>
        <v>16</v>
      </c>
      <c r="B17" s="7" t="s">
        <v>158</v>
      </c>
      <c r="C17" s="20" t="s">
        <v>44</v>
      </c>
      <c r="D17" s="13" t="s">
        <v>348</v>
      </c>
      <c r="E17" s="7" t="s">
        <v>45</v>
      </c>
      <c r="F17" s="7" t="s">
        <v>46</v>
      </c>
      <c r="G17" s="7">
        <v>9972285667</v>
      </c>
      <c r="H17" s="8" t="s">
        <v>98</v>
      </c>
      <c r="I17" s="8" t="str">
        <f t="shared" si="0"/>
        <v>mahimain@123</v>
      </c>
    </row>
    <row r="18" spans="1:9" ht="26.4" x14ac:dyDescent="0.3">
      <c r="A18" s="28">
        <f t="shared" si="1"/>
        <v>17</v>
      </c>
      <c r="B18" s="7" t="s">
        <v>158</v>
      </c>
      <c r="C18" s="20" t="s">
        <v>47</v>
      </c>
      <c r="D18" s="13" t="s">
        <v>349</v>
      </c>
      <c r="E18" s="7" t="s">
        <v>48</v>
      </c>
      <c r="F18" s="7" t="s">
        <v>46</v>
      </c>
      <c r="G18" s="7">
        <v>9972285667</v>
      </c>
      <c r="H18" s="8" t="s">
        <v>99</v>
      </c>
      <c r="I18" s="8" t="str">
        <f t="shared" si="0"/>
        <v>mahisub@123</v>
      </c>
    </row>
    <row r="19" spans="1:9" ht="39.6" x14ac:dyDescent="0.3">
      <c r="A19" s="28">
        <f t="shared" si="1"/>
        <v>18</v>
      </c>
      <c r="B19" s="7" t="s">
        <v>158</v>
      </c>
      <c r="C19" s="20" t="s">
        <v>49</v>
      </c>
      <c r="D19" s="13" t="s">
        <v>350</v>
      </c>
      <c r="E19" s="7" t="s">
        <v>39</v>
      </c>
      <c r="F19" s="7" t="s">
        <v>50</v>
      </c>
      <c r="G19" s="7">
        <v>7771813350</v>
      </c>
      <c r="H19" s="8" t="s">
        <v>100</v>
      </c>
      <c r="I19" s="8" t="str">
        <f t="shared" si="0"/>
        <v>mohanpura@123</v>
      </c>
    </row>
    <row r="20" spans="1:9" x14ac:dyDescent="0.3">
      <c r="A20" s="28">
        <f t="shared" si="1"/>
        <v>19</v>
      </c>
      <c r="B20" s="7" t="s">
        <v>158</v>
      </c>
      <c r="C20" s="20" t="s">
        <v>51</v>
      </c>
      <c r="D20" s="13" t="s">
        <v>351</v>
      </c>
      <c r="E20" s="7" t="s">
        <v>28</v>
      </c>
      <c r="F20" s="7" t="s">
        <v>29</v>
      </c>
      <c r="G20" s="7">
        <v>720271735</v>
      </c>
      <c r="H20" s="8" t="s">
        <v>101</v>
      </c>
      <c r="I20" s="8" t="str">
        <f t="shared" si="0"/>
        <v>omkareshwar@123</v>
      </c>
    </row>
    <row r="21" spans="1:9" x14ac:dyDescent="0.3">
      <c r="A21" s="28">
        <f t="shared" si="1"/>
        <v>20</v>
      </c>
      <c r="B21" s="7" t="s">
        <v>158</v>
      </c>
      <c r="C21" s="20" t="s">
        <v>52</v>
      </c>
      <c r="D21" s="13" t="s">
        <v>352</v>
      </c>
      <c r="E21" s="7" t="s">
        <v>53</v>
      </c>
      <c r="F21" s="7" t="s">
        <v>54</v>
      </c>
      <c r="G21" s="7">
        <v>9826222772</v>
      </c>
      <c r="H21" s="8" t="s">
        <v>102</v>
      </c>
      <c r="I21" s="8" t="str">
        <f t="shared" si="0"/>
        <v>parasdoh@123</v>
      </c>
    </row>
    <row r="22" spans="1:9" ht="26.4" x14ac:dyDescent="0.3">
      <c r="A22" s="28">
        <f t="shared" si="1"/>
        <v>21</v>
      </c>
      <c r="B22" s="7" t="s">
        <v>158</v>
      </c>
      <c r="C22" s="20" t="s">
        <v>55</v>
      </c>
      <c r="D22" s="13" t="s">
        <v>353</v>
      </c>
      <c r="E22" s="7" t="s">
        <v>56</v>
      </c>
      <c r="F22" s="7" t="s">
        <v>57</v>
      </c>
      <c r="G22" s="7">
        <v>9425354155</v>
      </c>
      <c r="H22" s="8" t="s">
        <v>103</v>
      </c>
      <c r="I22" s="8" t="str">
        <f t="shared" si="0"/>
        <v>pawai@123</v>
      </c>
    </row>
    <row r="23" spans="1:9" x14ac:dyDescent="0.3">
      <c r="A23" s="28">
        <f t="shared" si="1"/>
        <v>22</v>
      </c>
      <c r="B23" s="7" t="s">
        <v>158</v>
      </c>
      <c r="C23" s="20" t="s">
        <v>58</v>
      </c>
      <c r="D23" s="13" t="s">
        <v>354</v>
      </c>
      <c r="E23" s="7" t="s">
        <v>59</v>
      </c>
      <c r="F23" s="7" t="s">
        <v>60</v>
      </c>
      <c r="G23" s="7">
        <v>9425892506</v>
      </c>
      <c r="H23" s="8" t="s">
        <v>104</v>
      </c>
      <c r="I23" s="8" t="str">
        <f t="shared" si="0"/>
        <v>pench@123</v>
      </c>
    </row>
    <row r="24" spans="1:9" x14ac:dyDescent="0.3">
      <c r="A24" s="28">
        <f t="shared" si="1"/>
        <v>23</v>
      </c>
      <c r="B24" s="7" t="s">
        <v>158</v>
      </c>
      <c r="C24" s="20" t="s">
        <v>61</v>
      </c>
      <c r="D24" s="15" t="s">
        <v>355</v>
      </c>
      <c r="E24" s="7" t="s">
        <v>62</v>
      </c>
      <c r="F24" s="7" t="s">
        <v>496</v>
      </c>
      <c r="G24" s="7">
        <v>9415670060</v>
      </c>
      <c r="H24" s="8" t="s">
        <v>105</v>
      </c>
      <c r="I24" s="8" t="str">
        <f t="shared" si="0"/>
        <v>rajghat@123</v>
      </c>
    </row>
    <row r="25" spans="1:9" x14ac:dyDescent="0.3">
      <c r="A25" s="28">
        <f t="shared" si="1"/>
        <v>24</v>
      </c>
      <c r="B25" s="7" t="s">
        <v>158</v>
      </c>
      <c r="C25" s="20" t="s">
        <v>63</v>
      </c>
      <c r="D25" s="15" t="s">
        <v>356</v>
      </c>
      <c r="E25" s="7" t="s">
        <v>22</v>
      </c>
      <c r="F25" s="7" t="s">
        <v>415</v>
      </c>
      <c r="G25" s="7">
        <v>9131774989</v>
      </c>
      <c r="H25" s="8" t="s">
        <v>106</v>
      </c>
      <c r="I25" s="8" t="str">
        <f t="shared" si="0"/>
        <v>retam@123</v>
      </c>
    </row>
    <row r="26" spans="1:9" ht="26.4" x14ac:dyDescent="0.3">
      <c r="A26" s="28">
        <f t="shared" si="1"/>
        <v>25</v>
      </c>
      <c r="B26" s="7" t="s">
        <v>158</v>
      </c>
      <c r="C26" s="20" t="s">
        <v>64</v>
      </c>
      <c r="D26" s="13" t="s">
        <v>357</v>
      </c>
      <c r="E26" s="7" t="s">
        <v>65</v>
      </c>
      <c r="F26" s="7" t="s">
        <v>66</v>
      </c>
      <c r="G26" s="7">
        <v>9406549746</v>
      </c>
      <c r="H26" s="8" t="s">
        <v>107</v>
      </c>
      <c r="I26" s="8" t="str">
        <f t="shared" si="0"/>
        <v>halali@123</v>
      </c>
    </row>
    <row r="27" spans="1:9" x14ac:dyDescent="0.3">
      <c r="A27" s="28">
        <f t="shared" si="1"/>
        <v>26</v>
      </c>
      <c r="B27" s="7" t="s">
        <v>158</v>
      </c>
      <c r="C27" s="20" t="s">
        <v>67</v>
      </c>
      <c r="D27" s="13" t="s">
        <v>358</v>
      </c>
      <c r="E27" s="7" t="s">
        <v>28</v>
      </c>
      <c r="F27" s="7" t="s">
        <v>68</v>
      </c>
      <c r="G27" s="7">
        <v>9826028530</v>
      </c>
      <c r="H27" s="8" t="s">
        <v>108</v>
      </c>
      <c r="I27" s="8" t="str">
        <f>CONCATENATE(H27,"@123")</f>
        <v>sukta@123</v>
      </c>
    </row>
    <row r="28" spans="1:9" ht="26.4" x14ac:dyDescent="0.3">
      <c r="A28" s="28">
        <f t="shared" si="1"/>
        <v>27</v>
      </c>
      <c r="B28" s="7" t="s">
        <v>158</v>
      </c>
      <c r="C28" s="20" t="s">
        <v>69</v>
      </c>
      <c r="D28" s="13" t="s">
        <v>359</v>
      </c>
      <c r="E28" s="7" t="s">
        <v>70</v>
      </c>
      <c r="F28" s="7" t="s">
        <v>71</v>
      </c>
      <c r="G28" s="7">
        <v>9425304226</v>
      </c>
      <c r="H28" s="8" t="s">
        <v>109</v>
      </c>
      <c r="I28" s="8" t="str">
        <f t="shared" si="0"/>
        <v>tawa@123</v>
      </c>
    </row>
    <row r="29" spans="1:9" ht="26.4" x14ac:dyDescent="0.3">
      <c r="A29" s="28">
        <f t="shared" si="1"/>
        <v>28</v>
      </c>
      <c r="B29" s="7" t="s">
        <v>158</v>
      </c>
      <c r="C29" s="20" t="s">
        <v>72</v>
      </c>
      <c r="D29" s="13" t="s">
        <v>360</v>
      </c>
      <c r="E29" s="7" t="s">
        <v>73</v>
      </c>
      <c r="F29" s="7" t="s">
        <v>8</v>
      </c>
      <c r="G29" s="7">
        <v>9425403479</v>
      </c>
      <c r="H29" s="8" t="s">
        <v>110</v>
      </c>
      <c r="I29" s="8" t="str">
        <f t="shared" si="0"/>
        <v>wainganga@123</v>
      </c>
    </row>
    <row r="30" spans="1:9" x14ac:dyDescent="0.3">
      <c r="A30" s="28">
        <f t="shared" si="1"/>
        <v>29</v>
      </c>
      <c r="B30" s="7" t="s">
        <v>158</v>
      </c>
      <c r="C30" s="20" t="s">
        <v>417</v>
      </c>
      <c r="D30" s="13" t="s">
        <v>418</v>
      </c>
      <c r="E30" s="7" t="s">
        <v>166</v>
      </c>
      <c r="F30" s="6"/>
      <c r="G30" s="6"/>
      <c r="H30" s="5" t="s">
        <v>470</v>
      </c>
      <c r="I30" s="5" t="str">
        <f t="shared" si="0"/>
        <v>kutni@123</v>
      </c>
    </row>
    <row r="31" spans="1:9" x14ac:dyDescent="0.3">
      <c r="A31" s="28">
        <f t="shared" si="1"/>
        <v>30</v>
      </c>
      <c r="B31" s="7" t="s">
        <v>158</v>
      </c>
      <c r="C31" s="20" t="s">
        <v>419</v>
      </c>
      <c r="D31" s="13" t="s">
        <v>420</v>
      </c>
      <c r="E31" s="7" t="s">
        <v>166</v>
      </c>
      <c r="F31" s="6"/>
      <c r="G31" s="6"/>
      <c r="H31" s="5" t="s">
        <v>471</v>
      </c>
      <c r="I31" s="5" t="str">
        <f t="shared" si="0"/>
        <v>rangawan@123</v>
      </c>
    </row>
    <row r="32" spans="1:9" x14ac:dyDescent="0.3">
      <c r="A32" s="28">
        <f t="shared" si="1"/>
        <v>31</v>
      </c>
      <c r="B32" s="7" t="s">
        <v>158</v>
      </c>
      <c r="C32" s="20" t="s">
        <v>421</v>
      </c>
      <c r="D32" s="13" t="s">
        <v>422</v>
      </c>
      <c r="E32" s="7" t="s">
        <v>166</v>
      </c>
      <c r="F32" s="6"/>
      <c r="G32" s="6"/>
      <c r="H32" s="5" t="s">
        <v>472</v>
      </c>
      <c r="I32" s="5" t="str">
        <f t="shared" si="0"/>
        <v>singhpur@123</v>
      </c>
    </row>
    <row r="33" spans="1:9" x14ac:dyDescent="0.3">
      <c r="A33" s="28">
        <f t="shared" si="1"/>
        <v>32</v>
      </c>
      <c r="B33" s="7" t="s">
        <v>158</v>
      </c>
      <c r="C33" s="20" t="s">
        <v>423</v>
      </c>
      <c r="D33" s="13" t="s">
        <v>424</v>
      </c>
      <c r="E33" s="7" t="s">
        <v>166</v>
      </c>
      <c r="F33" s="6"/>
      <c r="G33" s="6"/>
      <c r="H33" s="5" t="s">
        <v>473</v>
      </c>
      <c r="I33" s="5" t="str">
        <f t="shared" si="0"/>
        <v>urmil@123</v>
      </c>
    </row>
    <row r="34" spans="1:9" x14ac:dyDescent="0.3">
      <c r="A34" s="28">
        <f t="shared" si="1"/>
        <v>33</v>
      </c>
      <c r="B34" s="7" t="s">
        <v>158</v>
      </c>
      <c r="C34" s="20" t="s">
        <v>425</v>
      </c>
      <c r="D34" s="13" t="s">
        <v>426</v>
      </c>
      <c r="E34" s="7" t="s">
        <v>172</v>
      </c>
      <c r="F34" s="6"/>
      <c r="G34" s="6"/>
      <c r="H34" s="5" t="s">
        <v>474</v>
      </c>
      <c r="I34" s="5" t="str">
        <f t="shared" si="0"/>
        <v>harsi@123</v>
      </c>
    </row>
    <row r="35" spans="1:9" x14ac:dyDescent="0.3">
      <c r="A35" s="28">
        <f t="shared" si="1"/>
        <v>34</v>
      </c>
      <c r="B35" s="7" t="s">
        <v>158</v>
      </c>
      <c r="C35" s="20" t="s">
        <v>427</v>
      </c>
      <c r="D35" s="13" t="s">
        <v>428</v>
      </c>
      <c r="E35" s="7" t="s">
        <v>172</v>
      </c>
      <c r="F35" s="6"/>
      <c r="G35" s="6"/>
      <c r="H35" s="5" t="s">
        <v>475</v>
      </c>
      <c r="I35" s="5" t="str">
        <f t="shared" si="0"/>
        <v>tigra@123</v>
      </c>
    </row>
    <row r="36" spans="1:9" x14ac:dyDescent="0.3">
      <c r="A36" s="28">
        <f t="shared" si="1"/>
        <v>35</v>
      </c>
      <c r="B36" s="7" t="s">
        <v>158</v>
      </c>
      <c r="C36" s="20" t="s">
        <v>431</v>
      </c>
      <c r="D36" s="13" t="s">
        <v>432</v>
      </c>
      <c r="E36" s="7" t="s">
        <v>172</v>
      </c>
      <c r="F36" s="6"/>
      <c r="G36" s="6"/>
      <c r="H36" s="5" t="s">
        <v>476</v>
      </c>
      <c r="I36" s="5" t="str">
        <f t="shared" si="0"/>
        <v>pehsari@123</v>
      </c>
    </row>
    <row r="37" spans="1:9" x14ac:dyDescent="0.3">
      <c r="A37" s="28">
        <f t="shared" si="1"/>
        <v>36</v>
      </c>
      <c r="B37" s="7" t="s">
        <v>158</v>
      </c>
      <c r="C37" s="20" t="s">
        <v>433</v>
      </c>
      <c r="D37" s="13" t="s">
        <v>434</v>
      </c>
      <c r="E37" s="7" t="s">
        <v>176</v>
      </c>
      <c r="F37" s="6"/>
      <c r="G37" s="6"/>
      <c r="H37" s="5" t="s">
        <v>491</v>
      </c>
      <c r="I37" s="5" t="str">
        <f t="shared" si="0"/>
        <v>dejaladewda@123</v>
      </c>
    </row>
    <row r="38" spans="1:9" x14ac:dyDescent="0.3">
      <c r="A38" s="28">
        <f t="shared" si="1"/>
        <v>37</v>
      </c>
      <c r="B38" s="7" t="s">
        <v>158</v>
      </c>
      <c r="C38" s="20" t="s">
        <v>435</v>
      </c>
      <c r="D38" s="13" t="s">
        <v>436</v>
      </c>
      <c r="E38" s="7" t="s">
        <v>177</v>
      </c>
      <c r="F38" s="6"/>
      <c r="G38" s="6"/>
      <c r="H38" s="5" t="s">
        <v>477</v>
      </c>
      <c r="I38" s="5" t="str">
        <f t="shared" si="0"/>
        <v>matiyari@123</v>
      </c>
    </row>
    <row r="39" spans="1:9" x14ac:dyDescent="0.3">
      <c r="A39" s="28">
        <f t="shared" si="1"/>
        <v>38</v>
      </c>
      <c r="B39" s="7" t="s">
        <v>158</v>
      </c>
      <c r="C39" s="20" t="s">
        <v>437</v>
      </c>
      <c r="D39" s="13" t="s">
        <v>438</v>
      </c>
      <c r="E39" s="7" t="s">
        <v>179</v>
      </c>
      <c r="F39" s="6"/>
      <c r="G39" s="6"/>
      <c r="H39" s="5" t="s">
        <v>478</v>
      </c>
      <c r="I39" s="5" t="str">
        <f t="shared" si="0"/>
        <v>aoda@123</v>
      </c>
    </row>
    <row r="40" spans="1:9" x14ac:dyDescent="0.3">
      <c r="A40" s="28">
        <f t="shared" si="1"/>
        <v>39</v>
      </c>
      <c r="B40" s="7" t="s">
        <v>158</v>
      </c>
      <c r="C40" s="20" t="s">
        <v>440</v>
      </c>
      <c r="D40" s="13" t="s">
        <v>441</v>
      </c>
      <c r="E40" s="7" t="s">
        <v>179</v>
      </c>
      <c r="F40" s="6"/>
      <c r="G40" s="6"/>
      <c r="H40" s="5" t="s">
        <v>480</v>
      </c>
      <c r="I40" s="5" t="str">
        <f t="shared" si="0"/>
        <v>pagara@123</v>
      </c>
    </row>
    <row r="41" spans="1:9" x14ac:dyDescent="0.3">
      <c r="A41" s="28">
        <f t="shared" si="1"/>
        <v>40</v>
      </c>
      <c r="B41" s="7" t="s">
        <v>158</v>
      </c>
      <c r="C41" s="20" t="s">
        <v>444</v>
      </c>
      <c r="D41" s="13" t="s">
        <v>445</v>
      </c>
      <c r="E41" s="7" t="s">
        <v>39</v>
      </c>
      <c r="F41" s="6"/>
      <c r="G41" s="6"/>
      <c r="H41" s="5" t="s">
        <v>482</v>
      </c>
      <c r="I41" s="5" t="str">
        <f t="shared" si="0"/>
        <v>kushalpura@123</v>
      </c>
    </row>
    <row r="42" spans="1:9" x14ac:dyDescent="0.3">
      <c r="A42" s="28">
        <f t="shared" si="1"/>
        <v>41</v>
      </c>
      <c r="B42" s="7" t="s">
        <v>158</v>
      </c>
      <c r="C42" s="20" t="s">
        <v>785</v>
      </c>
      <c r="D42" s="13" t="s">
        <v>449</v>
      </c>
      <c r="E42" s="7" t="s">
        <v>184</v>
      </c>
      <c r="F42" s="6"/>
      <c r="G42" s="6"/>
      <c r="H42" s="5" t="s">
        <v>484</v>
      </c>
      <c r="I42" s="5" t="str">
        <f t="shared" si="0"/>
        <v>pagra@123</v>
      </c>
    </row>
    <row r="43" spans="1:9" x14ac:dyDescent="0.3">
      <c r="A43" s="28">
        <f t="shared" si="1"/>
        <v>42</v>
      </c>
      <c r="B43" s="7" t="s">
        <v>158</v>
      </c>
      <c r="C43" s="20" t="s">
        <v>452</v>
      </c>
      <c r="D43" s="13" t="s">
        <v>453</v>
      </c>
      <c r="E43" s="7" t="s">
        <v>187</v>
      </c>
      <c r="F43" s="6"/>
      <c r="G43" s="6"/>
      <c r="H43" s="5" t="s">
        <v>489</v>
      </c>
      <c r="I43" s="5" t="str">
        <f t="shared" si="0"/>
        <v>upperkaketo@123</v>
      </c>
    </row>
    <row r="44" spans="1:9" x14ac:dyDescent="0.3">
      <c r="A44" s="28">
        <f t="shared" si="1"/>
        <v>43</v>
      </c>
      <c r="B44" s="7" t="s">
        <v>158</v>
      </c>
      <c r="C44" s="20" t="s">
        <v>454</v>
      </c>
      <c r="D44" s="13" t="s">
        <v>455</v>
      </c>
      <c r="E44" s="7" t="s">
        <v>42</v>
      </c>
      <c r="F44" s="6"/>
      <c r="G44" s="6"/>
      <c r="H44" s="5" t="s">
        <v>486</v>
      </c>
      <c r="I44" s="5" t="str">
        <f t="shared" si="0"/>
        <v>mahuar@123</v>
      </c>
    </row>
    <row r="45" spans="1:9" ht="26.4" x14ac:dyDescent="0.3">
      <c r="A45" s="28">
        <f t="shared" si="1"/>
        <v>44</v>
      </c>
      <c r="B45" s="7" t="s">
        <v>158</v>
      </c>
      <c r="C45" s="20" t="s">
        <v>456</v>
      </c>
      <c r="D45" s="13" t="s">
        <v>457</v>
      </c>
      <c r="E45" s="7" t="s">
        <v>42</v>
      </c>
      <c r="F45" s="6"/>
      <c r="G45" s="6"/>
      <c r="H45" s="5" t="s">
        <v>495</v>
      </c>
      <c r="I45" s="5" t="str">
        <f t="shared" si="0"/>
        <v>mohini@123</v>
      </c>
    </row>
    <row r="46" spans="1:9" x14ac:dyDescent="0.3">
      <c r="A46" s="28">
        <f t="shared" si="1"/>
        <v>45</v>
      </c>
      <c r="B46" s="7" t="s">
        <v>158</v>
      </c>
      <c r="C46" s="20" t="s">
        <v>458</v>
      </c>
      <c r="D46" s="13" t="s">
        <v>459</v>
      </c>
      <c r="E46" s="7" t="s">
        <v>188</v>
      </c>
      <c r="F46" s="6"/>
      <c r="G46" s="6"/>
      <c r="H46" s="5" t="s">
        <v>487</v>
      </c>
      <c r="I46" s="5" t="str">
        <f t="shared" si="0"/>
        <v>mahan@123</v>
      </c>
    </row>
    <row r="47" spans="1:9" x14ac:dyDescent="0.3">
      <c r="A47" s="28">
        <f t="shared" si="1"/>
        <v>46</v>
      </c>
      <c r="B47" s="7" t="s">
        <v>158</v>
      </c>
      <c r="C47" s="20" t="s">
        <v>460</v>
      </c>
      <c r="D47" s="13" t="s">
        <v>461</v>
      </c>
      <c r="E47" s="7" t="s">
        <v>65</v>
      </c>
      <c r="F47" s="6"/>
      <c r="G47" s="6"/>
      <c r="H47" s="5" t="s">
        <v>488</v>
      </c>
      <c r="I47" s="5" t="str">
        <f t="shared" si="0"/>
        <v>sagad@123</v>
      </c>
    </row>
    <row r="48" spans="1:9" ht="26.4" x14ac:dyDescent="0.3">
      <c r="A48" s="28">
        <f t="shared" si="1"/>
        <v>47</v>
      </c>
      <c r="B48" s="7" t="s">
        <v>158</v>
      </c>
      <c r="C48" s="20" t="s">
        <v>462</v>
      </c>
      <c r="D48" s="13" t="s">
        <v>463</v>
      </c>
      <c r="E48" s="7" t="s">
        <v>65</v>
      </c>
      <c r="F48" s="6"/>
      <c r="G48" s="6"/>
      <c r="H48" s="5" t="s">
        <v>492</v>
      </c>
      <c r="I48" s="5" t="str">
        <f t="shared" si="0"/>
        <v>sanjaysagar@123</v>
      </c>
    </row>
    <row r="49" spans="1:9" ht="26.4" x14ac:dyDescent="0.3">
      <c r="A49" s="28">
        <f t="shared" si="1"/>
        <v>48</v>
      </c>
      <c r="B49" s="7" t="s">
        <v>158</v>
      </c>
      <c r="C49" s="20" t="s">
        <v>469</v>
      </c>
      <c r="D49" s="13" t="s">
        <v>464</v>
      </c>
      <c r="E49" s="7" t="s">
        <v>171</v>
      </c>
      <c r="F49" s="6"/>
      <c r="G49" s="6"/>
      <c r="H49" s="5" t="s">
        <v>493</v>
      </c>
      <c r="I49" s="5" t="str">
        <f t="shared" si="0"/>
        <v>bilgaon@123</v>
      </c>
    </row>
    <row r="50" spans="1:9" x14ac:dyDescent="0.3">
      <c r="A50" s="28">
        <f t="shared" si="1"/>
        <v>49</v>
      </c>
      <c r="B50" s="7" t="s">
        <v>158</v>
      </c>
      <c r="C50" s="20" t="s">
        <v>465</v>
      </c>
      <c r="D50" s="13" t="s">
        <v>466</v>
      </c>
      <c r="E50" s="7" t="s">
        <v>172</v>
      </c>
      <c r="F50" s="6"/>
      <c r="G50" s="6"/>
      <c r="H50" s="5" t="s">
        <v>490</v>
      </c>
      <c r="I50" s="5" t="str">
        <f t="shared" si="0"/>
        <v>kaketo@123</v>
      </c>
    </row>
    <row r="51" spans="1:9" x14ac:dyDescent="0.3">
      <c r="A51" s="28">
        <f t="shared" si="1"/>
        <v>50</v>
      </c>
      <c r="B51" s="7" t="s">
        <v>158</v>
      </c>
      <c r="C51" s="20" t="s">
        <v>467</v>
      </c>
      <c r="D51" s="13" t="s">
        <v>468</v>
      </c>
      <c r="E51" s="7" t="s">
        <v>177</v>
      </c>
      <c r="F51" s="6"/>
      <c r="G51" s="6"/>
      <c r="H51" s="5" t="s">
        <v>494</v>
      </c>
      <c r="I51" s="5" t="str">
        <f t="shared" si="0"/>
        <v>thanwar@123</v>
      </c>
    </row>
    <row r="52" spans="1:9" x14ac:dyDescent="0.3">
      <c r="A52" s="28">
        <f t="shared" si="1"/>
        <v>51</v>
      </c>
      <c r="B52" s="7" t="s">
        <v>158</v>
      </c>
      <c r="C52" s="20" t="s">
        <v>782</v>
      </c>
      <c r="D52" s="6"/>
      <c r="E52" s="7" t="s">
        <v>783</v>
      </c>
      <c r="F52" s="6"/>
      <c r="G52" s="6"/>
      <c r="H52" s="5" t="s">
        <v>784</v>
      </c>
      <c r="I52" s="5" t="str">
        <f t="shared" si="0"/>
        <v>tillar@123</v>
      </c>
    </row>
    <row r="53" spans="1:9" x14ac:dyDescent="0.3">
      <c r="A53" s="28">
        <f t="shared" si="1"/>
        <v>52</v>
      </c>
      <c r="B53" s="7" t="s">
        <v>158</v>
      </c>
      <c r="C53" s="20" t="s">
        <v>786</v>
      </c>
      <c r="D53" s="13" t="s">
        <v>439</v>
      </c>
      <c r="E53" s="7" t="s">
        <v>179</v>
      </c>
      <c r="F53" s="6"/>
      <c r="G53" s="6"/>
      <c r="H53" s="5" t="s">
        <v>479</v>
      </c>
      <c r="I53" s="5" t="str">
        <f>CONCATENATE(H53,"@123")</f>
        <v>kotwal@123</v>
      </c>
    </row>
    <row r="58" spans="1:9" ht="39.6" x14ac:dyDescent="0.3">
      <c r="A58" s="29">
        <v>35</v>
      </c>
      <c r="B58" s="29" t="s">
        <v>158</v>
      </c>
      <c r="C58" s="30" t="s">
        <v>429</v>
      </c>
      <c r="D58" s="31" t="s">
        <v>430</v>
      </c>
      <c r="E58" s="29" t="s">
        <v>172</v>
      </c>
      <c r="F58" s="32"/>
      <c r="G58" s="32"/>
      <c r="H58" s="33" t="s">
        <v>490</v>
      </c>
      <c r="I58" s="33" t="str">
        <f>CONCATENATE(H58,"@123")</f>
        <v>kaketo@123</v>
      </c>
    </row>
    <row r="59" spans="1:9" s="34" customFormat="1" x14ac:dyDescent="0.3">
      <c r="A59" s="29">
        <v>42</v>
      </c>
      <c r="B59" s="29" t="s">
        <v>158</v>
      </c>
      <c r="C59" s="30" t="s">
        <v>442</v>
      </c>
      <c r="D59" s="31" t="s">
        <v>443</v>
      </c>
      <c r="E59" s="29" t="s">
        <v>39</v>
      </c>
      <c r="F59" s="32"/>
      <c r="G59" s="32"/>
      <c r="H59" s="33" t="s">
        <v>481</v>
      </c>
      <c r="I59" s="33" t="str">
        <f>CONCATENATE(H59,"@123")</f>
        <v>bankpura@123</v>
      </c>
    </row>
    <row r="60" spans="1:9" s="34" customFormat="1" x14ac:dyDescent="0.3">
      <c r="A60" s="29">
        <v>44</v>
      </c>
      <c r="B60" s="29" t="s">
        <v>158</v>
      </c>
      <c r="C60" s="30" t="s">
        <v>446</v>
      </c>
      <c r="D60" s="31" t="s">
        <v>447</v>
      </c>
      <c r="E60" s="29" t="s">
        <v>448</v>
      </c>
      <c r="F60" s="32"/>
      <c r="G60" s="32"/>
      <c r="H60" s="33" t="s">
        <v>483</v>
      </c>
      <c r="I60" s="33" t="str">
        <f>CONCATENATE(H60,"@123")</f>
        <v>dudhi@123</v>
      </c>
    </row>
    <row r="61" spans="1:9" s="34" customFormat="1" x14ac:dyDescent="0.3">
      <c r="A61" s="29">
        <v>46</v>
      </c>
      <c r="B61" s="29" t="s">
        <v>158</v>
      </c>
      <c r="C61" s="30" t="s">
        <v>450</v>
      </c>
      <c r="D61" s="31" t="s">
        <v>451</v>
      </c>
      <c r="E61" s="29" t="s">
        <v>186</v>
      </c>
      <c r="F61" s="32"/>
      <c r="G61" s="32"/>
      <c r="H61" s="33" t="s">
        <v>485</v>
      </c>
      <c r="I61" s="33" t="str">
        <f>CONCATENATE(H61,"@123")</f>
        <v>tilawd@123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55"/>
  <sheetViews>
    <sheetView workbookViewId="0">
      <selection activeCell="I21" sqref="I21"/>
    </sheetView>
  </sheetViews>
  <sheetFormatPr defaultColWidth="27.77734375" defaultRowHeight="14.4" x14ac:dyDescent="0.3"/>
  <cols>
    <col min="1" max="1" width="5.21875" style="10" bestFit="1" customWidth="1"/>
    <col min="2" max="2" width="16.21875" bestFit="1" customWidth="1"/>
    <col min="3" max="3" width="19.44140625" bestFit="1" customWidth="1"/>
    <col min="4" max="4" width="10.77734375" bestFit="1" customWidth="1"/>
    <col min="5" max="5" width="7.44140625" bestFit="1" customWidth="1"/>
    <col min="6" max="6" width="21.77734375" customWidth="1"/>
    <col min="7" max="7" width="14.21875" style="1" bestFit="1" customWidth="1"/>
    <col min="8" max="8" width="17.44140625" style="1" bestFit="1" customWidth="1"/>
  </cols>
  <sheetData>
    <row r="1" spans="1:8" x14ac:dyDescent="0.3">
      <c r="A1" s="9" t="s">
        <v>0</v>
      </c>
      <c r="B1" s="2" t="s">
        <v>89</v>
      </c>
      <c r="C1" s="2" t="s">
        <v>74</v>
      </c>
      <c r="D1" s="2" t="s">
        <v>1</v>
      </c>
      <c r="E1" s="2" t="s">
        <v>260</v>
      </c>
      <c r="F1" s="2" t="s">
        <v>2</v>
      </c>
      <c r="G1" s="3" t="s">
        <v>75</v>
      </c>
      <c r="H1" s="3" t="s">
        <v>76</v>
      </c>
    </row>
    <row r="2" spans="1:8" x14ac:dyDescent="0.3">
      <c r="A2" s="7">
        <v>1</v>
      </c>
      <c r="B2" s="7" t="s">
        <v>93</v>
      </c>
      <c r="C2" s="8" t="s">
        <v>113</v>
      </c>
      <c r="D2" s="7" t="s">
        <v>111</v>
      </c>
      <c r="E2" s="7">
        <v>23</v>
      </c>
      <c r="F2" s="8" t="s">
        <v>754</v>
      </c>
      <c r="G2" s="8" t="s">
        <v>94</v>
      </c>
      <c r="H2" s="8" t="str">
        <f t="shared" ref="H2:H55" si="0">CONCATENATE(G2,"@123")</f>
        <v>floodcell@123</v>
      </c>
    </row>
    <row r="3" spans="1:8" x14ac:dyDescent="0.3">
      <c r="A3" s="7">
        <v>2</v>
      </c>
      <c r="B3" s="7" t="s">
        <v>90</v>
      </c>
      <c r="C3" s="8" t="s">
        <v>112</v>
      </c>
      <c r="D3" s="7" t="s">
        <v>111</v>
      </c>
      <c r="E3" s="7">
        <v>23</v>
      </c>
      <c r="F3" s="8" t="s">
        <v>742</v>
      </c>
      <c r="G3" s="8" t="s">
        <v>246</v>
      </c>
      <c r="H3" s="8" t="str">
        <f t="shared" si="0"/>
        <v>cebodhi@123</v>
      </c>
    </row>
    <row r="4" spans="1:8" x14ac:dyDescent="0.3">
      <c r="A4" s="16">
        <v>3</v>
      </c>
      <c r="B4" s="7" t="s">
        <v>90</v>
      </c>
      <c r="C4" s="8" t="s">
        <v>743</v>
      </c>
      <c r="D4" s="8" t="s">
        <v>160</v>
      </c>
      <c r="E4" s="11">
        <v>501</v>
      </c>
      <c r="F4" s="8" t="s">
        <v>743</v>
      </c>
      <c r="G4" s="5" t="s">
        <v>312</v>
      </c>
      <c r="H4" s="8" t="str">
        <f t="shared" si="0"/>
        <v>ceujjain@123</v>
      </c>
    </row>
    <row r="5" spans="1:8" x14ac:dyDescent="0.3">
      <c r="A5" s="7">
        <v>4</v>
      </c>
      <c r="B5" s="7" t="s">
        <v>90</v>
      </c>
      <c r="C5" s="8" t="s">
        <v>744</v>
      </c>
      <c r="D5" s="8" t="s">
        <v>161</v>
      </c>
      <c r="E5" s="11">
        <v>465</v>
      </c>
      <c r="F5" s="8" t="s">
        <v>744</v>
      </c>
      <c r="G5" s="5" t="s">
        <v>314</v>
      </c>
      <c r="H5" s="8" t="str">
        <f t="shared" si="0"/>
        <v>ceindore@123</v>
      </c>
    </row>
    <row r="6" spans="1:8" x14ac:dyDescent="0.3">
      <c r="A6" s="7">
        <v>5</v>
      </c>
      <c r="B6" s="7" t="s">
        <v>90</v>
      </c>
      <c r="C6" s="8" t="s">
        <v>745</v>
      </c>
      <c r="D6" s="8" t="s">
        <v>162</v>
      </c>
      <c r="E6" s="11">
        <v>461</v>
      </c>
      <c r="F6" s="8" t="s">
        <v>745</v>
      </c>
      <c r="G6" s="5" t="s">
        <v>315</v>
      </c>
      <c r="H6" s="8" t="str">
        <f t="shared" si="0"/>
        <v>cerewa@123</v>
      </c>
    </row>
    <row r="7" spans="1:8" x14ac:dyDescent="0.3">
      <c r="A7" s="16">
        <v>6</v>
      </c>
      <c r="B7" s="7" t="s">
        <v>90</v>
      </c>
      <c r="C7" s="8" t="s">
        <v>746</v>
      </c>
      <c r="D7" s="8" t="s">
        <v>62</v>
      </c>
      <c r="E7" s="11">
        <v>459</v>
      </c>
      <c r="F7" s="8" t="s">
        <v>746</v>
      </c>
      <c r="G7" s="5" t="s">
        <v>316</v>
      </c>
      <c r="H7" s="8" t="str">
        <f t="shared" si="0"/>
        <v>cebhopal@123</v>
      </c>
    </row>
    <row r="8" spans="1:8" x14ac:dyDescent="0.3">
      <c r="A8" s="7">
        <v>7</v>
      </c>
      <c r="B8" s="7" t="s">
        <v>90</v>
      </c>
      <c r="C8" s="8" t="s">
        <v>747</v>
      </c>
      <c r="D8" s="8" t="s">
        <v>16</v>
      </c>
      <c r="E8" s="11">
        <v>457</v>
      </c>
      <c r="F8" s="8" t="s">
        <v>747</v>
      </c>
      <c r="G8" s="5" t="s">
        <v>313</v>
      </c>
      <c r="H8" s="8" t="str">
        <f t="shared" si="0"/>
        <v>ceseoni@123</v>
      </c>
    </row>
    <row r="9" spans="1:8" x14ac:dyDescent="0.3">
      <c r="A9" s="7">
        <v>8</v>
      </c>
      <c r="B9" s="7" t="s">
        <v>90</v>
      </c>
      <c r="C9" s="8" t="s">
        <v>744</v>
      </c>
      <c r="D9" s="8" t="s">
        <v>163</v>
      </c>
      <c r="E9" s="11">
        <v>441</v>
      </c>
      <c r="F9" s="8" t="s">
        <v>744</v>
      </c>
      <c r="G9" s="5" t="s">
        <v>314</v>
      </c>
      <c r="H9" s="8" t="str">
        <f t="shared" si="0"/>
        <v>ceindore@123</v>
      </c>
    </row>
    <row r="10" spans="1:8" x14ac:dyDescent="0.3">
      <c r="A10" s="16">
        <v>9</v>
      </c>
      <c r="B10" s="7" t="s">
        <v>90</v>
      </c>
      <c r="C10" s="8" t="s">
        <v>748</v>
      </c>
      <c r="D10" s="8" t="s">
        <v>53</v>
      </c>
      <c r="E10" s="11">
        <v>447</v>
      </c>
      <c r="F10" s="8" t="s">
        <v>748</v>
      </c>
      <c r="G10" s="5" t="s">
        <v>317</v>
      </c>
      <c r="H10" s="8" t="str">
        <f t="shared" si="0"/>
        <v>cehoshangabad@123</v>
      </c>
    </row>
    <row r="11" spans="1:8" x14ac:dyDescent="0.3">
      <c r="A11" s="7">
        <v>10</v>
      </c>
      <c r="B11" s="7" t="s">
        <v>90</v>
      </c>
      <c r="C11" s="8" t="s">
        <v>749</v>
      </c>
      <c r="D11" s="8" t="s">
        <v>164</v>
      </c>
      <c r="E11" s="11">
        <v>420</v>
      </c>
      <c r="F11" s="8" t="s">
        <v>749</v>
      </c>
      <c r="G11" s="5" t="s">
        <v>318</v>
      </c>
      <c r="H11" s="8" t="str">
        <f t="shared" si="0"/>
        <v>cegwalior@123</v>
      </c>
    </row>
    <row r="12" spans="1:8" x14ac:dyDescent="0.3">
      <c r="A12" s="7">
        <v>11</v>
      </c>
      <c r="B12" s="7" t="s">
        <v>90</v>
      </c>
      <c r="C12" s="8" t="s">
        <v>746</v>
      </c>
      <c r="D12" s="8" t="s">
        <v>32</v>
      </c>
      <c r="E12" s="11">
        <v>444</v>
      </c>
      <c r="F12" s="8" t="s">
        <v>746</v>
      </c>
      <c r="G12" s="5" t="s">
        <v>316</v>
      </c>
      <c r="H12" s="8" t="str">
        <f t="shared" si="0"/>
        <v>cebhopal@123</v>
      </c>
    </row>
    <row r="13" spans="1:8" x14ac:dyDescent="0.3">
      <c r="A13" s="16">
        <v>12</v>
      </c>
      <c r="B13" s="7" t="s">
        <v>90</v>
      </c>
      <c r="C13" s="8" t="s">
        <v>744</v>
      </c>
      <c r="D13" s="8" t="s">
        <v>165</v>
      </c>
      <c r="E13" s="11">
        <v>467</v>
      </c>
      <c r="F13" s="8" t="s">
        <v>744</v>
      </c>
      <c r="G13" s="5" t="s">
        <v>314</v>
      </c>
      <c r="H13" s="8" t="str">
        <f t="shared" si="0"/>
        <v>ceindore@123</v>
      </c>
    </row>
    <row r="14" spans="1:8" x14ac:dyDescent="0.3">
      <c r="A14" s="7">
        <v>13</v>
      </c>
      <c r="B14" s="7" t="s">
        <v>90</v>
      </c>
      <c r="C14" s="8" t="s">
        <v>750</v>
      </c>
      <c r="D14" s="8" t="s">
        <v>166</v>
      </c>
      <c r="E14" s="11">
        <v>425</v>
      </c>
      <c r="F14" s="8" t="s">
        <v>750</v>
      </c>
      <c r="G14" s="5" t="s">
        <v>319</v>
      </c>
      <c r="H14" s="8" t="str">
        <f t="shared" si="0"/>
        <v>cesagar@123</v>
      </c>
    </row>
    <row r="15" spans="1:8" x14ac:dyDescent="0.3">
      <c r="A15" s="7">
        <v>14</v>
      </c>
      <c r="B15" s="7" t="s">
        <v>90</v>
      </c>
      <c r="C15" s="8" t="s">
        <v>747</v>
      </c>
      <c r="D15" s="8" t="s">
        <v>167</v>
      </c>
      <c r="E15" s="11">
        <v>455</v>
      </c>
      <c r="F15" s="8" t="s">
        <v>747</v>
      </c>
      <c r="G15" s="5" t="s">
        <v>313</v>
      </c>
      <c r="H15" s="8" t="str">
        <f t="shared" si="0"/>
        <v>ceseoni@123</v>
      </c>
    </row>
    <row r="16" spans="1:8" x14ac:dyDescent="0.3">
      <c r="A16" s="16">
        <v>15</v>
      </c>
      <c r="B16" s="7" t="s">
        <v>90</v>
      </c>
      <c r="C16" s="8" t="s">
        <v>750</v>
      </c>
      <c r="D16" s="8" t="s">
        <v>168</v>
      </c>
      <c r="E16" s="11">
        <v>428</v>
      </c>
      <c r="F16" s="8" t="s">
        <v>750</v>
      </c>
      <c r="G16" s="5" t="s">
        <v>319</v>
      </c>
      <c r="H16" s="8" t="str">
        <f t="shared" si="0"/>
        <v>cesagar@123</v>
      </c>
    </row>
    <row r="17" spans="1:8" x14ac:dyDescent="0.3">
      <c r="A17" s="7">
        <v>16</v>
      </c>
      <c r="B17" s="7" t="s">
        <v>90</v>
      </c>
      <c r="C17" s="8" t="s">
        <v>751</v>
      </c>
      <c r="D17" s="8" t="s">
        <v>169</v>
      </c>
      <c r="E17" s="11">
        <v>422</v>
      </c>
      <c r="F17" s="8" t="s">
        <v>751</v>
      </c>
      <c r="G17" s="5" t="s">
        <v>320</v>
      </c>
      <c r="H17" s="8" t="str">
        <f t="shared" si="0"/>
        <v>cedatia@123</v>
      </c>
    </row>
    <row r="18" spans="1:8" x14ac:dyDescent="0.3">
      <c r="A18" s="7">
        <v>17</v>
      </c>
      <c r="B18" s="7" t="s">
        <v>90</v>
      </c>
      <c r="C18" s="8" t="s">
        <v>752</v>
      </c>
      <c r="D18" s="8" t="s">
        <v>170</v>
      </c>
      <c r="E18" s="11">
        <v>437</v>
      </c>
      <c r="F18" s="8" t="s">
        <v>752</v>
      </c>
      <c r="G18" s="5" t="s">
        <v>312</v>
      </c>
      <c r="H18" s="8" t="str">
        <f t="shared" si="0"/>
        <v>ceujjain@123</v>
      </c>
    </row>
    <row r="19" spans="1:8" x14ac:dyDescent="0.3">
      <c r="A19" s="16">
        <v>18</v>
      </c>
      <c r="B19" s="7" t="s">
        <v>90</v>
      </c>
      <c r="C19" s="8" t="s">
        <v>744</v>
      </c>
      <c r="D19" s="8" t="s">
        <v>48</v>
      </c>
      <c r="E19" s="11">
        <v>438</v>
      </c>
      <c r="F19" s="8" t="s">
        <v>744</v>
      </c>
      <c r="G19" s="5" t="s">
        <v>314</v>
      </c>
      <c r="H19" s="8" t="str">
        <f t="shared" si="0"/>
        <v>ceindore@123</v>
      </c>
    </row>
    <row r="20" spans="1:8" x14ac:dyDescent="0.3">
      <c r="A20" s="7">
        <v>19</v>
      </c>
      <c r="B20" s="7" t="s">
        <v>90</v>
      </c>
      <c r="C20" s="8" t="s">
        <v>747</v>
      </c>
      <c r="D20" s="8" t="s">
        <v>171</v>
      </c>
      <c r="E20" s="11">
        <v>453</v>
      </c>
      <c r="F20" s="8" t="s">
        <v>747</v>
      </c>
      <c r="G20" s="5" t="s">
        <v>313</v>
      </c>
      <c r="H20" s="8" t="str">
        <f t="shared" si="0"/>
        <v>ceseoni@123</v>
      </c>
    </row>
    <row r="21" spans="1:8" x14ac:dyDescent="0.3">
      <c r="A21" s="7">
        <v>20</v>
      </c>
      <c r="B21" s="7" t="s">
        <v>90</v>
      </c>
      <c r="C21" s="8" t="s">
        <v>746</v>
      </c>
      <c r="D21" s="8" t="s">
        <v>25</v>
      </c>
      <c r="E21" s="11">
        <v>458</v>
      </c>
      <c r="F21" s="8" t="s">
        <v>746</v>
      </c>
      <c r="G21" s="5" t="s">
        <v>316</v>
      </c>
      <c r="H21" s="8" t="str">
        <f t="shared" si="0"/>
        <v>cebhopal@123</v>
      </c>
    </row>
    <row r="22" spans="1:8" x14ac:dyDescent="0.3">
      <c r="A22" s="16">
        <v>21</v>
      </c>
      <c r="B22" s="7" t="s">
        <v>90</v>
      </c>
      <c r="C22" s="8" t="s">
        <v>749</v>
      </c>
      <c r="D22" s="8" t="s">
        <v>172</v>
      </c>
      <c r="E22" s="11">
        <v>421</v>
      </c>
      <c r="F22" s="8" t="s">
        <v>749</v>
      </c>
      <c r="G22" s="5" t="s">
        <v>318</v>
      </c>
      <c r="H22" s="8" t="str">
        <f t="shared" si="0"/>
        <v>cegwalior@123</v>
      </c>
    </row>
    <row r="23" spans="1:8" x14ac:dyDescent="0.3">
      <c r="A23" s="7">
        <v>22</v>
      </c>
      <c r="B23" s="7" t="s">
        <v>90</v>
      </c>
      <c r="C23" s="8" t="s">
        <v>748</v>
      </c>
      <c r="D23" s="8" t="s">
        <v>173</v>
      </c>
      <c r="E23" s="11">
        <v>448</v>
      </c>
      <c r="F23" s="8" t="s">
        <v>748</v>
      </c>
      <c r="G23" s="5" t="s">
        <v>317</v>
      </c>
      <c r="H23" s="8" t="str">
        <f t="shared" si="0"/>
        <v>cehoshangabad@123</v>
      </c>
    </row>
    <row r="24" spans="1:8" x14ac:dyDescent="0.3">
      <c r="A24" s="7">
        <v>23</v>
      </c>
      <c r="B24" s="7" t="s">
        <v>90</v>
      </c>
      <c r="C24" s="8" t="s">
        <v>748</v>
      </c>
      <c r="D24" s="8" t="s">
        <v>70</v>
      </c>
      <c r="E24" s="11">
        <v>449</v>
      </c>
      <c r="F24" s="8" t="s">
        <v>748</v>
      </c>
      <c r="G24" s="5" t="s">
        <v>317</v>
      </c>
      <c r="H24" s="8" t="str">
        <f t="shared" si="0"/>
        <v>cehoshangabad@123</v>
      </c>
    </row>
    <row r="25" spans="1:8" x14ac:dyDescent="0.3">
      <c r="A25" s="16">
        <v>24</v>
      </c>
      <c r="B25" s="7" t="s">
        <v>90</v>
      </c>
      <c r="C25" s="8" t="s">
        <v>744</v>
      </c>
      <c r="D25" s="8" t="s">
        <v>174</v>
      </c>
      <c r="E25" s="11">
        <v>439</v>
      </c>
      <c r="F25" s="8" t="s">
        <v>744</v>
      </c>
      <c r="G25" s="5" t="s">
        <v>314</v>
      </c>
      <c r="H25" s="8" t="str">
        <f t="shared" si="0"/>
        <v>ceindore@123</v>
      </c>
    </row>
    <row r="26" spans="1:8" x14ac:dyDescent="0.3">
      <c r="A26" s="7">
        <v>25</v>
      </c>
      <c r="B26" s="7" t="s">
        <v>90</v>
      </c>
      <c r="C26" s="8" t="s">
        <v>747</v>
      </c>
      <c r="D26" s="8" t="s">
        <v>10</v>
      </c>
      <c r="E26" s="11">
        <v>451</v>
      </c>
      <c r="F26" s="8" t="s">
        <v>747</v>
      </c>
      <c r="G26" s="5" t="s">
        <v>313</v>
      </c>
      <c r="H26" s="8" t="str">
        <f t="shared" si="0"/>
        <v>ceseoni@123</v>
      </c>
    </row>
    <row r="27" spans="1:8" x14ac:dyDescent="0.3">
      <c r="A27" s="7">
        <v>26</v>
      </c>
      <c r="B27" s="7" t="s">
        <v>90</v>
      </c>
      <c r="C27" s="8" t="s">
        <v>744</v>
      </c>
      <c r="D27" s="8" t="s">
        <v>45</v>
      </c>
      <c r="E27" s="11">
        <v>464</v>
      </c>
      <c r="F27" s="8" t="s">
        <v>744</v>
      </c>
      <c r="G27" s="5" t="s">
        <v>314</v>
      </c>
      <c r="H27" s="8" t="str">
        <f t="shared" si="0"/>
        <v>ceindore@123</v>
      </c>
    </row>
    <row r="28" spans="1:8" x14ac:dyDescent="0.3">
      <c r="A28" s="16">
        <v>27</v>
      </c>
      <c r="B28" s="7" t="s">
        <v>90</v>
      </c>
      <c r="C28" s="8" t="s">
        <v>747</v>
      </c>
      <c r="D28" s="8" t="s">
        <v>175</v>
      </c>
      <c r="E28" s="11">
        <v>450</v>
      </c>
      <c r="F28" s="8" t="s">
        <v>747</v>
      </c>
      <c r="G28" s="5" t="s">
        <v>313</v>
      </c>
      <c r="H28" s="8" t="str">
        <f t="shared" si="0"/>
        <v>ceseoni@123</v>
      </c>
    </row>
    <row r="29" spans="1:8" x14ac:dyDescent="0.3">
      <c r="A29" s="7">
        <v>28</v>
      </c>
      <c r="B29" s="7" t="s">
        <v>90</v>
      </c>
      <c r="C29" s="8" t="s">
        <v>744</v>
      </c>
      <c r="D29" s="8" t="s">
        <v>28</v>
      </c>
      <c r="E29" s="11">
        <v>466</v>
      </c>
      <c r="F29" s="8" t="s">
        <v>744</v>
      </c>
      <c r="G29" s="5" t="s">
        <v>314</v>
      </c>
      <c r="H29" s="8" t="str">
        <f t="shared" si="0"/>
        <v>ceindore@123</v>
      </c>
    </row>
    <row r="30" spans="1:8" x14ac:dyDescent="0.3">
      <c r="A30" s="7">
        <v>29</v>
      </c>
      <c r="B30" s="7" t="s">
        <v>90</v>
      </c>
      <c r="C30" s="8" t="s">
        <v>744</v>
      </c>
      <c r="D30" s="8" t="s">
        <v>176</v>
      </c>
      <c r="E30" s="11">
        <v>440</v>
      </c>
      <c r="F30" s="8" t="s">
        <v>744</v>
      </c>
      <c r="G30" s="5" t="s">
        <v>314</v>
      </c>
      <c r="H30" s="8" t="str">
        <f t="shared" si="0"/>
        <v>ceindore@123</v>
      </c>
    </row>
    <row r="31" spans="1:8" x14ac:dyDescent="0.3">
      <c r="A31" s="16">
        <v>30</v>
      </c>
      <c r="B31" s="7" t="s">
        <v>90</v>
      </c>
      <c r="C31" s="8" t="s">
        <v>747</v>
      </c>
      <c r="D31" s="8" t="s">
        <v>177</v>
      </c>
      <c r="E31" s="11">
        <v>454</v>
      </c>
      <c r="F31" s="8" t="s">
        <v>747</v>
      </c>
      <c r="G31" s="5" t="s">
        <v>313</v>
      </c>
      <c r="H31" s="8" t="str">
        <f t="shared" si="0"/>
        <v>ceseoni@123</v>
      </c>
    </row>
    <row r="32" spans="1:8" x14ac:dyDescent="0.3">
      <c r="A32" s="7">
        <v>31</v>
      </c>
      <c r="B32" s="7" t="s">
        <v>90</v>
      </c>
      <c r="C32" s="8" t="s">
        <v>752</v>
      </c>
      <c r="D32" s="8" t="s">
        <v>178</v>
      </c>
      <c r="E32" s="11">
        <v>433</v>
      </c>
      <c r="F32" s="8" t="s">
        <v>752</v>
      </c>
      <c r="G32" s="5" t="s">
        <v>312</v>
      </c>
      <c r="H32" s="8" t="str">
        <f t="shared" si="0"/>
        <v>ceujjain@123</v>
      </c>
    </row>
    <row r="33" spans="1:8" x14ac:dyDescent="0.3">
      <c r="A33" s="7">
        <v>32</v>
      </c>
      <c r="B33" s="7" t="s">
        <v>90</v>
      </c>
      <c r="C33" s="8" t="s">
        <v>749</v>
      </c>
      <c r="D33" s="8" t="s">
        <v>179</v>
      </c>
      <c r="E33" s="11">
        <v>419</v>
      </c>
      <c r="F33" s="8" t="s">
        <v>749</v>
      </c>
      <c r="G33" s="5" t="s">
        <v>318</v>
      </c>
      <c r="H33" s="8" t="str">
        <f t="shared" si="0"/>
        <v>cegwalior@123</v>
      </c>
    </row>
    <row r="34" spans="1:8" x14ac:dyDescent="0.3">
      <c r="A34" s="16">
        <v>33</v>
      </c>
      <c r="B34" s="7" t="s">
        <v>90</v>
      </c>
      <c r="C34" s="8" t="s">
        <v>748</v>
      </c>
      <c r="D34" s="8" t="s">
        <v>180</v>
      </c>
      <c r="E34" s="11">
        <v>452</v>
      </c>
      <c r="F34" s="8" t="s">
        <v>748</v>
      </c>
      <c r="G34" s="5" t="s">
        <v>317</v>
      </c>
      <c r="H34" s="8" t="str">
        <f t="shared" si="0"/>
        <v>cehoshangabad@123</v>
      </c>
    </row>
    <row r="35" spans="1:8" x14ac:dyDescent="0.3">
      <c r="A35" s="7">
        <v>34</v>
      </c>
      <c r="B35" s="7" t="s">
        <v>90</v>
      </c>
      <c r="C35" s="8" t="s">
        <v>752</v>
      </c>
      <c r="D35" s="8" t="s">
        <v>181</v>
      </c>
      <c r="E35" s="11">
        <v>432</v>
      </c>
      <c r="F35" s="8" t="s">
        <v>752</v>
      </c>
      <c r="G35" s="5" t="s">
        <v>312</v>
      </c>
      <c r="H35" s="8" t="str">
        <f t="shared" si="0"/>
        <v>ceujjain@123</v>
      </c>
    </row>
    <row r="36" spans="1:8" x14ac:dyDescent="0.3">
      <c r="A36" s="7">
        <v>35</v>
      </c>
      <c r="B36" s="7" t="s">
        <v>90</v>
      </c>
      <c r="C36" s="8" t="s">
        <v>750</v>
      </c>
      <c r="D36" s="8" t="s">
        <v>182</v>
      </c>
      <c r="E36" s="11">
        <v>722</v>
      </c>
      <c r="F36" s="8" t="s">
        <v>750</v>
      </c>
      <c r="G36" s="5" t="s">
        <v>319</v>
      </c>
      <c r="H36" s="8" t="str">
        <f t="shared" si="0"/>
        <v>cesagar@123</v>
      </c>
    </row>
    <row r="37" spans="1:8" x14ac:dyDescent="0.3">
      <c r="A37" s="16">
        <v>36</v>
      </c>
      <c r="B37" s="7" t="s">
        <v>90</v>
      </c>
      <c r="C37" s="8" t="s">
        <v>750</v>
      </c>
      <c r="D37" s="8" t="s">
        <v>56</v>
      </c>
      <c r="E37" s="11">
        <v>426</v>
      </c>
      <c r="F37" s="8" t="s">
        <v>750</v>
      </c>
      <c r="G37" s="5" t="s">
        <v>319</v>
      </c>
      <c r="H37" s="8" t="str">
        <f t="shared" si="0"/>
        <v>cesagar@123</v>
      </c>
    </row>
    <row r="38" spans="1:8" x14ac:dyDescent="0.3">
      <c r="A38" s="7">
        <v>37</v>
      </c>
      <c r="B38" s="7" t="s">
        <v>90</v>
      </c>
      <c r="C38" s="8" t="s">
        <v>746</v>
      </c>
      <c r="D38" s="8" t="s">
        <v>13</v>
      </c>
      <c r="E38" s="11">
        <v>446</v>
      </c>
      <c r="F38" s="8" t="s">
        <v>746</v>
      </c>
      <c r="G38" s="5" t="s">
        <v>316</v>
      </c>
      <c r="H38" s="8" t="str">
        <f t="shared" si="0"/>
        <v>cebhopal@123</v>
      </c>
    </row>
    <row r="39" spans="1:8" x14ac:dyDescent="0.3">
      <c r="A39" s="7">
        <v>38</v>
      </c>
      <c r="B39" s="7" t="s">
        <v>90</v>
      </c>
      <c r="C39" s="8" t="s">
        <v>746</v>
      </c>
      <c r="D39" s="8" t="s">
        <v>39</v>
      </c>
      <c r="E39" s="11">
        <v>442</v>
      </c>
      <c r="F39" s="8" t="s">
        <v>746</v>
      </c>
      <c r="G39" s="5" t="s">
        <v>316</v>
      </c>
      <c r="H39" s="8" t="str">
        <f t="shared" si="0"/>
        <v>cebhopal@123</v>
      </c>
    </row>
    <row r="40" spans="1:8" x14ac:dyDescent="0.3">
      <c r="A40" s="16">
        <v>39</v>
      </c>
      <c r="B40" s="7" t="s">
        <v>90</v>
      </c>
      <c r="C40" s="8" t="s">
        <v>752</v>
      </c>
      <c r="D40" s="8" t="s">
        <v>19</v>
      </c>
      <c r="E40" s="11">
        <v>434</v>
      </c>
      <c r="F40" s="8" t="s">
        <v>752</v>
      </c>
      <c r="G40" s="5" t="s">
        <v>312</v>
      </c>
      <c r="H40" s="8" t="str">
        <f t="shared" si="0"/>
        <v>ceujjain@123</v>
      </c>
    </row>
    <row r="41" spans="1:8" x14ac:dyDescent="0.3">
      <c r="A41" s="7">
        <v>40</v>
      </c>
      <c r="B41" s="7" t="s">
        <v>90</v>
      </c>
      <c r="C41" s="8" t="s">
        <v>745</v>
      </c>
      <c r="D41" s="8" t="s">
        <v>183</v>
      </c>
      <c r="E41" s="11">
        <v>430</v>
      </c>
      <c r="F41" s="8" t="s">
        <v>745</v>
      </c>
      <c r="G41" s="5" t="s">
        <v>315</v>
      </c>
      <c r="H41" s="8" t="str">
        <f t="shared" si="0"/>
        <v>cerewa@123</v>
      </c>
    </row>
    <row r="42" spans="1:8" x14ac:dyDescent="0.3">
      <c r="A42" s="7">
        <v>41</v>
      </c>
      <c r="B42" s="7" t="s">
        <v>90</v>
      </c>
      <c r="C42" s="8" t="s">
        <v>750</v>
      </c>
      <c r="D42" s="8" t="s">
        <v>184</v>
      </c>
      <c r="E42" s="11">
        <v>427</v>
      </c>
      <c r="F42" s="8" t="s">
        <v>750</v>
      </c>
      <c r="G42" s="5" t="s">
        <v>319</v>
      </c>
      <c r="H42" s="8" t="str">
        <f t="shared" si="0"/>
        <v>cesagar@123</v>
      </c>
    </row>
    <row r="43" spans="1:8" x14ac:dyDescent="0.3">
      <c r="A43" s="16">
        <v>42</v>
      </c>
      <c r="B43" s="7" t="s">
        <v>90</v>
      </c>
      <c r="C43" s="8" t="s">
        <v>745</v>
      </c>
      <c r="D43" s="8" t="s">
        <v>185</v>
      </c>
      <c r="E43" s="11">
        <v>429</v>
      </c>
      <c r="F43" s="8" t="s">
        <v>745</v>
      </c>
      <c r="G43" s="5" t="s">
        <v>315</v>
      </c>
      <c r="H43" s="8" t="str">
        <f t="shared" si="0"/>
        <v>cerewa@123</v>
      </c>
    </row>
    <row r="44" spans="1:8" x14ac:dyDescent="0.3">
      <c r="A44" s="7">
        <v>43</v>
      </c>
      <c r="B44" s="7" t="s">
        <v>90</v>
      </c>
      <c r="C44" s="8" t="s">
        <v>746</v>
      </c>
      <c r="D44" s="8" t="s">
        <v>36</v>
      </c>
      <c r="E44" s="11">
        <v>445</v>
      </c>
      <c r="F44" s="8" t="s">
        <v>746</v>
      </c>
      <c r="G44" s="5" t="s">
        <v>316</v>
      </c>
      <c r="H44" s="8" t="str">
        <f t="shared" si="0"/>
        <v>cebhopal@123</v>
      </c>
    </row>
    <row r="45" spans="1:8" x14ac:dyDescent="0.3">
      <c r="A45" s="7">
        <v>44</v>
      </c>
      <c r="B45" s="7" t="s">
        <v>90</v>
      </c>
      <c r="C45" s="8" t="s">
        <v>753</v>
      </c>
      <c r="D45" s="8" t="s">
        <v>73</v>
      </c>
      <c r="E45" s="11">
        <v>456</v>
      </c>
      <c r="F45" s="8" t="s">
        <v>753</v>
      </c>
      <c r="G45" s="5" t="s">
        <v>313</v>
      </c>
      <c r="H45" s="8" t="str">
        <f t="shared" si="0"/>
        <v>ceseoni@123</v>
      </c>
    </row>
    <row r="46" spans="1:8" x14ac:dyDescent="0.3">
      <c r="A46" s="16">
        <v>45</v>
      </c>
      <c r="B46" s="7" t="s">
        <v>90</v>
      </c>
      <c r="C46" s="8" t="s">
        <v>745</v>
      </c>
      <c r="D46" s="8" t="s">
        <v>5</v>
      </c>
      <c r="E46" s="11">
        <v>460</v>
      </c>
      <c r="F46" s="8" t="s">
        <v>745</v>
      </c>
      <c r="G46" s="5" t="s">
        <v>315</v>
      </c>
      <c r="H46" s="8" t="str">
        <f t="shared" si="0"/>
        <v>cerewa@123</v>
      </c>
    </row>
    <row r="47" spans="1:8" x14ac:dyDescent="0.3">
      <c r="A47" s="7">
        <v>46</v>
      </c>
      <c r="B47" s="7" t="s">
        <v>90</v>
      </c>
      <c r="C47" s="8" t="s">
        <v>752</v>
      </c>
      <c r="D47" s="8" t="s">
        <v>186</v>
      </c>
      <c r="E47" s="11">
        <v>436</v>
      </c>
      <c r="F47" s="8" t="s">
        <v>752</v>
      </c>
      <c r="G47" s="5" t="s">
        <v>312</v>
      </c>
      <c r="H47" s="8" t="str">
        <f t="shared" si="0"/>
        <v>ceujjain@123</v>
      </c>
    </row>
    <row r="48" spans="1:8" x14ac:dyDescent="0.3">
      <c r="A48" s="7">
        <v>47</v>
      </c>
      <c r="B48" s="7" t="s">
        <v>90</v>
      </c>
      <c r="C48" s="8" t="s">
        <v>749</v>
      </c>
      <c r="D48" s="8" t="s">
        <v>187</v>
      </c>
      <c r="E48" s="11">
        <v>418</v>
      </c>
      <c r="F48" s="8" t="s">
        <v>749</v>
      </c>
      <c r="G48" s="5" t="s">
        <v>318</v>
      </c>
      <c r="H48" s="8" t="str">
        <f t="shared" si="0"/>
        <v>cegwalior@123</v>
      </c>
    </row>
    <row r="49" spans="1:8" x14ac:dyDescent="0.3">
      <c r="A49" s="16">
        <v>48</v>
      </c>
      <c r="B49" s="7" t="s">
        <v>90</v>
      </c>
      <c r="C49" s="8" t="s">
        <v>751</v>
      </c>
      <c r="D49" s="8" t="s">
        <v>42</v>
      </c>
      <c r="E49" s="11">
        <v>423</v>
      </c>
      <c r="F49" s="8" t="s">
        <v>751</v>
      </c>
      <c r="G49" s="5" t="s">
        <v>320</v>
      </c>
      <c r="H49" s="8" t="str">
        <f t="shared" si="0"/>
        <v>cedatia@123</v>
      </c>
    </row>
    <row r="50" spans="1:8" x14ac:dyDescent="0.3">
      <c r="A50" s="7">
        <v>49</v>
      </c>
      <c r="B50" s="7" t="s">
        <v>90</v>
      </c>
      <c r="C50" s="8" t="s">
        <v>745</v>
      </c>
      <c r="D50" s="8" t="s">
        <v>188</v>
      </c>
      <c r="E50" s="11">
        <v>462</v>
      </c>
      <c r="F50" s="8" t="s">
        <v>745</v>
      </c>
      <c r="G50" s="5" t="s">
        <v>315</v>
      </c>
      <c r="H50" s="8" t="str">
        <f t="shared" si="0"/>
        <v>cerewa@123</v>
      </c>
    </row>
    <row r="51" spans="1:8" x14ac:dyDescent="0.3">
      <c r="A51" s="7">
        <v>50</v>
      </c>
      <c r="B51" s="7" t="s">
        <v>90</v>
      </c>
      <c r="C51" s="8" t="s">
        <v>745</v>
      </c>
      <c r="D51" s="8" t="s">
        <v>189</v>
      </c>
      <c r="E51" s="11">
        <v>463</v>
      </c>
      <c r="F51" s="8" t="s">
        <v>745</v>
      </c>
      <c r="G51" s="5" t="s">
        <v>315</v>
      </c>
      <c r="H51" s="8" t="str">
        <f t="shared" si="0"/>
        <v>cerewa@123</v>
      </c>
    </row>
    <row r="52" spans="1:8" x14ac:dyDescent="0.3">
      <c r="A52" s="16">
        <v>51</v>
      </c>
      <c r="B52" s="7" t="s">
        <v>90</v>
      </c>
      <c r="C52" s="8" t="s">
        <v>750</v>
      </c>
      <c r="D52" s="8" t="s">
        <v>7</v>
      </c>
      <c r="E52" s="11">
        <v>424</v>
      </c>
      <c r="F52" s="8" t="s">
        <v>750</v>
      </c>
      <c r="G52" s="5" t="s">
        <v>319</v>
      </c>
      <c r="H52" s="8" t="str">
        <f t="shared" si="0"/>
        <v>cesagar@123</v>
      </c>
    </row>
    <row r="53" spans="1:8" x14ac:dyDescent="0.3">
      <c r="A53" s="7">
        <v>52</v>
      </c>
      <c r="B53" s="7" t="s">
        <v>90</v>
      </c>
      <c r="C53" s="8" t="s">
        <v>752</v>
      </c>
      <c r="D53" s="8" t="s">
        <v>190</v>
      </c>
      <c r="E53" s="11">
        <v>435</v>
      </c>
      <c r="F53" s="8" t="s">
        <v>752</v>
      </c>
      <c r="G53" s="5" t="s">
        <v>312</v>
      </c>
      <c r="H53" s="8" t="str">
        <f t="shared" si="0"/>
        <v>ceujjain@123</v>
      </c>
    </row>
    <row r="54" spans="1:8" x14ac:dyDescent="0.3">
      <c r="A54" s="7">
        <v>53</v>
      </c>
      <c r="B54" s="7" t="s">
        <v>90</v>
      </c>
      <c r="C54" s="8" t="s">
        <v>745</v>
      </c>
      <c r="D54" s="8" t="s">
        <v>191</v>
      </c>
      <c r="E54" s="11">
        <v>431</v>
      </c>
      <c r="F54" s="8" t="s">
        <v>745</v>
      </c>
      <c r="G54" s="5" t="s">
        <v>315</v>
      </c>
      <c r="H54" s="8" t="str">
        <f t="shared" si="0"/>
        <v>cerewa@123</v>
      </c>
    </row>
    <row r="55" spans="1:8" x14ac:dyDescent="0.3">
      <c r="A55" s="16">
        <v>54</v>
      </c>
      <c r="B55" s="7" t="s">
        <v>90</v>
      </c>
      <c r="C55" s="8" t="s">
        <v>746</v>
      </c>
      <c r="D55" s="8" t="s">
        <v>65</v>
      </c>
      <c r="E55" s="11">
        <v>443</v>
      </c>
      <c r="F55" s="8" t="s">
        <v>746</v>
      </c>
      <c r="G55" s="5" t="s">
        <v>316</v>
      </c>
      <c r="H55" s="8" t="str">
        <f t="shared" si="0"/>
        <v>cebhopal@123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4"/>
  <sheetViews>
    <sheetView workbookViewId="0">
      <selection activeCell="H8" sqref="H8"/>
    </sheetView>
  </sheetViews>
  <sheetFormatPr defaultColWidth="21.77734375" defaultRowHeight="14.4" x14ac:dyDescent="0.3"/>
  <cols>
    <col min="1" max="1" width="5.21875" bestFit="1" customWidth="1"/>
    <col min="2" max="2" width="8.21875" bestFit="1" customWidth="1"/>
    <col min="3" max="3" width="11.21875" bestFit="1" customWidth="1"/>
    <col min="4" max="4" width="17.21875" bestFit="1" customWidth="1"/>
    <col min="5" max="5" width="16.44140625" bestFit="1" customWidth="1"/>
    <col min="6" max="6" width="14.21875" bestFit="1" customWidth="1"/>
    <col min="7" max="7" width="17.44140625" bestFit="1" customWidth="1"/>
  </cols>
  <sheetData>
    <row r="1" spans="1:7" ht="26.4" x14ac:dyDescent="0.3">
      <c r="A1" s="2" t="s">
        <v>0</v>
      </c>
      <c r="B1" s="2" t="s">
        <v>89</v>
      </c>
      <c r="C1" s="2" t="s">
        <v>115</v>
      </c>
      <c r="D1" s="2" t="s">
        <v>249</v>
      </c>
      <c r="E1" s="2" t="s">
        <v>2</v>
      </c>
      <c r="F1" s="3" t="s">
        <v>75</v>
      </c>
      <c r="G1" s="3" t="s">
        <v>76</v>
      </c>
    </row>
    <row r="2" spans="1:7" x14ac:dyDescent="0.3">
      <c r="A2" s="4">
        <v>1</v>
      </c>
      <c r="B2" s="4" t="s">
        <v>321</v>
      </c>
      <c r="C2" s="5" t="s">
        <v>91</v>
      </c>
      <c r="D2" s="5" t="s">
        <v>193</v>
      </c>
      <c r="E2" s="12" t="str">
        <f>C2</f>
        <v>EnC</v>
      </c>
      <c r="F2" s="12" t="s">
        <v>247</v>
      </c>
      <c r="G2" s="12" t="str">
        <f t="shared" ref="G2:G4" si="0">CONCATENATE(F2,"@123")</f>
        <v>encwrd@123</v>
      </c>
    </row>
    <row r="3" spans="1:7" x14ac:dyDescent="0.3">
      <c r="A3" s="4">
        <v>2</v>
      </c>
      <c r="B3" s="4" t="s">
        <v>321</v>
      </c>
      <c r="C3" s="5" t="s">
        <v>322</v>
      </c>
      <c r="D3" s="5" t="s">
        <v>193</v>
      </c>
      <c r="E3" s="12" t="str">
        <f t="shared" ref="E3:E4" si="1">C3</f>
        <v>PS</v>
      </c>
      <c r="F3" s="12" t="s">
        <v>323</v>
      </c>
      <c r="G3" s="12" t="str">
        <f t="shared" si="0"/>
        <v>pswrd@123</v>
      </c>
    </row>
    <row r="4" spans="1:7" x14ac:dyDescent="0.3">
      <c r="A4" s="4">
        <v>3</v>
      </c>
      <c r="B4" s="4" t="s">
        <v>321</v>
      </c>
      <c r="C4" s="5" t="s">
        <v>92</v>
      </c>
      <c r="D4" s="5" t="s">
        <v>193</v>
      </c>
      <c r="E4" s="12" t="str">
        <f t="shared" si="1"/>
        <v>ACS</v>
      </c>
      <c r="F4" s="12" t="s">
        <v>248</v>
      </c>
      <c r="G4" s="12" t="str">
        <f t="shared" si="0"/>
        <v>acswrd@123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81"/>
  <sheetViews>
    <sheetView topLeftCell="A16" workbookViewId="0">
      <selection activeCell="J34" sqref="J34"/>
    </sheetView>
  </sheetViews>
  <sheetFormatPr defaultColWidth="15.77734375" defaultRowHeight="14.4" x14ac:dyDescent="0.3"/>
  <cols>
    <col min="1" max="1" width="5.21875" bestFit="1" customWidth="1"/>
    <col min="2" max="2" width="8.21875" bestFit="1" customWidth="1"/>
    <col min="3" max="3" width="20.21875" customWidth="1"/>
    <col min="4" max="4" width="18.5546875" bestFit="1" customWidth="1"/>
    <col min="5" max="5" width="15.5546875" bestFit="1" customWidth="1"/>
    <col min="6" max="6" width="18.21875" style="21" customWidth="1"/>
    <col min="7" max="7" width="17" customWidth="1"/>
    <col min="8" max="8" width="18.44140625" customWidth="1"/>
  </cols>
  <sheetData>
    <row r="1" spans="1:7" ht="26.4" x14ac:dyDescent="0.3">
      <c r="A1" s="2" t="s">
        <v>0</v>
      </c>
      <c r="B1" s="2" t="s">
        <v>89</v>
      </c>
      <c r="C1" s="2" t="s">
        <v>115</v>
      </c>
      <c r="D1" s="2" t="s">
        <v>249</v>
      </c>
      <c r="E1" s="2" t="s">
        <v>2</v>
      </c>
      <c r="F1" s="3" t="s">
        <v>75</v>
      </c>
      <c r="G1" s="3" t="s">
        <v>76</v>
      </c>
    </row>
    <row r="2" spans="1:7" x14ac:dyDescent="0.3">
      <c r="A2" s="4">
        <v>1</v>
      </c>
      <c r="B2" s="4" t="s">
        <v>114</v>
      </c>
      <c r="C2" s="5" t="s">
        <v>116</v>
      </c>
      <c r="D2" s="5" t="s">
        <v>159</v>
      </c>
      <c r="E2" s="4" t="s">
        <v>117</v>
      </c>
      <c r="F2" s="22" t="s">
        <v>137</v>
      </c>
      <c r="G2" s="6" t="str">
        <f>CONCATENATE(F2,"@123")</f>
        <v>ct1@123</v>
      </c>
    </row>
    <row r="3" spans="1:7" x14ac:dyDescent="0.3">
      <c r="A3" s="4">
        <v>2</v>
      </c>
      <c r="B3" s="4" t="s">
        <v>114</v>
      </c>
      <c r="C3" s="5" t="s">
        <v>116</v>
      </c>
      <c r="D3" s="5" t="s">
        <v>159</v>
      </c>
      <c r="E3" s="4" t="s">
        <v>118</v>
      </c>
      <c r="F3" s="22" t="s">
        <v>138</v>
      </c>
      <c r="G3" s="6" t="str">
        <f t="shared" ref="G3:G21" si="0">CONCATENATE(F3,"@123")</f>
        <v>ct2@123</v>
      </c>
    </row>
    <row r="4" spans="1:7" x14ac:dyDescent="0.3">
      <c r="A4" s="4">
        <v>3</v>
      </c>
      <c r="B4" s="4" t="s">
        <v>114</v>
      </c>
      <c r="C4" s="5" t="s">
        <v>116</v>
      </c>
      <c r="D4" s="5" t="s">
        <v>159</v>
      </c>
      <c r="E4" s="4" t="s">
        <v>119</v>
      </c>
      <c r="F4" s="22" t="s">
        <v>139</v>
      </c>
      <c r="G4" s="6" t="str">
        <f t="shared" si="0"/>
        <v>ct3@123</v>
      </c>
    </row>
    <row r="5" spans="1:7" x14ac:dyDescent="0.3">
      <c r="A5" s="4">
        <v>4</v>
      </c>
      <c r="B5" s="4" t="s">
        <v>114</v>
      </c>
      <c r="C5" s="5" t="s">
        <v>116</v>
      </c>
      <c r="D5" s="5" t="s">
        <v>159</v>
      </c>
      <c r="E5" s="4" t="s">
        <v>120</v>
      </c>
      <c r="F5" s="22" t="s">
        <v>140</v>
      </c>
      <c r="G5" s="6" t="str">
        <f t="shared" si="0"/>
        <v>ct4@123</v>
      </c>
    </row>
    <row r="6" spans="1:7" x14ac:dyDescent="0.3">
      <c r="A6" s="4">
        <v>5</v>
      </c>
      <c r="B6" s="4" t="s">
        <v>114</v>
      </c>
      <c r="C6" s="5" t="s">
        <v>116</v>
      </c>
      <c r="D6" s="5" t="s">
        <v>159</v>
      </c>
      <c r="E6" s="4" t="s">
        <v>121</v>
      </c>
      <c r="F6" s="22" t="s">
        <v>141</v>
      </c>
      <c r="G6" s="6" t="str">
        <f t="shared" si="0"/>
        <v>ct5@123</v>
      </c>
    </row>
    <row r="7" spans="1:7" x14ac:dyDescent="0.3">
      <c r="A7" s="4">
        <v>6</v>
      </c>
      <c r="B7" s="4" t="s">
        <v>114</v>
      </c>
      <c r="C7" s="5" t="s">
        <v>116</v>
      </c>
      <c r="D7" s="5" t="s">
        <v>159</v>
      </c>
      <c r="E7" s="4" t="s">
        <v>122</v>
      </c>
      <c r="F7" s="22" t="s">
        <v>142</v>
      </c>
      <c r="G7" s="6" t="str">
        <f t="shared" si="0"/>
        <v>ct6@123</v>
      </c>
    </row>
    <row r="8" spans="1:7" x14ac:dyDescent="0.3">
      <c r="A8" s="4">
        <v>7</v>
      </c>
      <c r="B8" s="4" t="s">
        <v>114</v>
      </c>
      <c r="C8" s="5" t="s">
        <v>116</v>
      </c>
      <c r="D8" s="5" t="s">
        <v>159</v>
      </c>
      <c r="E8" s="4" t="s">
        <v>123</v>
      </c>
      <c r="F8" s="22" t="s">
        <v>143</v>
      </c>
      <c r="G8" s="6" t="str">
        <f t="shared" si="0"/>
        <v>ct7@123</v>
      </c>
    </row>
    <row r="9" spans="1:7" x14ac:dyDescent="0.3">
      <c r="A9" s="4">
        <v>8</v>
      </c>
      <c r="B9" s="4" t="s">
        <v>114</v>
      </c>
      <c r="C9" s="5" t="s">
        <v>116</v>
      </c>
      <c r="D9" s="5" t="s">
        <v>159</v>
      </c>
      <c r="E9" s="4" t="s">
        <v>124</v>
      </c>
      <c r="F9" s="22" t="s">
        <v>144</v>
      </c>
      <c r="G9" s="6" t="str">
        <f t="shared" si="0"/>
        <v>ct8@123</v>
      </c>
    </row>
    <row r="10" spans="1:7" x14ac:dyDescent="0.3">
      <c r="A10" s="4">
        <v>9</v>
      </c>
      <c r="B10" s="4" t="s">
        <v>114</v>
      </c>
      <c r="C10" s="5" t="s">
        <v>116</v>
      </c>
      <c r="D10" s="5" t="s">
        <v>159</v>
      </c>
      <c r="E10" s="4" t="s">
        <v>125</v>
      </c>
      <c r="F10" s="22" t="s">
        <v>145</v>
      </c>
      <c r="G10" s="6" t="str">
        <f t="shared" si="0"/>
        <v>ct9@123</v>
      </c>
    </row>
    <row r="11" spans="1:7" x14ac:dyDescent="0.3">
      <c r="A11" s="4">
        <v>10</v>
      </c>
      <c r="B11" s="4" t="s">
        <v>114</v>
      </c>
      <c r="C11" s="5" t="s">
        <v>116</v>
      </c>
      <c r="D11" s="5" t="s">
        <v>159</v>
      </c>
      <c r="E11" s="4" t="s">
        <v>126</v>
      </c>
      <c r="F11" s="22" t="s">
        <v>146</v>
      </c>
      <c r="G11" s="6" t="str">
        <f t="shared" si="0"/>
        <v>ct10@123</v>
      </c>
    </row>
    <row r="12" spans="1:7" x14ac:dyDescent="0.3">
      <c r="A12" s="4">
        <v>11</v>
      </c>
      <c r="B12" s="4" t="s">
        <v>114</v>
      </c>
      <c r="C12" s="5" t="s">
        <v>116</v>
      </c>
      <c r="D12" s="5" t="s">
        <v>159</v>
      </c>
      <c r="E12" s="4" t="s">
        <v>127</v>
      </c>
      <c r="F12" s="22" t="s">
        <v>147</v>
      </c>
      <c r="G12" s="6" t="str">
        <f t="shared" si="0"/>
        <v>ct11@123</v>
      </c>
    </row>
    <row r="13" spans="1:7" x14ac:dyDescent="0.3">
      <c r="A13" s="4">
        <v>12</v>
      </c>
      <c r="B13" s="4" t="s">
        <v>114</v>
      </c>
      <c r="C13" s="5" t="s">
        <v>116</v>
      </c>
      <c r="D13" s="5" t="s">
        <v>159</v>
      </c>
      <c r="E13" s="4" t="s">
        <v>128</v>
      </c>
      <c r="F13" s="22" t="s">
        <v>148</v>
      </c>
      <c r="G13" s="6" t="str">
        <f t="shared" si="0"/>
        <v>ct12@123</v>
      </c>
    </row>
    <row r="14" spans="1:7" x14ac:dyDescent="0.3">
      <c r="A14" s="4">
        <v>13</v>
      </c>
      <c r="B14" s="4" t="s">
        <v>114</v>
      </c>
      <c r="C14" s="5" t="s">
        <v>116</v>
      </c>
      <c r="D14" s="5" t="s">
        <v>159</v>
      </c>
      <c r="E14" s="4" t="s">
        <v>129</v>
      </c>
      <c r="F14" s="22" t="s">
        <v>149</v>
      </c>
      <c r="G14" s="6" t="str">
        <f t="shared" si="0"/>
        <v>ct13@123</v>
      </c>
    </row>
    <row r="15" spans="1:7" x14ac:dyDescent="0.3">
      <c r="A15" s="4">
        <v>14</v>
      </c>
      <c r="B15" s="4" t="s">
        <v>114</v>
      </c>
      <c r="C15" s="5" t="s">
        <v>116</v>
      </c>
      <c r="D15" s="5" t="s">
        <v>159</v>
      </c>
      <c r="E15" s="4" t="s">
        <v>130</v>
      </c>
      <c r="F15" s="22" t="s">
        <v>150</v>
      </c>
      <c r="G15" s="6" t="str">
        <f t="shared" si="0"/>
        <v>ct14@123</v>
      </c>
    </row>
    <row r="16" spans="1:7" x14ac:dyDescent="0.3">
      <c r="A16" s="4">
        <v>15</v>
      </c>
      <c r="B16" s="4" t="s">
        <v>114</v>
      </c>
      <c r="C16" s="5" t="s">
        <v>116</v>
      </c>
      <c r="D16" s="5" t="s">
        <v>159</v>
      </c>
      <c r="E16" s="4" t="s">
        <v>131</v>
      </c>
      <c r="F16" s="22" t="s">
        <v>151</v>
      </c>
      <c r="G16" s="6" t="str">
        <f t="shared" si="0"/>
        <v>ct15@123</v>
      </c>
    </row>
    <row r="17" spans="1:8" x14ac:dyDescent="0.3">
      <c r="A17" s="4">
        <v>16</v>
      </c>
      <c r="B17" s="4" t="s">
        <v>114</v>
      </c>
      <c r="C17" s="5" t="s">
        <v>116</v>
      </c>
      <c r="D17" s="5" t="s">
        <v>159</v>
      </c>
      <c r="E17" s="4" t="s">
        <v>132</v>
      </c>
      <c r="F17" s="22" t="s">
        <v>152</v>
      </c>
      <c r="G17" s="6" t="str">
        <f t="shared" si="0"/>
        <v>ct16@123</v>
      </c>
    </row>
    <row r="18" spans="1:8" x14ac:dyDescent="0.3">
      <c r="A18" s="4">
        <v>17</v>
      </c>
      <c r="B18" s="4" t="s">
        <v>114</v>
      </c>
      <c r="C18" s="5" t="s">
        <v>116</v>
      </c>
      <c r="D18" s="5" t="s">
        <v>159</v>
      </c>
      <c r="E18" s="4" t="s">
        <v>133</v>
      </c>
      <c r="F18" s="22" t="s">
        <v>153</v>
      </c>
      <c r="G18" s="6" t="str">
        <f t="shared" si="0"/>
        <v>ct17@123</v>
      </c>
    </row>
    <row r="19" spans="1:8" x14ac:dyDescent="0.3">
      <c r="A19" s="4">
        <v>18</v>
      </c>
      <c r="B19" s="4" t="s">
        <v>114</v>
      </c>
      <c r="C19" s="5" t="s">
        <v>116</v>
      </c>
      <c r="D19" s="5" t="s">
        <v>159</v>
      </c>
      <c r="E19" s="4" t="s">
        <v>134</v>
      </c>
      <c r="F19" s="22" t="s">
        <v>154</v>
      </c>
      <c r="G19" s="6" t="str">
        <f t="shared" si="0"/>
        <v>ct18@123</v>
      </c>
    </row>
    <row r="20" spans="1:8" x14ac:dyDescent="0.3">
      <c r="A20" s="4">
        <v>19</v>
      </c>
      <c r="B20" s="4" t="s">
        <v>114</v>
      </c>
      <c r="C20" s="5" t="s">
        <v>116</v>
      </c>
      <c r="D20" s="5" t="s">
        <v>159</v>
      </c>
      <c r="E20" s="4" t="s">
        <v>135</v>
      </c>
      <c r="F20" s="22" t="s">
        <v>155</v>
      </c>
      <c r="G20" s="6" t="str">
        <f t="shared" si="0"/>
        <v>ct19@123</v>
      </c>
    </row>
    <row r="21" spans="1:8" x14ac:dyDescent="0.3">
      <c r="A21" s="4">
        <v>20</v>
      </c>
      <c r="B21" s="4" t="s">
        <v>114</v>
      </c>
      <c r="C21" s="5" t="s">
        <v>116</v>
      </c>
      <c r="D21" s="5" t="s">
        <v>159</v>
      </c>
      <c r="E21" s="4" t="s">
        <v>136</v>
      </c>
      <c r="F21" s="22" t="s">
        <v>156</v>
      </c>
      <c r="G21" s="6" t="str">
        <f t="shared" si="0"/>
        <v>ct20@123</v>
      </c>
    </row>
    <row r="23" spans="1:8" x14ac:dyDescent="0.3">
      <c r="A23" s="4">
        <v>1</v>
      </c>
      <c r="B23" s="4" t="s">
        <v>114</v>
      </c>
      <c r="C23" s="5" t="s">
        <v>741</v>
      </c>
      <c r="D23" s="5" t="s">
        <v>159</v>
      </c>
      <c r="E23" s="5" t="s">
        <v>738</v>
      </c>
      <c r="F23" s="22" t="s">
        <v>735</v>
      </c>
      <c r="G23" s="6" t="str">
        <f>CONCATENATE(F23,"@123")</f>
        <v>sccdo1@123</v>
      </c>
    </row>
    <row r="24" spans="1:8" x14ac:dyDescent="0.3">
      <c r="A24" s="4">
        <v>2</v>
      </c>
      <c r="B24" s="4" t="s">
        <v>114</v>
      </c>
      <c r="C24" s="5" t="s">
        <v>741</v>
      </c>
      <c r="D24" s="5" t="s">
        <v>159</v>
      </c>
      <c r="E24" s="5" t="s">
        <v>739</v>
      </c>
      <c r="F24" s="22" t="s">
        <v>736</v>
      </c>
      <c r="G24" s="6" t="str">
        <f t="shared" ref="G24" si="1">CONCATENATE(F24,"@123")</f>
        <v>sccdo2@123</v>
      </c>
    </row>
    <row r="25" spans="1:8" x14ac:dyDescent="0.3">
      <c r="A25" s="4">
        <v>3</v>
      </c>
      <c r="B25" s="4" t="s">
        <v>114</v>
      </c>
      <c r="C25" s="5" t="s">
        <v>741</v>
      </c>
      <c r="D25" s="5" t="s">
        <v>159</v>
      </c>
      <c r="E25" s="5" t="s">
        <v>740</v>
      </c>
      <c r="F25" s="22" t="s">
        <v>737</v>
      </c>
      <c r="G25" s="6" t="str">
        <f>CONCATENATE(F25,"@123")</f>
        <v>sccdo3@123</v>
      </c>
    </row>
    <row r="28" spans="1:8" ht="26.4" x14ac:dyDescent="0.3">
      <c r="A28" s="2" t="s">
        <v>0</v>
      </c>
      <c r="B28" s="2" t="s">
        <v>89</v>
      </c>
      <c r="C28" s="2" t="s">
        <v>115</v>
      </c>
      <c r="D28" s="2" t="s">
        <v>1</v>
      </c>
      <c r="E28" s="2" t="s">
        <v>260</v>
      </c>
      <c r="F28" s="2" t="s">
        <v>2</v>
      </c>
      <c r="G28" s="3" t="s">
        <v>75</v>
      </c>
      <c r="H28" s="3" t="s">
        <v>76</v>
      </c>
    </row>
    <row r="29" spans="1:8" ht="27" x14ac:dyDescent="0.3">
      <c r="A29" s="4">
        <v>1</v>
      </c>
      <c r="B29" s="4" t="s">
        <v>114</v>
      </c>
      <c r="C29" s="24" t="s">
        <v>675</v>
      </c>
      <c r="D29" s="24" t="s">
        <v>160</v>
      </c>
      <c r="E29" s="25">
        <v>501</v>
      </c>
      <c r="F29" s="23" t="str">
        <f t="shared" ref="F29:F60" si="2">CONCATENATE("DCC, ",D29)</f>
        <v>DCC, Agar malwa</v>
      </c>
      <c r="G29" s="23" t="s">
        <v>676</v>
      </c>
      <c r="H29" s="23" t="str">
        <f t="shared" ref="H29:H80" si="3">CONCATENATE(G29,"@123")</f>
        <v>dccagar@123</v>
      </c>
    </row>
    <row r="30" spans="1:8" ht="27" x14ac:dyDescent="0.3">
      <c r="A30" s="4">
        <v>2</v>
      </c>
      <c r="B30" s="4" t="s">
        <v>114</v>
      </c>
      <c r="C30" s="24" t="s">
        <v>675</v>
      </c>
      <c r="D30" s="24" t="s">
        <v>161</v>
      </c>
      <c r="E30" s="25">
        <v>465</v>
      </c>
      <c r="F30" s="23" t="str">
        <f t="shared" si="2"/>
        <v>DCC, Alirajpur</v>
      </c>
      <c r="G30" s="23" t="s">
        <v>677</v>
      </c>
      <c r="H30" s="23" t="str">
        <f t="shared" si="3"/>
        <v>dccalirajpur@123</v>
      </c>
    </row>
    <row r="31" spans="1:8" ht="27" x14ac:dyDescent="0.3">
      <c r="A31" s="4">
        <v>3</v>
      </c>
      <c r="B31" s="4" t="s">
        <v>114</v>
      </c>
      <c r="C31" s="24" t="s">
        <v>675</v>
      </c>
      <c r="D31" s="24" t="s">
        <v>162</v>
      </c>
      <c r="E31" s="25">
        <v>461</v>
      </c>
      <c r="F31" s="23" t="str">
        <f t="shared" si="2"/>
        <v>DCC, Anuppur</v>
      </c>
      <c r="G31" s="23" t="s">
        <v>678</v>
      </c>
      <c r="H31" s="23" t="str">
        <f t="shared" si="3"/>
        <v>dccanuppur@123</v>
      </c>
    </row>
    <row r="32" spans="1:8" ht="27" x14ac:dyDescent="0.3">
      <c r="A32" s="4">
        <v>4</v>
      </c>
      <c r="B32" s="4" t="s">
        <v>114</v>
      </c>
      <c r="C32" s="24" t="s">
        <v>675</v>
      </c>
      <c r="D32" s="24" t="s">
        <v>62</v>
      </c>
      <c r="E32" s="25">
        <v>459</v>
      </c>
      <c r="F32" s="23" t="str">
        <f t="shared" si="2"/>
        <v>DCC, Ashoknagar</v>
      </c>
      <c r="G32" s="23" t="s">
        <v>679</v>
      </c>
      <c r="H32" s="23" t="str">
        <f t="shared" si="3"/>
        <v>dccashoknagar@123</v>
      </c>
    </row>
    <row r="33" spans="1:10" ht="27" x14ac:dyDescent="0.3">
      <c r="A33" s="4">
        <v>5</v>
      </c>
      <c r="B33" s="4" t="s">
        <v>114</v>
      </c>
      <c r="C33" s="24" t="s">
        <v>675</v>
      </c>
      <c r="D33" s="24" t="s">
        <v>16</v>
      </c>
      <c r="E33" s="25">
        <v>457</v>
      </c>
      <c r="F33" s="23" t="str">
        <f t="shared" si="2"/>
        <v>DCC, Balaghat</v>
      </c>
      <c r="G33" s="23" t="s">
        <v>680</v>
      </c>
      <c r="H33" s="23" t="str">
        <f t="shared" si="3"/>
        <v>dccbalaghat@123</v>
      </c>
    </row>
    <row r="34" spans="1:10" ht="27" x14ac:dyDescent="0.3">
      <c r="A34" s="4">
        <v>6</v>
      </c>
      <c r="B34" s="4" t="s">
        <v>114</v>
      </c>
      <c r="C34" s="24" t="s">
        <v>675</v>
      </c>
      <c r="D34" s="24" t="s">
        <v>163</v>
      </c>
      <c r="E34" s="25">
        <v>441</v>
      </c>
      <c r="F34" s="23" t="str">
        <f t="shared" si="2"/>
        <v>DCC, Barwani</v>
      </c>
      <c r="G34" s="23" t="s">
        <v>681</v>
      </c>
      <c r="H34" s="23" t="str">
        <f t="shared" si="3"/>
        <v>dccbarwani@123</v>
      </c>
    </row>
    <row r="35" spans="1:10" ht="27" x14ac:dyDescent="0.3">
      <c r="A35" s="4">
        <v>7</v>
      </c>
      <c r="B35" s="4" t="s">
        <v>114</v>
      </c>
      <c r="C35" s="24" t="s">
        <v>675</v>
      </c>
      <c r="D35" s="24" t="s">
        <v>53</v>
      </c>
      <c r="E35" s="25">
        <v>447</v>
      </c>
      <c r="F35" s="23" t="str">
        <f t="shared" si="2"/>
        <v>DCC, Betul</v>
      </c>
      <c r="G35" s="23" t="s">
        <v>682</v>
      </c>
      <c r="H35" s="23" t="str">
        <f t="shared" si="3"/>
        <v>dccbetul@123</v>
      </c>
    </row>
    <row r="36" spans="1:10" ht="27" x14ac:dyDescent="0.3">
      <c r="A36" s="4">
        <v>8</v>
      </c>
      <c r="B36" s="4" t="s">
        <v>114</v>
      </c>
      <c r="C36" s="24" t="s">
        <v>675</v>
      </c>
      <c r="D36" s="24" t="s">
        <v>164</v>
      </c>
      <c r="E36" s="25">
        <v>420</v>
      </c>
      <c r="F36" s="23" t="str">
        <f t="shared" si="2"/>
        <v>DCC, Bhind</v>
      </c>
      <c r="G36" s="23" t="s">
        <v>683</v>
      </c>
      <c r="H36" s="23" t="str">
        <f t="shared" si="3"/>
        <v>dccbhind@123</v>
      </c>
    </row>
    <row r="37" spans="1:10" ht="27" x14ac:dyDescent="0.3">
      <c r="A37" s="4">
        <v>9</v>
      </c>
      <c r="B37" s="4" t="s">
        <v>114</v>
      </c>
      <c r="C37" s="24" t="s">
        <v>675</v>
      </c>
      <c r="D37" s="24" t="s">
        <v>32</v>
      </c>
      <c r="E37" s="25">
        <v>444</v>
      </c>
      <c r="F37" s="23" t="str">
        <f t="shared" si="2"/>
        <v>DCC, Bhopal</v>
      </c>
      <c r="G37" s="23" t="s">
        <v>684</v>
      </c>
      <c r="H37" s="23" t="str">
        <f t="shared" si="3"/>
        <v>dccbhopal@123</v>
      </c>
    </row>
    <row r="38" spans="1:10" ht="27" x14ac:dyDescent="0.3">
      <c r="A38" s="4">
        <v>10</v>
      </c>
      <c r="B38" s="4" t="s">
        <v>114</v>
      </c>
      <c r="C38" s="24" t="s">
        <v>675</v>
      </c>
      <c r="D38" s="24" t="s">
        <v>165</v>
      </c>
      <c r="E38" s="25">
        <v>467</v>
      </c>
      <c r="F38" s="23" t="str">
        <f t="shared" si="2"/>
        <v>DCC, Burhanpur</v>
      </c>
      <c r="G38" s="23" t="s">
        <v>685</v>
      </c>
      <c r="H38" s="23" t="str">
        <f t="shared" si="3"/>
        <v>dccburhanpur@123</v>
      </c>
    </row>
    <row r="39" spans="1:10" ht="27" x14ac:dyDescent="0.3">
      <c r="A39" s="4">
        <v>11</v>
      </c>
      <c r="B39" s="4" t="s">
        <v>114</v>
      </c>
      <c r="C39" s="24" t="s">
        <v>675</v>
      </c>
      <c r="D39" s="24" t="s">
        <v>166</v>
      </c>
      <c r="E39" s="25">
        <v>425</v>
      </c>
      <c r="F39" s="23" t="str">
        <f t="shared" si="2"/>
        <v>DCC, Chhatarpur</v>
      </c>
      <c r="G39" s="23" t="s">
        <v>686</v>
      </c>
      <c r="H39" s="23" t="str">
        <f t="shared" si="3"/>
        <v>dccchhatarpur@123</v>
      </c>
    </row>
    <row r="40" spans="1:10" ht="27" x14ac:dyDescent="0.3">
      <c r="A40" s="4">
        <v>12</v>
      </c>
      <c r="B40" s="4" t="s">
        <v>114</v>
      </c>
      <c r="C40" s="24" t="s">
        <v>675</v>
      </c>
      <c r="D40" s="24" t="s">
        <v>167</v>
      </c>
      <c r="E40" s="25">
        <v>455</v>
      </c>
      <c r="F40" s="23" t="str">
        <f t="shared" si="2"/>
        <v>DCC, Chhindwara</v>
      </c>
      <c r="G40" s="23" t="s">
        <v>687</v>
      </c>
      <c r="H40" s="23" t="str">
        <f t="shared" si="3"/>
        <v>dccchhindwara@123</v>
      </c>
    </row>
    <row r="41" spans="1:10" ht="27" x14ac:dyDescent="0.3">
      <c r="A41" s="4">
        <v>13</v>
      </c>
      <c r="B41" s="4" t="s">
        <v>114</v>
      </c>
      <c r="C41" s="24" t="s">
        <v>675</v>
      </c>
      <c r="D41" s="24" t="s">
        <v>168</v>
      </c>
      <c r="E41" s="25">
        <v>428</v>
      </c>
      <c r="F41" s="23" t="str">
        <f t="shared" si="2"/>
        <v>DCC, Damoh</v>
      </c>
      <c r="G41" s="23" t="s">
        <v>688</v>
      </c>
      <c r="H41" s="23" t="str">
        <f t="shared" si="3"/>
        <v>dccdamoh@123</v>
      </c>
    </row>
    <row r="42" spans="1:10" ht="27" x14ac:dyDescent="0.3">
      <c r="A42" s="4">
        <v>14</v>
      </c>
      <c r="B42" s="4" t="s">
        <v>114</v>
      </c>
      <c r="C42" s="24" t="s">
        <v>675</v>
      </c>
      <c r="D42" s="24" t="s">
        <v>169</v>
      </c>
      <c r="E42" s="25">
        <v>422</v>
      </c>
      <c r="F42" s="23" t="str">
        <f t="shared" si="2"/>
        <v>DCC, Datia</v>
      </c>
      <c r="G42" s="23" t="s">
        <v>689</v>
      </c>
      <c r="H42" s="23" t="str">
        <f t="shared" si="3"/>
        <v>dccdatia@123</v>
      </c>
    </row>
    <row r="43" spans="1:10" ht="27" x14ac:dyDescent="0.3">
      <c r="A43" s="4">
        <v>15</v>
      </c>
      <c r="B43" s="4" t="s">
        <v>114</v>
      </c>
      <c r="C43" s="24" t="s">
        <v>675</v>
      </c>
      <c r="D43" s="24" t="s">
        <v>170</v>
      </c>
      <c r="E43" s="25">
        <v>437</v>
      </c>
      <c r="F43" s="23" t="str">
        <f t="shared" si="2"/>
        <v>DCC, Dewas</v>
      </c>
      <c r="G43" s="23" t="s">
        <v>690</v>
      </c>
      <c r="H43" s="23" t="str">
        <f t="shared" si="3"/>
        <v>dccdewas@123</v>
      </c>
      <c r="J43" t="s">
        <v>787</v>
      </c>
    </row>
    <row r="44" spans="1:10" ht="27" x14ac:dyDescent="0.3">
      <c r="A44" s="4">
        <v>16</v>
      </c>
      <c r="B44" s="4" t="s">
        <v>114</v>
      </c>
      <c r="C44" s="24" t="s">
        <v>675</v>
      </c>
      <c r="D44" s="24" t="s">
        <v>48</v>
      </c>
      <c r="E44" s="25">
        <v>438</v>
      </c>
      <c r="F44" s="23" t="str">
        <f t="shared" si="2"/>
        <v>DCC, Dhar</v>
      </c>
      <c r="G44" s="23" t="s">
        <v>691</v>
      </c>
      <c r="H44" s="23" t="str">
        <f t="shared" si="3"/>
        <v>dccdhar@123</v>
      </c>
    </row>
    <row r="45" spans="1:10" ht="27" x14ac:dyDescent="0.3">
      <c r="A45" s="4">
        <v>17</v>
      </c>
      <c r="B45" s="4" t="s">
        <v>114</v>
      </c>
      <c r="C45" s="24" t="s">
        <v>675</v>
      </c>
      <c r="D45" s="24" t="s">
        <v>171</v>
      </c>
      <c r="E45" s="25">
        <v>453</v>
      </c>
      <c r="F45" s="23" t="str">
        <f t="shared" si="2"/>
        <v>DCC, Dindori</v>
      </c>
      <c r="G45" s="23" t="s">
        <v>692</v>
      </c>
      <c r="H45" s="23" t="str">
        <f t="shared" si="3"/>
        <v>dccdindori@123</v>
      </c>
    </row>
    <row r="46" spans="1:10" ht="27" x14ac:dyDescent="0.3">
      <c r="A46" s="4">
        <v>18</v>
      </c>
      <c r="B46" s="4" t="s">
        <v>114</v>
      </c>
      <c r="C46" s="24" t="s">
        <v>675</v>
      </c>
      <c r="D46" s="24" t="s">
        <v>25</v>
      </c>
      <c r="E46" s="25">
        <v>458</v>
      </c>
      <c r="F46" s="23" t="str">
        <f t="shared" si="2"/>
        <v>DCC, Guna</v>
      </c>
      <c r="G46" s="23" t="s">
        <v>693</v>
      </c>
      <c r="H46" s="23" t="str">
        <f t="shared" si="3"/>
        <v>dccguna@123</v>
      </c>
    </row>
    <row r="47" spans="1:10" ht="27" x14ac:dyDescent="0.3">
      <c r="A47" s="4">
        <v>19</v>
      </c>
      <c r="B47" s="4" t="s">
        <v>114</v>
      </c>
      <c r="C47" s="24" t="s">
        <v>675</v>
      </c>
      <c r="D47" s="24" t="s">
        <v>172</v>
      </c>
      <c r="E47" s="25">
        <v>421</v>
      </c>
      <c r="F47" s="23" t="str">
        <f t="shared" si="2"/>
        <v>DCC, Gwalior</v>
      </c>
      <c r="G47" s="23" t="s">
        <v>694</v>
      </c>
      <c r="H47" s="23" t="str">
        <f t="shared" si="3"/>
        <v>dccgwalior@123</v>
      </c>
    </row>
    <row r="48" spans="1:10" ht="27" x14ac:dyDescent="0.3">
      <c r="A48" s="4">
        <v>20</v>
      </c>
      <c r="B48" s="4" t="s">
        <v>114</v>
      </c>
      <c r="C48" s="24" t="s">
        <v>675</v>
      </c>
      <c r="D48" s="24" t="s">
        <v>173</v>
      </c>
      <c r="E48" s="25">
        <v>448</v>
      </c>
      <c r="F48" s="23" t="str">
        <f t="shared" si="2"/>
        <v>DCC, Harda</v>
      </c>
      <c r="G48" s="23" t="s">
        <v>695</v>
      </c>
      <c r="H48" s="23" t="str">
        <f t="shared" si="3"/>
        <v>dccharda@123</v>
      </c>
    </row>
    <row r="49" spans="1:8" ht="28.2" x14ac:dyDescent="0.3">
      <c r="A49" s="4">
        <v>21</v>
      </c>
      <c r="B49" s="4" t="s">
        <v>114</v>
      </c>
      <c r="C49" s="24" t="s">
        <v>675</v>
      </c>
      <c r="D49" s="24" t="s">
        <v>70</v>
      </c>
      <c r="E49" s="25">
        <v>449</v>
      </c>
      <c r="F49" s="23" t="str">
        <f t="shared" si="2"/>
        <v>DCC, Hoshangabad</v>
      </c>
      <c r="G49" s="23" t="s">
        <v>696</v>
      </c>
      <c r="H49" s="23" t="str">
        <f t="shared" si="3"/>
        <v>dcchoshangabad@123</v>
      </c>
    </row>
    <row r="50" spans="1:8" ht="27" x14ac:dyDescent="0.3">
      <c r="A50" s="4">
        <v>22</v>
      </c>
      <c r="B50" s="4" t="s">
        <v>114</v>
      </c>
      <c r="C50" s="24" t="s">
        <v>675</v>
      </c>
      <c r="D50" s="24" t="s">
        <v>174</v>
      </c>
      <c r="E50" s="25">
        <v>439</v>
      </c>
      <c r="F50" s="23" t="str">
        <f t="shared" si="2"/>
        <v>DCC, Indore</v>
      </c>
      <c r="G50" s="23" t="s">
        <v>697</v>
      </c>
      <c r="H50" s="23" t="str">
        <f t="shared" si="3"/>
        <v>dccindore@123</v>
      </c>
    </row>
    <row r="51" spans="1:8" ht="27" x14ac:dyDescent="0.3">
      <c r="A51" s="4">
        <v>23</v>
      </c>
      <c r="B51" s="4" t="s">
        <v>114</v>
      </c>
      <c r="C51" s="24" t="s">
        <v>675</v>
      </c>
      <c r="D51" s="24" t="s">
        <v>10</v>
      </c>
      <c r="E51" s="25">
        <v>451</v>
      </c>
      <c r="F51" s="23" t="str">
        <f t="shared" si="2"/>
        <v>DCC, Jabalpur</v>
      </c>
      <c r="G51" s="23" t="s">
        <v>698</v>
      </c>
      <c r="H51" s="23" t="str">
        <f t="shared" si="3"/>
        <v>dccjabalpur@123</v>
      </c>
    </row>
    <row r="52" spans="1:8" ht="27" x14ac:dyDescent="0.3">
      <c r="A52" s="4">
        <v>24</v>
      </c>
      <c r="B52" s="4" t="s">
        <v>114</v>
      </c>
      <c r="C52" s="24" t="s">
        <v>675</v>
      </c>
      <c r="D52" s="24" t="s">
        <v>45</v>
      </c>
      <c r="E52" s="25">
        <v>464</v>
      </c>
      <c r="F52" s="23" t="str">
        <f t="shared" si="2"/>
        <v>DCC, Jhabua</v>
      </c>
      <c r="G52" s="23" t="s">
        <v>699</v>
      </c>
      <c r="H52" s="23" t="str">
        <f t="shared" si="3"/>
        <v>dccjhabua@123</v>
      </c>
    </row>
    <row r="53" spans="1:8" ht="27" x14ac:dyDescent="0.3">
      <c r="A53" s="4">
        <v>25</v>
      </c>
      <c r="B53" s="4" t="s">
        <v>114</v>
      </c>
      <c r="C53" s="24" t="s">
        <v>675</v>
      </c>
      <c r="D53" s="24" t="s">
        <v>175</v>
      </c>
      <c r="E53" s="25">
        <v>450</v>
      </c>
      <c r="F53" s="23" t="str">
        <f t="shared" si="2"/>
        <v>DCC, Katni</v>
      </c>
      <c r="G53" s="23" t="s">
        <v>700</v>
      </c>
      <c r="H53" s="23" t="str">
        <f t="shared" si="3"/>
        <v>dcckatni@123</v>
      </c>
    </row>
    <row r="54" spans="1:8" ht="27" x14ac:dyDescent="0.3">
      <c r="A54" s="4">
        <v>26</v>
      </c>
      <c r="B54" s="4" t="s">
        <v>114</v>
      </c>
      <c r="C54" s="24" t="s">
        <v>675</v>
      </c>
      <c r="D54" s="24" t="s">
        <v>28</v>
      </c>
      <c r="E54" s="25">
        <v>466</v>
      </c>
      <c r="F54" s="23" t="str">
        <f t="shared" si="2"/>
        <v>DCC, Khandwa</v>
      </c>
      <c r="G54" s="23" t="s">
        <v>701</v>
      </c>
      <c r="H54" s="23" t="str">
        <f t="shared" si="3"/>
        <v>dcckhandwa@123</v>
      </c>
    </row>
    <row r="55" spans="1:8" ht="27" x14ac:dyDescent="0.3">
      <c r="A55" s="4">
        <v>27</v>
      </c>
      <c r="B55" s="4" t="s">
        <v>114</v>
      </c>
      <c r="C55" s="24" t="s">
        <v>675</v>
      </c>
      <c r="D55" s="24" t="s">
        <v>176</v>
      </c>
      <c r="E55" s="25">
        <v>440</v>
      </c>
      <c r="F55" s="23" t="str">
        <f t="shared" si="2"/>
        <v>DCC, Khargone</v>
      </c>
      <c r="G55" s="23" t="s">
        <v>702</v>
      </c>
      <c r="H55" s="23" t="str">
        <f t="shared" si="3"/>
        <v>dcckhargone@123</v>
      </c>
    </row>
    <row r="56" spans="1:8" ht="27" x14ac:dyDescent="0.3">
      <c r="A56" s="4">
        <v>28</v>
      </c>
      <c r="B56" s="4" t="s">
        <v>114</v>
      </c>
      <c r="C56" s="24" t="s">
        <v>675</v>
      </c>
      <c r="D56" s="24" t="s">
        <v>177</v>
      </c>
      <c r="E56" s="25">
        <v>454</v>
      </c>
      <c r="F56" s="23" t="str">
        <f t="shared" si="2"/>
        <v>DCC, Mandla</v>
      </c>
      <c r="G56" s="23" t="s">
        <v>703</v>
      </c>
      <c r="H56" s="23" t="str">
        <f t="shared" si="3"/>
        <v>dccmandla@123</v>
      </c>
    </row>
    <row r="57" spans="1:8" ht="27" x14ac:dyDescent="0.3">
      <c r="A57" s="4">
        <v>29</v>
      </c>
      <c r="B57" s="4" t="s">
        <v>114</v>
      </c>
      <c r="C57" s="24" t="s">
        <v>675</v>
      </c>
      <c r="D57" s="24" t="s">
        <v>178</v>
      </c>
      <c r="E57" s="25">
        <v>433</v>
      </c>
      <c r="F57" s="23" t="str">
        <f t="shared" si="2"/>
        <v>DCC, Mandsaur</v>
      </c>
      <c r="G57" s="23" t="s">
        <v>704</v>
      </c>
      <c r="H57" s="23" t="str">
        <f t="shared" si="3"/>
        <v>dccmandsaur@123</v>
      </c>
    </row>
    <row r="58" spans="1:8" ht="27" x14ac:dyDescent="0.3">
      <c r="A58" s="4">
        <v>30</v>
      </c>
      <c r="B58" s="4" t="s">
        <v>114</v>
      </c>
      <c r="C58" s="24" t="s">
        <v>675</v>
      </c>
      <c r="D58" s="24" t="s">
        <v>179</v>
      </c>
      <c r="E58" s="25">
        <v>419</v>
      </c>
      <c r="F58" s="23" t="str">
        <f t="shared" si="2"/>
        <v>DCC, Morena</v>
      </c>
      <c r="G58" s="23" t="s">
        <v>705</v>
      </c>
      <c r="H58" s="23" t="str">
        <f t="shared" si="3"/>
        <v>dccmorena@123</v>
      </c>
    </row>
    <row r="59" spans="1:8" ht="27" x14ac:dyDescent="0.3">
      <c r="A59" s="4">
        <v>31</v>
      </c>
      <c r="B59" s="4" t="s">
        <v>114</v>
      </c>
      <c r="C59" s="24" t="s">
        <v>675</v>
      </c>
      <c r="D59" s="24" t="s">
        <v>180</v>
      </c>
      <c r="E59" s="25">
        <v>452</v>
      </c>
      <c r="F59" s="23" t="str">
        <f t="shared" si="2"/>
        <v>DCC, Narsinghpur</v>
      </c>
      <c r="G59" s="23" t="s">
        <v>706</v>
      </c>
      <c r="H59" s="23" t="str">
        <f t="shared" si="3"/>
        <v>dccnarsinghpur@123</v>
      </c>
    </row>
    <row r="60" spans="1:8" ht="27" x14ac:dyDescent="0.3">
      <c r="A60" s="4">
        <v>32</v>
      </c>
      <c r="B60" s="4" t="s">
        <v>114</v>
      </c>
      <c r="C60" s="24" t="s">
        <v>675</v>
      </c>
      <c r="D60" s="24" t="s">
        <v>181</v>
      </c>
      <c r="E60" s="25">
        <v>432</v>
      </c>
      <c r="F60" s="23" t="str">
        <f t="shared" si="2"/>
        <v>DCC, Neemuch</v>
      </c>
      <c r="G60" s="23" t="s">
        <v>707</v>
      </c>
      <c r="H60" s="23" t="str">
        <f t="shared" si="3"/>
        <v>dccneemuch@123</v>
      </c>
    </row>
    <row r="61" spans="1:8" ht="27" x14ac:dyDescent="0.3">
      <c r="A61" s="4">
        <v>33</v>
      </c>
      <c r="B61" s="4" t="s">
        <v>114</v>
      </c>
      <c r="C61" s="24" t="s">
        <v>675</v>
      </c>
      <c r="D61" s="24" t="s">
        <v>182</v>
      </c>
      <c r="E61" s="25">
        <v>722</v>
      </c>
      <c r="F61" s="23" t="str">
        <f t="shared" ref="F61:F80" si="4">CONCATENATE("DCC, ",D61)</f>
        <v>DCC, Niwari</v>
      </c>
      <c r="G61" s="23" t="s">
        <v>727</v>
      </c>
      <c r="H61" s="23" t="str">
        <f t="shared" si="3"/>
        <v>dccniwari@123</v>
      </c>
    </row>
    <row r="62" spans="1:8" ht="27" x14ac:dyDescent="0.3">
      <c r="A62" s="4">
        <v>34</v>
      </c>
      <c r="B62" s="4" t="s">
        <v>114</v>
      </c>
      <c r="C62" s="24" t="s">
        <v>675</v>
      </c>
      <c r="D62" s="24" t="s">
        <v>56</v>
      </c>
      <c r="E62" s="25">
        <v>426</v>
      </c>
      <c r="F62" s="23" t="str">
        <f t="shared" si="4"/>
        <v>DCC, Panna</v>
      </c>
      <c r="G62" s="23" t="s">
        <v>726</v>
      </c>
      <c r="H62" s="23" t="str">
        <f t="shared" si="3"/>
        <v>dccpanna@123</v>
      </c>
    </row>
    <row r="63" spans="1:8" ht="27" x14ac:dyDescent="0.3">
      <c r="A63" s="4">
        <v>35</v>
      </c>
      <c r="B63" s="4" t="s">
        <v>114</v>
      </c>
      <c r="C63" s="24" t="s">
        <v>675</v>
      </c>
      <c r="D63" s="24" t="s">
        <v>13</v>
      </c>
      <c r="E63" s="25">
        <v>446</v>
      </c>
      <c r="F63" s="23" t="str">
        <f t="shared" si="4"/>
        <v>DCC, Raisen</v>
      </c>
      <c r="G63" s="23" t="s">
        <v>725</v>
      </c>
      <c r="H63" s="23" t="str">
        <f t="shared" si="3"/>
        <v>dccraisen@123</v>
      </c>
    </row>
    <row r="64" spans="1:8" ht="27" x14ac:dyDescent="0.3">
      <c r="A64" s="4">
        <v>36</v>
      </c>
      <c r="B64" s="4" t="s">
        <v>114</v>
      </c>
      <c r="C64" s="24" t="s">
        <v>675</v>
      </c>
      <c r="D64" s="24" t="s">
        <v>39</v>
      </c>
      <c r="E64" s="25">
        <v>442</v>
      </c>
      <c r="F64" s="23" t="str">
        <f t="shared" si="4"/>
        <v>DCC, Rajgarh</v>
      </c>
      <c r="G64" s="23" t="s">
        <v>724</v>
      </c>
      <c r="H64" s="23" t="str">
        <f t="shared" si="3"/>
        <v>dccrajgarh@123</v>
      </c>
    </row>
    <row r="65" spans="1:8" ht="27" x14ac:dyDescent="0.3">
      <c r="A65" s="4">
        <v>37</v>
      </c>
      <c r="B65" s="4" t="s">
        <v>114</v>
      </c>
      <c r="C65" s="24" t="s">
        <v>675</v>
      </c>
      <c r="D65" s="24" t="s">
        <v>19</v>
      </c>
      <c r="E65" s="25">
        <v>434</v>
      </c>
      <c r="F65" s="23" t="str">
        <f t="shared" si="4"/>
        <v>DCC, Ratlam</v>
      </c>
      <c r="G65" s="23" t="s">
        <v>723</v>
      </c>
      <c r="H65" s="23" t="str">
        <f t="shared" si="3"/>
        <v>dccratlam@123</v>
      </c>
    </row>
    <row r="66" spans="1:8" ht="27" x14ac:dyDescent="0.3">
      <c r="A66" s="4">
        <v>38</v>
      </c>
      <c r="B66" s="4" t="s">
        <v>114</v>
      </c>
      <c r="C66" s="24" t="s">
        <v>675</v>
      </c>
      <c r="D66" s="24" t="s">
        <v>183</v>
      </c>
      <c r="E66" s="25">
        <v>430</v>
      </c>
      <c r="F66" s="23" t="str">
        <f t="shared" si="4"/>
        <v>DCC, Rewa</v>
      </c>
      <c r="G66" s="23" t="s">
        <v>722</v>
      </c>
      <c r="H66" s="23" t="str">
        <f t="shared" si="3"/>
        <v>dccrewa@123</v>
      </c>
    </row>
    <row r="67" spans="1:8" ht="27" x14ac:dyDescent="0.3">
      <c r="A67" s="4">
        <v>39</v>
      </c>
      <c r="B67" s="4" t="s">
        <v>114</v>
      </c>
      <c r="C67" s="24" t="s">
        <v>675</v>
      </c>
      <c r="D67" s="24" t="s">
        <v>184</v>
      </c>
      <c r="E67" s="25">
        <v>427</v>
      </c>
      <c r="F67" s="23" t="str">
        <f t="shared" si="4"/>
        <v>DCC, Sagar</v>
      </c>
      <c r="G67" s="23" t="s">
        <v>721</v>
      </c>
      <c r="H67" s="23" t="str">
        <f t="shared" si="3"/>
        <v>dccsagar@123</v>
      </c>
    </row>
    <row r="68" spans="1:8" ht="27" x14ac:dyDescent="0.3">
      <c r="A68" s="4">
        <v>40</v>
      </c>
      <c r="B68" s="4" t="s">
        <v>114</v>
      </c>
      <c r="C68" s="24" t="s">
        <v>675</v>
      </c>
      <c r="D68" s="24" t="s">
        <v>185</v>
      </c>
      <c r="E68" s="25">
        <v>429</v>
      </c>
      <c r="F68" s="23" t="str">
        <f t="shared" si="4"/>
        <v>DCC, Satna</v>
      </c>
      <c r="G68" s="23" t="s">
        <v>720</v>
      </c>
      <c r="H68" s="23" t="str">
        <f t="shared" si="3"/>
        <v>dccsatna@123</v>
      </c>
    </row>
    <row r="69" spans="1:8" ht="27" x14ac:dyDescent="0.3">
      <c r="A69" s="4">
        <v>41</v>
      </c>
      <c r="B69" s="4" t="s">
        <v>114</v>
      </c>
      <c r="C69" s="24" t="s">
        <v>675</v>
      </c>
      <c r="D69" s="24" t="s">
        <v>36</v>
      </c>
      <c r="E69" s="25">
        <v>445</v>
      </c>
      <c r="F69" s="23" t="str">
        <f t="shared" si="4"/>
        <v>DCC, Sehore</v>
      </c>
      <c r="G69" s="23" t="s">
        <v>719</v>
      </c>
      <c r="H69" s="23" t="str">
        <f t="shared" si="3"/>
        <v>dccsehore@123</v>
      </c>
    </row>
    <row r="70" spans="1:8" ht="27" x14ac:dyDescent="0.3">
      <c r="A70" s="4">
        <v>42</v>
      </c>
      <c r="B70" s="4" t="s">
        <v>114</v>
      </c>
      <c r="C70" s="24" t="s">
        <v>675</v>
      </c>
      <c r="D70" s="24" t="s">
        <v>73</v>
      </c>
      <c r="E70" s="25">
        <v>456</v>
      </c>
      <c r="F70" s="23" t="str">
        <f t="shared" si="4"/>
        <v>DCC, Seoni</v>
      </c>
      <c r="G70" s="23" t="s">
        <v>718</v>
      </c>
      <c r="H70" s="23" t="str">
        <f t="shared" si="3"/>
        <v>dccseoni@123</v>
      </c>
    </row>
    <row r="71" spans="1:8" ht="27" x14ac:dyDescent="0.3">
      <c r="A71" s="4">
        <v>43</v>
      </c>
      <c r="B71" s="4" t="s">
        <v>114</v>
      </c>
      <c r="C71" s="24" t="s">
        <v>675</v>
      </c>
      <c r="D71" s="24" t="s">
        <v>5</v>
      </c>
      <c r="E71" s="25">
        <v>460</v>
      </c>
      <c r="F71" s="23" t="str">
        <f t="shared" si="4"/>
        <v>DCC, Shahdol</v>
      </c>
      <c r="G71" s="23" t="s">
        <v>717</v>
      </c>
      <c r="H71" s="23" t="str">
        <f t="shared" si="3"/>
        <v>dccshahdol@123</v>
      </c>
    </row>
    <row r="72" spans="1:8" ht="27" x14ac:dyDescent="0.3">
      <c r="A72" s="4">
        <v>44</v>
      </c>
      <c r="B72" s="4" t="s">
        <v>114</v>
      </c>
      <c r="C72" s="24" t="s">
        <v>675</v>
      </c>
      <c r="D72" s="24" t="s">
        <v>186</v>
      </c>
      <c r="E72" s="25">
        <v>436</v>
      </c>
      <c r="F72" s="23" t="str">
        <f t="shared" si="4"/>
        <v>DCC, Shajapur</v>
      </c>
      <c r="G72" s="23" t="s">
        <v>716</v>
      </c>
      <c r="H72" s="23" t="str">
        <f t="shared" si="3"/>
        <v>dccshajapur@123</v>
      </c>
    </row>
    <row r="73" spans="1:8" ht="27" x14ac:dyDescent="0.3">
      <c r="A73" s="4">
        <v>45</v>
      </c>
      <c r="B73" s="4" t="s">
        <v>114</v>
      </c>
      <c r="C73" s="24" t="s">
        <v>675</v>
      </c>
      <c r="D73" s="24" t="s">
        <v>187</v>
      </c>
      <c r="E73" s="25">
        <v>418</v>
      </c>
      <c r="F73" s="23" t="str">
        <f t="shared" si="4"/>
        <v>DCC, Sheopur</v>
      </c>
      <c r="G73" s="23" t="s">
        <v>715</v>
      </c>
      <c r="H73" s="23" t="str">
        <f t="shared" si="3"/>
        <v>dccsheopur@123</v>
      </c>
    </row>
    <row r="74" spans="1:8" ht="27" x14ac:dyDescent="0.3">
      <c r="A74" s="4">
        <v>46</v>
      </c>
      <c r="B74" s="4" t="s">
        <v>114</v>
      </c>
      <c r="C74" s="24" t="s">
        <v>675</v>
      </c>
      <c r="D74" s="24" t="s">
        <v>42</v>
      </c>
      <c r="E74" s="25">
        <v>423</v>
      </c>
      <c r="F74" s="23" t="str">
        <f t="shared" si="4"/>
        <v>DCC, Shivpuri</v>
      </c>
      <c r="G74" s="23" t="s">
        <v>714</v>
      </c>
      <c r="H74" s="23" t="str">
        <f t="shared" si="3"/>
        <v>dccshivpuri@123</v>
      </c>
    </row>
    <row r="75" spans="1:8" ht="27" x14ac:dyDescent="0.3">
      <c r="A75" s="4">
        <v>47</v>
      </c>
      <c r="B75" s="4" t="s">
        <v>114</v>
      </c>
      <c r="C75" s="24" t="s">
        <v>675</v>
      </c>
      <c r="D75" s="24" t="s">
        <v>188</v>
      </c>
      <c r="E75" s="25">
        <v>462</v>
      </c>
      <c r="F75" s="23" t="str">
        <f t="shared" si="4"/>
        <v>DCC, Sidhi</v>
      </c>
      <c r="G75" s="23" t="s">
        <v>713</v>
      </c>
      <c r="H75" s="23" t="str">
        <f t="shared" si="3"/>
        <v>dccsidhi@123</v>
      </c>
    </row>
    <row r="76" spans="1:8" ht="27" x14ac:dyDescent="0.3">
      <c r="A76" s="4">
        <v>48</v>
      </c>
      <c r="B76" s="4" t="s">
        <v>114</v>
      </c>
      <c r="C76" s="24" t="s">
        <v>675</v>
      </c>
      <c r="D76" s="24" t="s">
        <v>189</v>
      </c>
      <c r="E76" s="25">
        <v>463</v>
      </c>
      <c r="F76" s="23" t="str">
        <f t="shared" si="4"/>
        <v>DCC, Singrauli</v>
      </c>
      <c r="G76" s="23" t="s">
        <v>712</v>
      </c>
      <c r="H76" s="23" t="str">
        <f t="shared" si="3"/>
        <v>dccsingrauli@123</v>
      </c>
    </row>
    <row r="77" spans="1:8" ht="27" x14ac:dyDescent="0.3">
      <c r="A77" s="4">
        <v>49</v>
      </c>
      <c r="B77" s="4" t="s">
        <v>114</v>
      </c>
      <c r="C77" s="24" t="s">
        <v>675</v>
      </c>
      <c r="D77" s="24" t="s">
        <v>7</v>
      </c>
      <c r="E77" s="25">
        <v>424</v>
      </c>
      <c r="F77" s="23" t="str">
        <f t="shared" si="4"/>
        <v>DCC, Tikamgarh</v>
      </c>
      <c r="G77" s="23" t="s">
        <v>711</v>
      </c>
      <c r="H77" s="23" t="str">
        <f t="shared" si="3"/>
        <v>dcctikamgarh@123</v>
      </c>
    </row>
    <row r="78" spans="1:8" ht="27" x14ac:dyDescent="0.3">
      <c r="A78" s="4">
        <v>50</v>
      </c>
      <c r="B78" s="4" t="s">
        <v>114</v>
      </c>
      <c r="C78" s="24" t="s">
        <v>675</v>
      </c>
      <c r="D78" s="24" t="s">
        <v>190</v>
      </c>
      <c r="E78" s="25">
        <v>435</v>
      </c>
      <c r="F78" s="23" t="str">
        <f t="shared" si="4"/>
        <v>DCC, Ujjain</v>
      </c>
      <c r="G78" s="23" t="s">
        <v>710</v>
      </c>
      <c r="H78" s="23" t="str">
        <f t="shared" si="3"/>
        <v>dccujjain@123</v>
      </c>
    </row>
    <row r="79" spans="1:8" ht="27" x14ac:dyDescent="0.3">
      <c r="A79" s="4">
        <v>51</v>
      </c>
      <c r="B79" s="4" t="s">
        <v>114</v>
      </c>
      <c r="C79" s="24" t="s">
        <v>675</v>
      </c>
      <c r="D79" s="24" t="s">
        <v>191</v>
      </c>
      <c r="E79" s="25">
        <v>431</v>
      </c>
      <c r="F79" s="23" t="str">
        <f t="shared" si="4"/>
        <v>DCC, Umaria</v>
      </c>
      <c r="G79" s="23" t="s">
        <v>709</v>
      </c>
      <c r="H79" s="23" t="str">
        <f t="shared" si="3"/>
        <v>dccumaria@123</v>
      </c>
    </row>
    <row r="80" spans="1:8" ht="27" x14ac:dyDescent="0.3">
      <c r="A80" s="4">
        <v>52</v>
      </c>
      <c r="B80" s="4" t="s">
        <v>114</v>
      </c>
      <c r="C80" s="24" t="s">
        <v>675</v>
      </c>
      <c r="D80" s="24" t="s">
        <v>65</v>
      </c>
      <c r="E80" s="25">
        <v>443</v>
      </c>
      <c r="F80" s="23" t="str">
        <f t="shared" si="4"/>
        <v>DCC, Vidisha</v>
      </c>
      <c r="G80" s="23" t="s">
        <v>708</v>
      </c>
      <c r="H80" s="23" t="str">
        <f t="shared" si="3"/>
        <v>dccvidisha@123</v>
      </c>
    </row>
    <row r="81" spans="1:8" ht="27" x14ac:dyDescent="0.3">
      <c r="A81" s="4">
        <v>53</v>
      </c>
      <c r="B81" s="4" t="s">
        <v>114</v>
      </c>
      <c r="C81" s="24" t="s">
        <v>675</v>
      </c>
      <c r="D81" s="24" t="s">
        <v>775</v>
      </c>
      <c r="E81" s="25">
        <v>766</v>
      </c>
      <c r="F81" s="23" t="str">
        <f t="shared" ref="F81" si="5">CONCATENATE("DCC, ",D81)</f>
        <v>DCC, Mauganj</v>
      </c>
      <c r="G81" s="23" t="s">
        <v>781</v>
      </c>
      <c r="H81" s="23" t="str">
        <f>CONCATENATE(G81,"@123")</f>
        <v>dccmauganj@123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54"/>
  <sheetViews>
    <sheetView topLeftCell="A20" workbookViewId="0">
      <selection activeCell="I10" sqref="I10"/>
    </sheetView>
  </sheetViews>
  <sheetFormatPr defaultColWidth="30.21875" defaultRowHeight="14.4" x14ac:dyDescent="0.3"/>
  <cols>
    <col min="1" max="1" width="5.21875" bestFit="1" customWidth="1"/>
    <col min="2" max="2" width="8.21875" bestFit="1" customWidth="1"/>
    <col min="3" max="3" width="17.21875" style="21" bestFit="1" customWidth="1"/>
    <col min="4" max="4" width="9.77734375" customWidth="1"/>
    <col min="5" max="5" width="7.21875" bestFit="1" customWidth="1"/>
    <col min="6" max="6" width="16.5546875" customWidth="1"/>
    <col min="7" max="7" width="9.77734375" customWidth="1"/>
    <col min="8" max="8" width="12" style="21" customWidth="1"/>
  </cols>
  <sheetData>
    <row r="1" spans="1:8" ht="26.4" x14ac:dyDescent="0.3">
      <c r="A1" s="2" t="s">
        <v>0</v>
      </c>
      <c r="B1" s="2" t="s">
        <v>89</v>
      </c>
      <c r="C1" s="2" t="s">
        <v>115</v>
      </c>
      <c r="D1" s="2" t="s">
        <v>1</v>
      </c>
      <c r="E1" s="2" t="s">
        <v>260</v>
      </c>
      <c r="F1" s="2" t="s">
        <v>2</v>
      </c>
      <c r="G1" s="3" t="s">
        <v>75</v>
      </c>
      <c r="H1" s="3" t="s">
        <v>76</v>
      </c>
    </row>
    <row r="2" spans="1:8" ht="27" x14ac:dyDescent="0.3">
      <c r="A2" s="4">
        <v>1</v>
      </c>
      <c r="B2" s="4" t="s">
        <v>114</v>
      </c>
      <c r="C2" s="24" t="s">
        <v>157</v>
      </c>
      <c r="D2" s="5" t="s">
        <v>160</v>
      </c>
      <c r="E2" s="11">
        <v>501</v>
      </c>
      <c r="F2" s="12" t="str">
        <f>CONCATENATE("DC, ",D2)</f>
        <v>DC, Agar malwa</v>
      </c>
      <c r="G2" s="12" t="s">
        <v>194</v>
      </c>
      <c r="H2" s="23" t="str">
        <f t="shared" ref="H2:H54" si="0">CONCATENATE(G2,"@123")</f>
        <v>dcagar@123</v>
      </c>
    </row>
    <row r="3" spans="1:8" ht="28.2" x14ac:dyDescent="0.3">
      <c r="A3" s="4">
        <v>2</v>
      </c>
      <c r="B3" s="4" t="s">
        <v>114</v>
      </c>
      <c r="C3" s="24" t="s">
        <v>157</v>
      </c>
      <c r="D3" s="5" t="s">
        <v>161</v>
      </c>
      <c r="E3" s="11">
        <v>465</v>
      </c>
      <c r="F3" s="12" t="str">
        <f t="shared" ref="F3:F53" si="1">CONCATENATE("DC, ",D3)</f>
        <v>DC, Alirajpur</v>
      </c>
      <c r="G3" s="12" t="s">
        <v>195</v>
      </c>
      <c r="H3" s="23" t="str">
        <f t="shared" si="0"/>
        <v>dcalirajpur@123</v>
      </c>
    </row>
    <row r="4" spans="1:8" ht="28.2" x14ac:dyDescent="0.3">
      <c r="A4" s="4">
        <v>3</v>
      </c>
      <c r="B4" s="4" t="s">
        <v>114</v>
      </c>
      <c r="C4" s="24" t="s">
        <v>157</v>
      </c>
      <c r="D4" s="5" t="s">
        <v>162</v>
      </c>
      <c r="E4" s="11">
        <v>461</v>
      </c>
      <c r="F4" s="12" t="str">
        <f t="shared" si="1"/>
        <v>DC, Anuppur</v>
      </c>
      <c r="G4" s="12" t="s">
        <v>196</v>
      </c>
      <c r="H4" s="23" t="str">
        <f t="shared" si="0"/>
        <v>dcanuppur@123</v>
      </c>
    </row>
    <row r="5" spans="1:8" ht="28.2" x14ac:dyDescent="0.3">
      <c r="A5" s="4">
        <v>4</v>
      </c>
      <c r="B5" s="4" t="s">
        <v>114</v>
      </c>
      <c r="C5" s="24" t="s">
        <v>157</v>
      </c>
      <c r="D5" s="5" t="s">
        <v>62</v>
      </c>
      <c r="E5" s="11">
        <v>459</v>
      </c>
      <c r="F5" s="12" t="str">
        <f t="shared" si="1"/>
        <v>DC, Ashoknagar</v>
      </c>
      <c r="G5" s="12" t="s">
        <v>197</v>
      </c>
      <c r="H5" s="23" t="str">
        <f t="shared" si="0"/>
        <v>dcashoknagar@123</v>
      </c>
    </row>
    <row r="6" spans="1:8" ht="28.2" x14ac:dyDescent="0.3">
      <c r="A6" s="4">
        <v>5</v>
      </c>
      <c r="B6" s="4" t="s">
        <v>114</v>
      </c>
      <c r="C6" s="24" t="s">
        <v>157</v>
      </c>
      <c r="D6" s="5" t="s">
        <v>16</v>
      </c>
      <c r="E6" s="11">
        <v>457</v>
      </c>
      <c r="F6" s="12" t="str">
        <f t="shared" si="1"/>
        <v>DC, Balaghat</v>
      </c>
      <c r="G6" s="12" t="s">
        <v>198</v>
      </c>
      <c r="H6" s="23" t="str">
        <f t="shared" si="0"/>
        <v>dcbalaghat@123</v>
      </c>
    </row>
    <row r="7" spans="1:8" ht="28.2" x14ac:dyDescent="0.3">
      <c r="A7" s="4">
        <v>6</v>
      </c>
      <c r="B7" s="4" t="s">
        <v>114</v>
      </c>
      <c r="C7" s="24" t="s">
        <v>157</v>
      </c>
      <c r="D7" s="5" t="s">
        <v>163</v>
      </c>
      <c r="E7" s="11">
        <v>441</v>
      </c>
      <c r="F7" s="12" t="str">
        <f t="shared" si="1"/>
        <v>DC, Barwani</v>
      </c>
      <c r="G7" s="12" t="s">
        <v>199</v>
      </c>
      <c r="H7" s="23" t="str">
        <f t="shared" si="0"/>
        <v>dcbarwani@123</v>
      </c>
    </row>
    <row r="8" spans="1:8" ht="27" x14ac:dyDescent="0.3">
      <c r="A8" s="4">
        <v>7</v>
      </c>
      <c r="B8" s="4" t="s">
        <v>114</v>
      </c>
      <c r="C8" s="24" t="s">
        <v>157</v>
      </c>
      <c r="D8" s="5" t="s">
        <v>53</v>
      </c>
      <c r="E8" s="11">
        <v>447</v>
      </c>
      <c r="F8" s="12" t="str">
        <f t="shared" si="1"/>
        <v>DC, Betul</v>
      </c>
      <c r="G8" s="12" t="s">
        <v>200</v>
      </c>
      <c r="H8" s="23" t="str">
        <f t="shared" si="0"/>
        <v>dcbetul@123</v>
      </c>
    </row>
    <row r="9" spans="1:8" ht="28.2" x14ac:dyDescent="0.3">
      <c r="A9" s="4">
        <v>8</v>
      </c>
      <c r="B9" s="4" t="s">
        <v>114</v>
      </c>
      <c r="C9" s="24" t="s">
        <v>157</v>
      </c>
      <c r="D9" s="5" t="s">
        <v>164</v>
      </c>
      <c r="E9" s="11">
        <v>420</v>
      </c>
      <c r="F9" s="12" t="str">
        <f t="shared" si="1"/>
        <v>DC, Bhind</v>
      </c>
      <c r="G9" s="12" t="s">
        <v>201</v>
      </c>
      <c r="H9" s="23" t="str">
        <f t="shared" si="0"/>
        <v>dcbhind@123</v>
      </c>
    </row>
    <row r="10" spans="1:8" ht="28.2" x14ac:dyDescent="0.3">
      <c r="A10" s="4">
        <v>9</v>
      </c>
      <c r="B10" s="4" t="s">
        <v>114</v>
      </c>
      <c r="C10" s="24" t="s">
        <v>157</v>
      </c>
      <c r="D10" s="5" t="s">
        <v>32</v>
      </c>
      <c r="E10" s="11">
        <v>444</v>
      </c>
      <c r="F10" s="12" t="str">
        <f>CONCATENATE("DC, ",D10)</f>
        <v>DC, Bhopal</v>
      </c>
      <c r="G10" s="12" t="s">
        <v>202</v>
      </c>
      <c r="H10" s="23" t="str">
        <f t="shared" si="0"/>
        <v>dcbhopal@123</v>
      </c>
    </row>
    <row r="11" spans="1:8" ht="28.2" x14ac:dyDescent="0.3">
      <c r="A11" s="4">
        <v>10</v>
      </c>
      <c r="B11" s="4" t="s">
        <v>114</v>
      </c>
      <c r="C11" s="24" t="s">
        <v>157</v>
      </c>
      <c r="D11" s="5" t="s">
        <v>165</v>
      </c>
      <c r="E11" s="11">
        <v>467</v>
      </c>
      <c r="F11" s="12" t="str">
        <f t="shared" si="1"/>
        <v>DC, Burhanpur</v>
      </c>
      <c r="G11" s="12" t="s">
        <v>203</v>
      </c>
      <c r="H11" s="23" t="str">
        <f t="shared" si="0"/>
        <v>dcburhanpur@123</v>
      </c>
    </row>
    <row r="12" spans="1:8" ht="28.2" x14ac:dyDescent="0.3">
      <c r="A12" s="4">
        <v>11</v>
      </c>
      <c r="B12" s="4" t="s">
        <v>114</v>
      </c>
      <c r="C12" s="24" t="s">
        <v>157</v>
      </c>
      <c r="D12" s="5" t="s">
        <v>166</v>
      </c>
      <c r="E12" s="11">
        <v>425</v>
      </c>
      <c r="F12" s="12" t="str">
        <f t="shared" si="1"/>
        <v>DC, Chhatarpur</v>
      </c>
      <c r="G12" s="12" t="s">
        <v>204</v>
      </c>
      <c r="H12" s="23" t="str">
        <f t="shared" si="0"/>
        <v>dcchhatarpur@123</v>
      </c>
    </row>
    <row r="13" spans="1:8" ht="28.2" x14ac:dyDescent="0.3">
      <c r="A13" s="4">
        <v>12</v>
      </c>
      <c r="B13" s="4" t="s">
        <v>114</v>
      </c>
      <c r="C13" s="24" t="s">
        <v>157</v>
      </c>
      <c r="D13" s="5" t="s">
        <v>167</v>
      </c>
      <c r="E13" s="11">
        <v>455</v>
      </c>
      <c r="F13" s="12" t="str">
        <f t="shared" si="1"/>
        <v>DC, Chhindwara</v>
      </c>
      <c r="G13" s="12" t="s">
        <v>205</v>
      </c>
      <c r="H13" s="23" t="str">
        <f t="shared" si="0"/>
        <v>dcchhindwara@123</v>
      </c>
    </row>
    <row r="14" spans="1:8" ht="28.2" x14ac:dyDescent="0.3">
      <c r="A14" s="4">
        <v>13</v>
      </c>
      <c r="B14" s="4" t="s">
        <v>114</v>
      </c>
      <c r="C14" s="24" t="s">
        <v>157</v>
      </c>
      <c r="D14" s="5" t="s">
        <v>168</v>
      </c>
      <c r="E14" s="11">
        <v>428</v>
      </c>
      <c r="F14" s="12" t="str">
        <f t="shared" si="1"/>
        <v>DC, Damoh</v>
      </c>
      <c r="G14" s="12" t="s">
        <v>206</v>
      </c>
      <c r="H14" s="23" t="str">
        <f t="shared" si="0"/>
        <v>dcdamoh@123</v>
      </c>
    </row>
    <row r="15" spans="1:8" ht="27" x14ac:dyDescent="0.3">
      <c r="A15" s="4">
        <v>14</v>
      </c>
      <c r="B15" s="4" t="s">
        <v>114</v>
      </c>
      <c r="C15" s="24" t="s">
        <v>157</v>
      </c>
      <c r="D15" s="5" t="s">
        <v>169</v>
      </c>
      <c r="E15" s="11">
        <v>422</v>
      </c>
      <c r="F15" s="12" t="str">
        <f t="shared" si="1"/>
        <v>DC, Datia</v>
      </c>
      <c r="G15" s="12" t="s">
        <v>207</v>
      </c>
      <c r="H15" s="23" t="str">
        <f t="shared" si="0"/>
        <v>dcdatia@123</v>
      </c>
    </row>
    <row r="16" spans="1:8" ht="28.2" x14ac:dyDescent="0.3">
      <c r="A16" s="4">
        <v>15</v>
      </c>
      <c r="B16" s="4" t="s">
        <v>114</v>
      </c>
      <c r="C16" s="24" t="s">
        <v>157</v>
      </c>
      <c r="D16" s="5" t="s">
        <v>170</v>
      </c>
      <c r="E16" s="11">
        <v>437</v>
      </c>
      <c r="F16" s="12" t="str">
        <f t="shared" si="1"/>
        <v>DC, Dewas</v>
      </c>
      <c r="G16" s="12" t="s">
        <v>208</v>
      </c>
      <c r="H16" s="23" t="str">
        <f t="shared" si="0"/>
        <v>dcdewas@123</v>
      </c>
    </row>
    <row r="17" spans="1:8" ht="27" x14ac:dyDescent="0.3">
      <c r="A17" s="4">
        <v>16</v>
      </c>
      <c r="B17" s="4" t="s">
        <v>114</v>
      </c>
      <c r="C17" s="24" t="s">
        <v>157</v>
      </c>
      <c r="D17" s="5" t="s">
        <v>48</v>
      </c>
      <c r="E17" s="11">
        <v>438</v>
      </c>
      <c r="F17" s="12" t="str">
        <f t="shared" si="1"/>
        <v>DC, Dhar</v>
      </c>
      <c r="G17" s="12" t="s">
        <v>209</v>
      </c>
      <c r="H17" s="23" t="str">
        <f t="shared" si="0"/>
        <v>dcdhar@123</v>
      </c>
    </row>
    <row r="18" spans="1:8" ht="28.2" x14ac:dyDescent="0.3">
      <c r="A18" s="4">
        <v>17</v>
      </c>
      <c r="B18" s="4" t="s">
        <v>114</v>
      </c>
      <c r="C18" s="24" t="s">
        <v>157</v>
      </c>
      <c r="D18" s="5" t="s">
        <v>171</v>
      </c>
      <c r="E18" s="11">
        <v>453</v>
      </c>
      <c r="F18" s="12" t="str">
        <f t="shared" si="1"/>
        <v>DC, Dindori</v>
      </c>
      <c r="G18" s="12" t="s">
        <v>210</v>
      </c>
      <c r="H18" s="23" t="str">
        <f t="shared" si="0"/>
        <v>dcdindori@123</v>
      </c>
    </row>
    <row r="19" spans="1:8" ht="27" x14ac:dyDescent="0.3">
      <c r="A19" s="4">
        <v>18</v>
      </c>
      <c r="B19" s="4" t="s">
        <v>114</v>
      </c>
      <c r="C19" s="24" t="s">
        <v>157</v>
      </c>
      <c r="D19" s="5" t="s">
        <v>25</v>
      </c>
      <c r="E19" s="11">
        <v>458</v>
      </c>
      <c r="F19" s="12" t="str">
        <f t="shared" si="1"/>
        <v>DC, Guna</v>
      </c>
      <c r="G19" s="12" t="s">
        <v>211</v>
      </c>
      <c r="H19" s="23" t="str">
        <f t="shared" si="0"/>
        <v>dcguna@123</v>
      </c>
    </row>
    <row r="20" spans="1:8" ht="28.2" x14ac:dyDescent="0.3">
      <c r="A20" s="4">
        <v>19</v>
      </c>
      <c r="B20" s="4" t="s">
        <v>114</v>
      </c>
      <c r="C20" s="24" t="s">
        <v>157</v>
      </c>
      <c r="D20" s="5" t="s">
        <v>172</v>
      </c>
      <c r="E20" s="11">
        <v>421</v>
      </c>
      <c r="F20" s="12" t="str">
        <f t="shared" si="1"/>
        <v>DC, Gwalior</v>
      </c>
      <c r="G20" s="12" t="s">
        <v>212</v>
      </c>
      <c r="H20" s="23" t="str">
        <f t="shared" si="0"/>
        <v>dcgwalior@123</v>
      </c>
    </row>
    <row r="21" spans="1:8" ht="28.2" x14ac:dyDescent="0.3">
      <c r="A21" s="4">
        <v>20</v>
      </c>
      <c r="B21" s="4" t="s">
        <v>114</v>
      </c>
      <c r="C21" s="24" t="s">
        <v>157</v>
      </c>
      <c r="D21" s="5" t="s">
        <v>173</v>
      </c>
      <c r="E21" s="11">
        <v>448</v>
      </c>
      <c r="F21" s="12" t="str">
        <f t="shared" si="1"/>
        <v>DC, Harda</v>
      </c>
      <c r="G21" s="12" t="s">
        <v>213</v>
      </c>
      <c r="H21" s="23" t="str">
        <f t="shared" si="0"/>
        <v>dcharda@123</v>
      </c>
    </row>
    <row r="22" spans="1:8" ht="28.2" x14ac:dyDescent="0.3">
      <c r="A22" s="4">
        <v>21</v>
      </c>
      <c r="B22" s="4" t="s">
        <v>114</v>
      </c>
      <c r="C22" s="24" t="s">
        <v>157</v>
      </c>
      <c r="D22" s="5" t="s">
        <v>70</v>
      </c>
      <c r="E22" s="11">
        <v>449</v>
      </c>
      <c r="F22" s="12" t="str">
        <f t="shared" si="1"/>
        <v>DC, Hoshangabad</v>
      </c>
      <c r="G22" s="12" t="s">
        <v>214</v>
      </c>
      <c r="H22" s="23" t="str">
        <f t="shared" si="0"/>
        <v>dchoshangabad@123</v>
      </c>
    </row>
    <row r="23" spans="1:8" ht="28.2" x14ac:dyDescent="0.3">
      <c r="A23" s="4">
        <v>22</v>
      </c>
      <c r="B23" s="4" t="s">
        <v>114</v>
      </c>
      <c r="C23" s="24" t="s">
        <v>157</v>
      </c>
      <c r="D23" s="5" t="s">
        <v>174</v>
      </c>
      <c r="E23" s="11">
        <v>439</v>
      </c>
      <c r="F23" s="12" t="str">
        <f t="shared" si="1"/>
        <v>DC, Indore</v>
      </c>
      <c r="G23" s="12" t="s">
        <v>215</v>
      </c>
      <c r="H23" s="23" t="str">
        <f t="shared" si="0"/>
        <v>dcindore@123</v>
      </c>
    </row>
    <row r="24" spans="1:8" ht="28.2" x14ac:dyDescent="0.3">
      <c r="A24" s="4">
        <v>23</v>
      </c>
      <c r="B24" s="4" t="s">
        <v>114</v>
      </c>
      <c r="C24" s="24" t="s">
        <v>157</v>
      </c>
      <c r="D24" s="5" t="s">
        <v>10</v>
      </c>
      <c r="E24" s="11">
        <v>451</v>
      </c>
      <c r="F24" s="12" t="str">
        <f t="shared" si="1"/>
        <v>DC, Jabalpur</v>
      </c>
      <c r="G24" s="12" t="s">
        <v>216</v>
      </c>
      <c r="H24" s="23" t="str">
        <f t="shared" si="0"/>
        <v>dcjabalpur@123</v>
      </c>
    </row>
    <row r="25" spans="1:8" ht="28.2" x14ac:dyDescent="0.3">
      <c r="A25" s="4">
        <v>24</v>
      </c>
      <c r="B25" s="4" t="s">
        <v>114</v>
      </c>
      <c r="C25" s="24" t="s">
        <v>157</v>
      </c>
      <c r="D25" s="5" t="s">
        <v>45</v>
      </c>
      <c r="E25" s="11">
        <v>464</v>
      </c>
      <c r="F25" s="12" t="str">
        <f t="shared" si="1"/>
        <v>DC, Jhabua</v>
      </c>
      <c r="G25" s="12" t="s">
        <v>217</v>
      </c>
      <c r="H25" s="23" t="str">
        <f t="shared" si="0"/>
        <v>dcjhabua@123</v>
      </c>
    </row>
    <row r="26" spans="1:8" ht="27" x14ac:dyDescent="0.3">
      <c r="A26" s="4">
        <v>25</v>
      </c>
      <c r="B26" s="4" t="s">
        <v>114</v>
      </c>
      <c r="C26" s="24" t="s">
        <v>157</v>
      </c>
      <c r="D26" s="5" t="s">
        <v>175</v>
      </c>
      <c r="E26" s="11">
        <v>450</v>
      </c>
      <c r="F26" s="12" t="str">
        <f t="shared" si="1"/>
        <v>DC, Katni</v>
      </c>
      <c r="G26" s="12" t="s">
        <v>218</v>
      </c>
      <c r="H26" s="23" t="str">
        <f t="shared" si="0"/>
        <v>dckatni@123</v>
      </c>
    </row>
    <row r="27" spans="1:8" ht="28.2" x14ac:dyDescent="0.3">
      <c r="A27" s="4">
        <v>26</v>
      </c>
      <c r="B27" s="4" t="s">
        <v>114</v>
      </c>
      <c r="C27" s="24" t="s">
        <v>157</v>
      </c>
      <c r="D27" s="5" t="s">
        <v>28</v>
      </c>
      <c r="E27" s="11">
        <v>466</v>
      </c>
      <c r="F27" s="12" t="str">
        <f t="shared" si="1"/>
        <v>DC, Khandwa</v>
      </c>
      <c r="G27" s="12" t="s">
        <v>219</v>
      </c>
      <c r="H27" s="23" t="str">
        <f t="shared" si="0"/>
        <v>dckhandwa@123</v>
      </c>
    </row>
    <row r="28" spans="1:8" ht="28.2" x14ac:dyDescent="0.3">
      <c r="A28" s="4">
        <v>27</v>
      </c>
      <c r="B28" s="4" t="s">
        <v>114</v>
      </c>
      <c r="C28" s="24" t="s">
        <v>157</v>
      </c>
      <c r="D28" s="5" t="s">
        <v>176</v>
      </c>
      <c r="E28" s="11">
        <v>440</v>
      </c>
      <c r="F28" s="12" t="str">
        <f t="shared" si="1"/>
        <v>DC, Khargone</v>
      </c>
      <c r="G28" s="12" t="s">
        <v>220</v>
      </c>
      <c r="H28" s="23" t="str">
        <f t="shared" si="0"/>
        <v>dckhargone@123</v>
      </c>
    </row>
    <row r="29" spans="1:8" ht="28.2" x14ac:dyDescent="0.3">
      <c r="A29" s="4">
        <v>28</v>
      </c>
      <c r="B29" s="4" t="s">
        <v>114</v>
      </c>
      <c r="C29" s="24" t="s">
        <v>157</v>
      </c>
      <c r="D29" s="5" t="s">
        <v>177</v>
      </c>
      <c r="E29" s="11">
        <v>454</v>
      </c>
      <c r="F29" s="12" t="str">
        <f t="shared" si="1"/>
        <v>DC, Mandla</v>
      </c>
      <c r="G29" s="12" t="s">
        <v>221</v>
      </c>
      <c r="H29" s="23" t="str">
        <f t="shared" si="0"/>
        <v>dcmandla@123</v>
      </c>
    </row>
    <row r="30" spans="1:8" ht="28.2" x14ac:dyDescent="0.3">
      <c r="A30" s="4">
        <v>29</v>
      </c>
      <c r="B30" s="4" t="s">
        <v>114</v>
      </c>
      <c r="C30" s="24" t="s">
        <v>157</v>
      </c>
      <c r="D30" s="5" t="s">
        <v>178</v>
      </c>
      <c r="E30" s="11">
        <v>433</v>
      </c>
      <c r="F30" s="12" t="str">
        <f t="shared" si="1"/>
        <v>DC, Mandsaur</v>
      </c>
      <c r="G30" s="12" t="s">
        <v>222</v>
      </c>
      <c r="H30" s="23" t="str">
        <f t="shared" si="0"/>
        <v>dcmandsaur@123</v>
      </c>
    </row>
    <row r="31" spans="1:8" ht="28.2" x14ac:dyDescent="0.3">
      <c r="A31" s="4">
        <v>30</v>
      </c>
      <c r="B31" s="4" t="s">
        <v>114</v>
      </c>
      <c r="C31" s="24" t="s">
        <v>157</v>
      </c>
      <c r="D31" s="5" t="s">
        <v>179</v>
      </c>
      <c r="E31" s="11">
        <v>419</v>
      </c>
      <c r="F31" s="12" t="str">
        <f t="shared" si="1"/>
        <v>DC, Morena</v>
      </c>
      <c r="G31" s="12" t="s">
        <v>223</v>
      </c>
      <c r="H31" s="23" t="str">
        <f t="shared" si="0"/>
        <v>dcmorena@123</v>
      </c>
    </row>
    <row r="32" spans="1:8" ht="28.2" x14ac:dyDescent="0.3">
      <c r="A32" s="4">
        <v>31</v>
      </c>
      <c r="B32" s="4" t="s">
        <v>114</v>
      </c>
      <c r="C32" s="24" t="s">
        <v>157</v>
      </c>
      <c r="D32" s="5" t="s">
        <v>180</v>
      </c>
      <c r="E32" s="11">
        <v>452</v>
      </c>
      <c r="F32" s="12" t="str">
        <f t="shared" si="1"/>
        <v>DC, Narsinghpur</v>
      </c>
      <c r="G32" s="12" t="s">
        <v>224</v>
      </c>
      <c r="H32" s="23" t="str">
        <f t="shared" si="0"/>
        <v>dcnarsinghpur@123</v>
      </c>
    </row>
    <row r="33" spans="1:8" ht="28.2" x14ac:dyDescent="0.3">
      <c r="A33" s="4">
        <v>32</v>
      </c>
      <c r="B33" s="4" t="s">
        <v>114</v>
      </c>
      <c r="C33" s="24" t="s">
        <v>157</v>
      </c>
      <c r="D33" s="5" t="s">
        <v>181</v>
      </c>
      <c r="E33" s="11">
        <v>432</v>
      </c>
      <c r="F33" s="12" t="str">
        <f t="shared" si="1"/>
        <v>DC, Neemuch</v>
      </c>
      <c r="G33" s="12" t="s">
        <v>225</v>
      </c>
      <c r="H33" s="23" t="str">
        <f t="shared" si="0"/>
        <v>dcneemuch@123</v>
      </c>
    </row>
    <row r="34" spans="1:8" ht="28.2" x14ac:dyDescent="0.3">
      <c r="A34" s="4">
        <v>33</v>
      </c>
      <c r="B34" s="4" t="s">
        <v>114</v>
      </c>
      <c r="C34" s="24" t="s">
        <v>157</v>
      </c>
      <c r="D34" s="5" t="s">
        <v>182</v>
      </c>
      <c r="E34" s="11">
        <v>722</v>
      </c>
      <c r="F34" s="12" t="str">
        <f t="shared" si="1"/>
        <v>DC, Niwari</v>
      </c>
      <c r="G34" s="12" t="s">
        <v>226</v>
      </c>
      <c r="H34" s="23" t="str">
        <f t="shared" si="0"/>
        <v>dcniwari@123</v>
      </c>
    </row>
    <row r="35" spans="1:8" ht="28.2" x14ac:dyDescent="0.3">
      <c r="A35" s="4">
        <v>34</v>
      </c>
      <c r="B35" s="4" t="s">
        <v>114</v>
      </c>
      <c r="C35" s="24" t="s">
        <v>157</v>
      </c>
      <c r="D35" s="5" t="s">
        <v>56</v>
      </c>
      <c r="E35" s="11">
        <v>426</v>
      </c>
      <c r="F35" s="12" t="str">
        <f t="shared" si="1"/>
        <v>DC, Panna</v>
      </c>
      <c r="G35" s="12" t="s">
        <v>227</v>
      </c>
      <c r="H35" s="23" t="str">
        <f t="shared" si="0"/>
        <v>dcpanna@123</v>
      </c>
    </row>
    <row r="36" spans="1:8" ht="28.2" x14ac:dyDescent="0.3">
      <c r="A36" s="4">
        <v>35</v>
      </c>
      <c r="B36" s="4" t="s">
        <v>114</v>
      </c>
      <c r="C36" s="24" t="s">
        <v>157</v>
      </c>
      <c r="D36" s="5" t="s">
        <v>13</v>
      </c>
      <c r="E36" s="11">
        <v>446</v>
      </c>
      <c r="F36" s="12" t="str">
        <f t="shared" si="1"/>
        <v>DC, Raisen</v>
      </c>
      <c r="G36" s="12" t="s">
        <v>228</v>
      </c>
      <c r="H36" s="23" t="str">
        <f t="shared" si="0"/>
        <v>dcraisen@123</v>
      </c>
    </row>
    <row r="37" spans="1:8" ht="28.2" x14ac:dyDescent="0.3">
      <c r="A37" s="4">
        <v>36</v>
      </c>
      <c r="B37" s="4" t="s">
        <v>114</v>
      </c>
      <c r="C37" s="24" t="s">
        <v>157</v>
      </c>
      <c r="D37" s="5" t="s">
        <v>39</v>
      </c>
      <c r="E37" s="11">
        <v>442</v>
      </c>
      <c r="F37" s="12" t="str">
        <f t="shared" si="1"/>
        <v>DC, Rajgarh</v>
      </c>
      <c r="G37" s="12" t="s">
        <v>229</v>
      </c>
      <c r="H37" s="23" t="str">
        <f t="shared" si="0"/>
        <v>dcrajgarh@123</v>
      </c>
    </row>
    <row r="38" spans="1:8" ht="28.2" x14ac:dyDescent="0.3">
      <c r="A38" s="4">
        <v>37</v>
      </c>
      <c r="B38" s="4" t="s">
        <v>114</v>
      </c>
      <c r="C38" s="24" t="s">
        <v>157</v>
      </c>
      <c r="D38" s="5" t="s">
        <v>19</v>
      </c>
      <c r="E38" s="11">
        <v>434</v>
      </c>
      <c r="F38" s="12" t="str">
        <f t="shared" si="1"/>
        <v>DC, Ratlam</v>
      </c>
      <c r="G38" s="12" t="s">
        <v>230</v>
      </c>
      <c r="H38" s="23" t="str">
        <f t="shared" si="0"/>
        <v>dcratlam@123</v>
      </c>
    </row>
    <row r="39" spans="1:8" ht="27" x14ac:dyDescent="0.3">
      <c r="A39" s="4">
        <v>38</v>
      </c>
      <c r="B39" s="4" t="s">
        <v>114</v>
      </c>
      <c r="C39" s="24" t="s">
        <v>157</v>
      </c>
      <c r="D39" s="5" t="s">
        <v>183</v>
      </c>
      <c r="E39" s="11">
        <v>430</v>
      </c>
      <c r="F39" s="12" t="str">
        <f t="shared" si="1"/>
        <v>DC, Rewa</v>
      </c>
      <c r="G39" s="12" t="s">
        <v>231</v>
      </c>
      <c r="H39" s="23" t="str">
        <f t="shared" si="0"/>
        <v>dcrewa@123</v>
      </c>
    </row>
    <row r="40" spans="1:8" ht="27" x14ac:dyDescent="0.3">
      <c r="A40" s="4">
        <v>39</v>
      </c>
      <c r="B40" s="4" t="s">
        <v>114</v>
      </c>
      <c r="C40" s="24" t="s">
        <v>157</v>
      </c>
      <c r="D40" s="5" t="s">
        <v>184</v>
      </c>
      <c r="E40" s="11">
        <v>427</v>
      </c>
      <c r="F40" s="12" t="str">
        <f t="shared" si="1"/>
        <v>DC, Sagar</v>
      </c>
      <c r="G40" s="12" t="s">
        <v>232</v>
      </c>
      <c r="H40" s="23" t="str">
        <f t="shared" si="0"/>
        <v>dcsagar@123</v>
      </c>
    </row>
    <row r="41" spans="1:8" ht="27" x14ac:dyDescent="0.3">
      <c r="A41" s="4">
        <v>40</v>
      </c>
      <c r="B41" s="4" t="s">
        <v>114</v>
      </c>
      <c r="C41" s="24" t="s">
        <v>157</v>
      </c>
      <c r="D41" s="5" t="s">
        <v>185</v>
      </c>
      <c r="E41" s="11">
        <v>429</v>
      </c>
      <c r="F41" s="12" t="str">
        <f t="shared" si="1"/>
        <v>DC, Satna</v>
      </c>
      <c r="G41" s="12" t="s">
        <v>233</v>
      </c>
      <c r="H41" s="23" t="str">
        <f t="shared" si="0"/>
        <v>dcsatna@123</v>
      </c>
    </row>
    <row r="42" spans="1:8" ht="28.2" x14ac:dyDescent="0.3">
      <c r="A42" s="4">
        <v>41</v>
      </c>
      <c r="B42" s="4" t="s">
        <v>114</v>
      </c>
      <c r="C42" s="24" t="s">
        <v>157</v>
      </c>
      <c r="D42" s="5" t="s">
        <v>36</v>
      </c>
      <c r="E42" s="11">
        <v>445</v>
      </c>
      <c r="F42" s="12" t="str">
        <f t="shared" si="1"/>
        <v>DC, Sehore</v>
      </c>
      <c r="G42" s="12" t="s">
        <v>234</v>
      </c>
      <c r="H42" s="23" t="str">
        <f t="shared" si="0"/>
        <v>dcsehore@123</v>
      </c>
    </row>
    <row r="43" spans="1:8" ht="27" x14ac:dyDescent="0.3">
      <c r="A43" s="4">
        <v>42</v>
      </c>
      <c r="B43" s="4" t="s">
        <v>114</v>
      </c>
      <c r="C43" s="24" t="s">
        <v>157</v>
      </c>
      <c r="D43" s="5" t="s">
        <v>73</v>
      </c>
      <c r="E43" s="11">
        <v>456</v>
      </c>
      <c r="F43" s="12" t="str">
        <f t="shared" si="1"/>
        <v>DC, Seoni</v>
      </c>
      <c r="G43" s="12" t="s">
        <v>235</v>
      </c>
      <c r="H43" s="23" t="str">
        <f t="shared" si="0"/>
        <v>dcseoni@123</v>
      </c>
    </row>
    <row r="44" spans="1:8" ht="28.2" x14ac:dyDescent="0.3">
      <c r="A44" s="4">
        <v>43</v>
      </c>
      <c r="B44" s="4" t="s">
        <v>114</v>
      </c>
      <c r="C44" s="24" t="s">
        <v>157</v>
      </c>
      <c r="D44" s="5" t="s">
        <v>5</v>
      </c>
      <c r="E44" s="11">
        <v>460</v>
      </c>
      <c r="F44" s="12" t="str">
        <f t="shared" si="1"/>
        <v>DC, Shahdol</v>
      </c>
      <c r="G44" s="12" t="s">
        <v>236</v>
      </c>
      <c r="H44" s="23" t="str">
        <f t="shared" si="0"/>
        <v>dcshahdol@123</v>
      </c>
    </row>
    <row r="45" spans="1:8" ht="28.2" x14ac:dyDescent="0.3">
      <c r="A45" s="4">
        <v>44</v>
      </c>
      <c r="B45" s="4" t="s">
        <v>114</v>
      </c>
      <c r="C45" s="24" t="s">
        <v>157</v>
      </c>
      <c r="D45" s="5" t="s">
        <v>186</v>
      </c>
      <c r="E45" s="11">
        <v>436</v>
      </c>
      <c r="F45" s="12" t="str">
        <f t="shared" si="1"/>
        <v>DC, Shajapur</v>
      </c>
      <c r="G45" s="12" t="s">
        <v>237</v>
      </c>
      <c r="H45" s="23" t="str">
        <f t="shared" si="0"/>
        <v>dcshajapur@123</v>
      </c>
    </row>
    <row r="46" spans="1:8" ht="28.2" x14ac:dyDescent="0.3">
      <c r="A46" s="4">
        <v>45</v>
      </c>
      <c r="B46" s="4" t="s">
        <v>114</v>
      </c>
      <c r="C46" s="24" t="s">
        <v>157</v>
      </c>
      <c r="D46" s="5" t="s">
        <v>187</v>
      </c>
      <c r="E46" s="11">
        <v>418</v>
      </c>
      <c r="F46" s="12" t="str">
        <f t="shared" si="1"/>
        <v>DC, Sheopur</v>
      </c>
      <c r="G46" s="12" t="s">
        <v>238</v>
      </c>
      <c r="H46" s="23" t="str">
        <f t="shared" si="0"/>
        <v>dcsheopur@123</v>
      </c>
    </row>
    <row r="47" spans="1:8" ht="28.2" x14ac:dyDescent="0.3">
      <c r="A47" s="4">
        <v>46</v>
      </c>
      <c r="B47" s="4" t="s">
        <v>114</v>
      </c>
      <c r="C47" s="24" t="s">
        <v>157</v>
      </c>
      <c r="D47" s="5" t="s">
        <v>42</v>
      </c>
      <c r="E47" s="11">
        <v>423</v>
      </c>
      <c r="F47" s="12" t="str">
        <f t="shared" si="1"/>
        <v>DC, Shivpuri</v>
      </c>
      <c r="G47" s="12" t="s">
        <v>239</v>
      </c>
      <c r="H47" s="23" t="str">
        <f t="shared" si="0"/>
        <v>dcshivpuri@123</v>
      </c>
    </row>
    <row r="48" spans="1:8" ht="27" x14ac:dyDescent="0.3">
      <c r="A48" s="4">
        <v>47</v>
      </c>
      <c r="B48" s="4" t="s">
        <v>114</v>
      </c>
      <c r="C48" s="24" t="s">
        <v>157</v>
      </c>
      <c r="D48" s="5" t="s">
        <v>188</v>
      </c>
      <c r="E48" s="11">
        <v>462</v>
      </c>
      <c r="F48" s="12" t="str">
        <f t="shared" si="1"/>
        <v>DC, Sidhi</v>
      </c>
      <c r="G48" s="12" t="s">
        <v>240</v>
      </c>
      <c r="H48" s="23" t="str">
        <f t="shared" si="0"/>
        <v>dcsidhi@123</v>
      </c>
    </row>
    <row r="49" spans="1:8" ht="28.2" x14ac:dyDescent="0.3">
      <c r="A49" s="4">
        <v>48</v>
      </c>
      <c r="B49" s="4" t="s">
        <v>114</v>
      </c>
      <c r="C49" s="24" t="s">
        <v>157</v>
      </c>
      <c r="D49" s="5" t="s">
        <v>189</v>
      </c>
      <c r="E49" s="11">
        <v>463</v>
      </c>
      <c r="F49" s="12" t="str">
        <f t="shared" si="1"/>
        <v>DC, Singrauli</v>
      </c>
      <c r="G49" s="12" t="s">
        <v>241</v>
      </c>
      <c r="H49" s="23" t="str">
        <f t="shared" si="0"/>
        <v>dcsingrauli@123</v>
      </c>
    </row>
    <row r="50" spans="1:8" ht="28.2" x14ac:dyDescent="0.3">
      <c r="A50" s="4">
        <v>49</v>
      </c>
      <c r="B50" s="4" t="s">
        <v>114</v>
      </c>
      <c r="C50" s="24" t="s">
        <v>157</v>
      </c>
      <c r="D50" s="5" t="s">
        <v>7</v>
      </c>
      <c r="E50" s="11">
        <v>424</v>
      </c>
      <c r="F50" s="12" t="str">
        <f t="shared" si="1"/>
        <v>DC, Tikamgarh</v>
      </c>
      <c r="G50" s="12" t="s">
        <v>242</v>
      </c>
      <c r="H50" s="23" t="str">
        <f t="shared" si="0"/>
        <v>dctikamgarh@123</v>
      </c>
    </row>
    <row r="51" spans="1:8" ht="28.2" x14ac:dyDescent="0.3">
      <c r="A51" s="4">
        <v>50</v>
      </c>
      <c r="B51" s="4" t="s">
        <v>114</v>
      </c>
      <c r="C51" s="24" t="s">
        <v>157</v>
      </c>
      <c r="D51" s="5" t="s">
        <v>190</v>
      </c>
      <c r="E51" s="11">
        <v>435</v>
      </c>
      <c r="F51" s="12" t="str">
        <f t="shared" si="1"/>
        <v>DC, Ujjain</v>
      </c>
      <c r="G51" s="12" t="s">
        <v>243</v>
      </c>
      <c r="H51" s="23" t="str">
        <f t="shared" si="0"/>
        <v>dcujjain@123</v>
      </c>
    </row>
    <row r="52" spans="1:8" ht="28.2" x14ac:dyDescent="0.3">
      <c r="A52" s="4">
        <v>51</v>
      </c>
      <c r="B52" s="4" t="s">
        <v>114</v>
      </c>
      <c r="C52" s="24" t="s">
        <v>157</v>
      </c>
      <c r="D52" s="5" t="s">
        <v>191</v>
      </c>
      <c r="E52" s="11">
        <v>431</v>
      </c>
      <c r="F52" s="12" t="str">
        <f t="shared" si="1"/>
        <v>DC, Umaria</v>
      </c>
      <c r="G52" s="12" t="s">
        <v>244</v>
      </c>
      <c r="H52" s="23" t="str">
        <f t="shared" si="0"/>
        <v>dcumaria@123</v>
      </c>
    </row>
    <row r="53" spans="1:8" ht="28.2" x14ac:dyDescent="0.3">
      <c r="A53" s="4">
        <v>52</v>
      </c>
      <c r="B53" s="4" t="s">
        <v>114</v>
      </c>
      <c r="C53" s="24" t="s">
        <v>157</v>
      </c>
      <c r="D53" s="5" t="s">
        <v>65</v>
      </c>
      <c r="E53" s="11">
        <v>443</v>
      </c>
      <c r="F53" s="12" t="str">
        <f t="shared" si="1"/>
        <v>DC, Vidisha</v>
      </c>
      <c r="G53" s="12" t="s">
        <v>245</v>
      </c>
      <c r="H53" s="23" t="str">
        <f t="shared" si="0"/>
        <v>dcvidisha@123</v>
      </c>
    </row>
    <row r="54" spans="1:8" ht="28.2" x14ac:dyDescent="0.3">
      <c r="A54" s="4">
        <v>53</v>
      </c>
      <c r="B54" s="4" t="s">
        <v>114</v>
      </c>
      <c r="C54" s="24" t="s">
        <v>157</v>
      </c>
      <c r="D54" s="5" t="s">
        <v>775</v>
      </c>
      <c r="E54" s="11">
        <v>766</v>
      </c>
      <c r="F54" s="12" t="str">
        <f t="shared" ref="F54" si="2">CONCATENATE("DC, ",D54)</f>
        <v>DC, Mauganj</v>
      </c>
      <c r="G54" s="12" t="s">
        <v>780</v>
      </c>
      <c r="H54" s="23" t="str">
        <f t="shared" si="0"/>
        <v>dcmauganj@123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7"/>
  <sheetViews>
    <sheetView workbookViewId="0">
      <selection activeCell="G14" sqref="G14"/>
    </sheetView>
  </sheetViews>
  <sheetFormatPr defaultColWidth="46" defaultRowHeight="14.4" x14ac:dyDescent="0.3"/>
  <cols>
    <col min="1" max="1" width="5.21875" bestFit="1" customWidth="1"/>
    <col min="2" max="2" width="8.21875" bestFit="1" customWidth="1"/>
    <col min="3" max="3" width="15.5546875" bestFit="1" customWidth="1"/>
    <col min="4" max="4" width="17.21875" bestFit="1" customWidth="1"/>
    <col min="5" max="5" width="29" bestFit="1" customWidth="1"/>
    <col min="6" max="6" width="14.21875" bestFit="1" customWidth="1"/>
    <col min="7" max="7" width="17.77734375" bestFit="1" customWidth="1"/>
  </cols>
  <sheetData>
    <row r="1" spans="1:7" ht="26.4" x14ac:dyDescent="0.3">
      <c r="A1" s="2" t="s">
        <v>0</v>
      </c>
      <c r="B1" s="2" t="s">
        <v>89</v>
      </c>
      <c r="C1" s="2" t="s">
        <v>115</v>
      </c>
      <c r="D1" s="2" t="s">
        <v>249</v>
      </c>
      <c r="E1" s="2" t="s">
        <v>2</v>
      </c>
      <c r="F1" s="3" t="s">
        <v>75</v>
      </c>
      <c r="G1" s="3" t="s">
        <v>76</v>
      </c>
    </row>
    <row r="2" spans="1:7" x14ac:dyDescent="0.3">
      <c r="A2" s="4">
        <v>1</v>
      </c>
      <c r="B2" s="4" t="s">
        <v>114</v>
      </c>
      <c r="C2" s="5" t="s">
        <v>567</v>
      </c>
      <c r="D2" s="5" t="s">
        <v>193</v>
      </c>
      <c r="E2" s="12" t="str">
        <f>C2</f>
        <v>ADG</v>
      </c>
      <c r="F2" s="12" t="s">
        <v>566</v>
      </c>
      <c r="G2" s="12" t="str">
        <f>CONCATENATE(F2,"@123")</f>
        <v>adg@123</v>
      </c>
    </row>
    <row r="3" spans="1:7" x14ac:dyDescent="0.3">
      <c r="A3" s="4">
        <f>A2+1</f>
        <v>2</v>
      </c>
      <c r="B3" s="4" t="s">
        <v>114</v>
      </c>
      <c r="C3" s="5" t="s">
        <v>192</v>
      </c>
      <c r="D3" s="5" t="s">
        <v>193</v>
      </c>
      <c r="E3" s="12" t="str">
        <f>C3</f>
        <v>DG, Home Guard</v>
      </c>
      <c r="F3" s="12" t="s">
        <v>674</v>
      </c>
      <c r="G3" s="12" t="str">
        <f>CONCATENATE(F3,"@123")</f>
        <v>dg@123</v>
      </c>
    </row>
    <row r="4" spans="1:7" x14ac:dyDescent="0.3">
      <c r="A4" s="4">
        <f t="shared" ref="A4:A7" si="0">A3+1</f>
        <v>3</v>
      </c>
      <c r="B4" s="4" t="s">
        <v>114</v>
      </c>
      <c r="C4" s="5" t="s">
        <v>733</v>
      </c>
      <c r="D4" s="5" t="s">
        <v>193</v>
      </c>
      <c r="E4" s="12" t="s">
        <v>734</v>
      </c>
      <c r="F4" s="6" t="s">
        <v>731</v>
      </c>
      <c r="G4" s="19" t="s">
        <v>732</v>
      </c>
    </row>
    <row r="5" spans="1:7" x14ac:dyDescent="0.3">
      <c r="A5" s="4">
        <f t="shared" si="0"/>
        <v>4</v>
      </c>
      <c r="B5" s="4" t="s">
        <v>114</v>
      </c>
      <c r="C5" s="5" t="s">
        <v>503</v>
      </c>
      <c r="D5" s="5" t="s">
        <v>193</v>
      </c>
      <c r="E5" s="12" t="s">
        <v>504</v>
      </c>
      <c r="F5" s="6" t="s">
        <v>651</v>
      </c>
      <c r="G5" s="19" t="s">
        <v>652</v>
      </c>
    </row>
    <row r="6" spans="1:7" x14ac:dyDescent="0.3">
      <c r="A6" s="4">
        <f t="shared" si="0"/>
        <v>5</v>
      </c>
      <c r="B6" s="4" t="s">
        <v>114</v>
      </c>
      <c r="C6" s="5" t="s">
        <v>505</v>
      </c>
      <c r="D6" s="5" t="s">
        <v>193</v>
      </c>
      <c r="E6" s="12" t="s">
        <v>506</v>
      </c>
      <c r="F6" s="6" t="s">
        <v>568</v>
      </c>
      <c r="G6" s="17" t="s">
        <v>507</v>
      </c>
    </row>
    <row r="7" spans="1:7" x14ac:dyDescent="0.3">
      <c r="A7" s="4">
        <f t="shared" si="0"/>
        <v>6</v>
      </c>
      <c r="B7" s="4" t="s">
        <v>114</v>
      </c>
      <c r="C7" s="5" t="s">
        <v>508</v>
      </c>
      <c r="D7" s="5" t="s">
        <v>193</v>
      </c>
      <c r="E7" s="12" t="s">
        <v>509</v>
      </c>
      <c r="F7" s="6" t="s">
        <v>569</v>
      </c>
      <c r="G7" s="17" t="s">
        <v>510</v>
      </c>
    </row>
  </sheetData>
  <hyperlinks>
    <hyperlink ref="G6" r:id="rId1" xr:uid="{00000000-0004-0000-0500-000000000000}"/>
    <hyperlink ref="G7" r:id="rId2" xr:uid="{00000000-0004-0000-0500-000001000000}"/>
    <hyperlink ref="G4" r:id="rId3" xr:uid="{00000000-0004-0000-0500-000002000000}"/>
    <hyperlink ref="G5" r:id="rId4" xr:uid="{00000000-0004-0000-0500-000003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54"/>
  <sheetViews>
    <sheetView tabSelected="1" workbookViewId="0">
      <selection activeCell="I6" sqref="I6"/>
    </sheetView>
  </sheetViews>
  <sheetFormatPr defaultColWidth="18.77734375" defaultRowHeight="14.4" x14ac:dyDescent="0.3"/>
  <cols>
    <col min="1" max="1" width="4.77734375" bestFit="1" customWidth="1"/>
    <col min="2" max="2" width="18.77734375" bestFit="1" customWidth="1"/>
    <col min="3" max="3" width="10.44140625" bestFit="1" customWidth="1"/>
    <col min="4" max="4" width="12.21875" customWidth="1"/>
    <col min="5" max="5" width="21.109375" customWidth="1"/>
    <col min="6" max="6" width="18.77734375" customWidth="1"/>
    <col min="7" max="7" width="24.6640625" customWidth="1"/>
    <col min="8" max="8" width="19.77734375" bestFit="1" customWidth="1"/>
  </cols>
  <sheetData>
    <row r="1" spans="1:7" ht="26.4" x14ac:dyDescent="0.3">
      <c r="A1" s="2" t="s">
        <v>0</v>
      </c>
      <c r="B1" s="2" t="s">
        <v>115</v>
      </c>
      <c r="C1" s="2" t="s">
        <v>1</v>
      </c>
      <c r="D1" s="2" t="s">
        <v>260</v>
      </c>
      <c r="E1" s="2" t="s">
        <v>2</v>
      </c>
      <c r="F1" s="3" t="s">
        <v>75</v>
      </c>
      <c r="G1" s="3" t="s">
        <v>76</v>
      </c>
    </row>
    <row r="2" spans="1:7" x14ac:dyDescent="0.3">
      <c r="A2" s="4">
        <v>1</v>
      </c>
      <c r="B2" s="5" t="s">
        <v>563</v>
      </c>
      <c r="C2" s="5" t="s">
        <v>160</v>
      </c>
      <c r="D2" s="11">
        <v>501</v>
      </c>
      <c r="E2" s="12" t="str">
        <f t="shared" ref="E2:E33" si="0">CONCATENATE("DA, ",C2)</f>
        <v>DA, Agar malwa</v>
      </c>
      <c r="F2" s="12" t="s">
        <v>570</v>
      </c>
      <c r="G2" s="12" t="s">
        <v>511</v>
      </c>
    </row>
    <row r="3" spans="1:7" x14ac:dyDescent="0.3">
      <c r="A3" s="4">
        <v>2</v>
      </c>
      <c r="B3" s="5" t="s">
        <v>563</v>
      </c>
      <c r="C3" s="5" t="s">
        <v>161</v>
      </c>
      <c r="D3" s="11" t="s">
        <v>262</v>
      </c>
      <c r="E3" s="12" t="str">
        <f t="shared" si="0"/>
        <v>DA, Alirajpur</v>
      </c>
      <c r="F3" s="12" t="s">
        <v>571</v>
      </c>
      <c r="G3" s="12" t="s">
        <v>512</v>
      </c>
    </row>
    <row r="4" spans="1:7" x14ac:dyDescent="0.3">
      <c r="A4" s="4">
        <v>3</v>
      </c>
      <c r="B4" s="5" t="s">
        <v>563</v>
      </c>
      <c r="C4" s="5" t="s">
        <v>162</v>
      </c>
      <c r="D4" s="11" t="s">
        <v>263</v>
      </c>
      <c r="E4" s="12" t="str">
        <f t="shared" si="0"/>
        <v>DA, Anuppur</v>
      </c>
      <c r="F4" s="12" t="s">
        <v>572</v>
      </c>
      <c r="G4" s="12" t="s">
        <v>513</v>
      </c>
    </row>
    <row r="5" spans="1:7" x14ac:dyDescent="0.3">
      <c r="A5" s="4">
        <v>4</v>
      </c>
      <c r="B5" s="5" t="s">
        <v>563</v>
      </c>
      <c r="C5" s="5" t="s">
        <v>62</v>
      </c>
      <c r="D5" s="11" t="s">
        <v>264</v>
      </c>
      <c r="E5" s="12" t="str">
        <f t="shared" si="0"/>
        <v>DA, Ashoknagar</v>
      </c>
      <c r="F5" s="12" t="s">
        <v>573</v>
      </c>
      <c r="G5" s="12" t="s">
        <v>514</v>
      </c>
    </row>
    <row r="6" spans="1:7" x14ac:dyDescent="0.3">
      <c r="A6" s="4">
        <v>5</v>
      </c>
      <c r="B6" s="5" t="s">
        <v>563</v>
      </c>
      <c r="C6" s="5" t="s">
        <v>16</v>
      </c>
      <c r="D6" s="11" t="s">
        <v>265</v>
      </c>
      <c r="E6" s="12" t="str">
        <f t="shared" si="0"/>
        <v>DA, Balaghat</v>
      </c>
      <c r="F6" s="12" t="s">
        <v>574</v>
      </c>
      <c r="G6" s="12" t="s">
        <v>515</v>
      </c>
    </row>
    <row r="7" spans="1:7" x14ac:dyDescent="0.3">
      <c r="A7" s="4">
        <v>6</v>
      </c>
      <c r="B7" s="5" t="s">
        <v>563</v>
      </c>
      <c r="C7" s="5" t="s">
        <v>163</v>
      </c>
      <c r="D7" s="11" t="s">
        <v>266</v>
      </c>
      <c r="E7" s="12" t="str">
        <f t="shared" si="0"/>
        <v>DA, Barwani</v>
      </c>
      <c r="F7" s="12" t="s">
        <v>575</v>
      </c>
      <c r="G7" s="12" t="s">
        <v>516</v>
      </c>
    </row>
    <row r="8" spans="1:7" x14ac:dyDescent="0.3">
      <c r="A8" s="4">
        <v>7</v>
      </c>
      <c r="B8" s="5" t="s">
        <v>563</v>
      </c>
      <c r="C8" s="5" t="s">
        <v>53</v>
      </c>
      <c r="D8" s="11" t="s">
        <v>267</v>
      </c>
      <c r="E8" s="12" t="str">
        <f t="shared" si="0"/>
        <v>DA, Betul</v>
      </c>
      <c r="F8" s="12" t="s">
        <v>576</v>
      </c>
      <c r="G8" s="12" t="s">
        <v>517</v>
      </c>
    </row>
    <row r="9" spans="1:7" x14ac:dyDescent="0.3">
      <c r="A9" s="4">
        <v>8</v>
      </c>
      <c r="B9" s="5" t="s">
        <v>563</v>
      </c>
      <c r="C9" s="5" t="s">
        <v>164</v>
      </c>
      <c r="D9" s="11" t="s">
        <v>268</v>
      </c>
      <c r="E9" s="12" t="str">
        <f t="shared" si="0"/>
        <v>DA, Bhind</v>
      </c>
      <c r="F9" s="12" t="s">
        <v>577</v>
      </c>
      <c r="G9" s="12" t="s">
        <v>518</v>
      </c>
    </row>
    <row r="10" spans="1:7" x14ac:dyDescent="0.3">
      <c r="A10" s="4">
        <v>9</v>
      </c>
      <c r="B10" s="5" t="s">
        <v>563</v>
      </c>
      <c r="C10" s="5" t="s">
        <v>32</v>
      </c>
      <c r="D10" s="11" t="s">
        <v>269</v>
      </c>
      <c r="E10" s="12" t="str">
        <f t="shared" si="0"/>
        <v>DA, Bhopal</v>
      </c>
      <c r="F10" s="12" t="s">
        <v>578</v>
      </c>
      <c r="G10" s="12" t="s">
        <v>519</v>
      </c>
    </row>
    <row r="11" spans="1:7" x14ac:dyDescent="0.3">
      <c r="A11" s="4">
        <v>10</v>
      </c>
      <c r="B11" s="5" t="s">
        <v>563</v>
      </c>
      <c r="C11" s="5" t="s">
        <v>165</v>
      </c>
      <c r="D11" s="11" t="s">
        <v>270</v>
      </c>
      <c r="E11" s="12" t="str">
        <f t="shared" si="0"/>
        <v>DA, Burhanpur</v>
      </c>
      <c r="F11" s="12" t="s">
        <v>579</v>
      </c>
      <c r="G11" s="12" t="s">
        <v>520</v>
      </c>
    </row>
    <row r="12" spans="1:7" x14ac:dyDescent="0.3">
      <c r="A12" s="4">
        <v>11</v>
      </c>
      <c r="B12" s="5" t="s">
        <v>563</v>
      </c>
      <c r="C12" s="5" t="s">
        <v>166</v>
      </c>
      <c r="D12" s="11" t="s">
        <v>271</v>
      </c>
      <c r="E12" s="12" t="str">
        <f t="shared" si="0"/>
        <v>DA, Chhatarpur</v>
      </c>
      <c r="F12" s="12" t="s">
        <v>580</v>
      </c>
      <c r="G12" s="12" t="s">
        <v>521</v>
      </c>
    </row>
    <row r="13" spans="1:7" x14ac:dyDescent="0.3">
      <c r="A13" s="4">
        <v>12</v>
      </c>
      <c r="B13" s="5" t="s">
        <v>563</v>
      </c>
      <c r="C13" s="5" t="s">
        <v>167</v>
      </c>
      <c r="D13" s="11" t="s">
        <v>272</v>
      </c>
      <c r="E13" s="12" t="str">
        <f t="shared" si="0"/>
        <v>DA, Chhindwara</v>
      </c>
      <c r="F13" s="12" t="s">
        <v>581</v>
      </c>
      <c r="G13" s="12" t="s">
        <v>522</v>
      </c>
    </row>
    <row r="14" spans="1:7" x14ac:dyDescent="0.3">
      <c r="A14" s="4">
        <v>13</v>
      </c>
      <c r="B14" s="5" t="s">
        <v>563</v>
      </c>
      <c r="C14" s="5" t="s">
        <v>168</v>
      </c>
      <c r="D14" s="11" t="s">
        <v>273</v>
      </c>
      <c r="E14" s="12" t="str">
        <f t="shared" si="0"/>
        <v>DA, Damoh</v>
      </c>
      <c r="F14" s="12" t="s">
        <v>582</v>
      </c>
      <c r="G14" s="12" t="s">
        <v>523</v>
      </c>
    </row>
    <row r="15" spans="1:7" x14ac:dyDescent="0.3">
      <c r="A15" s="4">
        <v>14</v>
      </c>
      <c r="B15" s="5" t="s">
        <v>563</v>
      </c>
      <c r="C15" s="5" t="s">
        <v>169</v>
      </c>
      <c r="D15" s="11" t="s">
        <v>274</v>
      </c>
      <c r="E15" s="12" t="str">
        <f t="shared" si="0"/>
        <v>DA, Datia</v>
      </c>
      <c r="F15" s="12" t="s">
        <v>583</v>
      </c>
      <c r="G15" s="12" t="s">
        <v>524</v>
      </c>
    </row>
    <row r="16" spans="1:7" x14ac:dyDescent="0.3">
      <c r="A16" s="4">
        <v>15</v>
      </c>
      <c r="B16" s="5" t="s">
        <v>563</v>
      </c>
      <c r="C16" s="5" t="s">
        <v>170</v>
      </c>
      <c r="D16" s="11" t="s">
        <v>275</v>
      </c>
      <c r="E16" s="12" t="str">
        <f t="shared" si="0"/>
        <v>DA, Dewas</v>
      </c>
      <c r="F16" s="12" t="s">
        <v>584</v>
      </c>
      <c r="G16" s="12" t="s">
        <v>525</v>
      </c>
    </row>
    <row r="17" spans="1:9" x14ac:dyDescent="0.3">
      <c r="A17" s="4">
        <v>16</v>
      </c>
      <c r="B17" s="5" t="s">
        <v>563</v>
      </c>
      <c r="C17" s="5" t="s">
        <v>48</v>
      </c>
      <c r="D17" s="11" t="s">
        <v>276</v>
      </c>
      <c r="E17" s="12" t="str">
        <f t="shared" si="0"/>
        <v>DA, Dhar</v>
      </c>
      <c r="F17" s="12" t="s">
        <v>585</v>
      </c>
      <c r="G17" s="12" t="s">
        <v>526</v>
      </c>
    </row>
    <row r="18" spans="1:9" x14ac:dyDescent="0.3">
      <c r="A18" s="4">
        <v>17</v>
      </c>
      <c r="B18" s="5" t="s">
        <v>563</v>
      </c>
      <c r="C18" s="5" t="s">
        <v>171</v>
      </c>
      <c r="D18" s="11" t="s">
        <v>277</v>
      </c>
      <c r="E18" s="12" t="str">
        <f t="shared" si="0"/>
        <v>DA, Dindori</v>
      </c>
      <c r="F18" s="12" t="s">
        <v>653</v>
      </c>
      <c r="G18" s="12" t="s">
        <v>527</v>
      </c>
    </row>
    <row r="19" spans="1:9" x14ac:dyDescent="0.3">
      <c r="A19" s="4">
        <v>18</v>
      </c>
      <c r="B19" s="5" t="s">
        <v>563</v>
      </c>
      <c r="C19" s="5" t="s">
        <v>25</v>
      </c>
      <c r="D19" s="11" t="s">
        <v>278</v>
      </c>
      <c r="E19" s="12" t="str">
        <f t="shared" si="0"/>
        <v>DA, Guna</v>
      </c>
      <c r="F19" s="12" t="s">
        <v>654</v>
      </c>
      <c r="G19" s="12" t="s">
        <v>528</v>
      </c>
    </row>
    <row r="20" spans="1:9" x14ac:dyDescent="0.3">
      <c r="A20" s="4">
        <v>19</v>
      </c>
      <c r="B20" s="5" t="s">
        <v>563</v>
      </c>
      <c r="C20" s="5" t="s">
        <v>172</v>
      </c>
      <c r="D20" s="11" t="s">
        <v>279</v>
      </c>
      <c r="E20" s="12" t="str">
        <f t="shared" si="0"/>
        <v>DA, Gwalior</v>
      </c>
      <c r="F20" s="12" t="s">
        <v>655</v>
      </c>
      <c r="G20" s="12" t="s">
        <v>529</v>
      </c>
    </row>
    <row r="21" spans="1:9" x14ac:dyDescent="0.3">
      <c r="A21" s="4">
        <v>20</v>
      </c>
      <c r="B21" s="5" t="s">
        <v>563</v>
      </c>
      <c r="C21" s="5" t="s">
        <v>173</v>
      </c>
      <c r="D21" s="11" t="s">
        <v>280</v>
      </c>
      <c r="E21" s="12" t="str">
        <f t="shared" si="0"/>
        <v>DA, Harda</v>
      </c>
      <c r="F21" s="12" t="s">
        <v>656</v>
      </c>
      <c r="G21" s="12" t="s">
        <v>530</v>
      </c>
    </row>
    <row r="22" spans="1:9" x14ac:dyDescent="0.3">
      <c r="A22" s="4">
        <v>21</v>
      </c>
      <c r="B22" s="5" t="s">
        <v>563</v>
      </c>
      <c r="C22" s="5" t="s">
        <v>70</v>
      </c>
      <c r="D22" s="11" t="s">
        <v>281</v>
      </c>
      <c r="E22" s="12" t="str">
        <f t="shared" si="0"/>
        <v>DA, Hoshangabad</v>
      </c>
      <c r="F22" s="12" t="s">
        <v>657</v>
      </c>
      <c r="G22" s="12" t="s">
        <v>531</v>
      </c>
      <c r="I22" s="18"/>
    </row>
    <row r="23" spans="1:9" x14ac:dyDescent="0.3">
      <c r="A23" s="4">
        <v>22</v>
      </c>
      <c r="B23" s="5" t="s">
        <v>563</v>
      </c>
      <c r="C23" s="5" t="s">
        <v>174</v>
      </c>
      <c r="D23" s="11" t="s">
        <v>282</v>
      </c>
      <c r="E23" s="12" t="str">
        <f t="shared" si="0"/>
        <v>DA, Indore</v>
      </c>
      <c r="F23" s="12" t="s">
        <v>658</v>
      </c>
      <c r="G23" s="12" t="s">
        <v>532</v>
      </c>
    </row>
    <row r="24" spans="1:9" x14ac:dyDescent="0.3">
      <c r="A24" s="4">
        <v>23</v>
      </c>
      <c r="B24" s="5" t="s">
        <v>563</v>
      </c>
      <c r="C24" s="5" t="s">
        <v>10</v>
      </c>
      <c r="D24" s="11" t="s">
        <v>283</v>
      </c>
      <c r="E24" s="12" t="str">
        <f t="shared" si="0"/>
        <v>DA, Jabalpur</v>
      </c>
      <c r="F24" s="12" t="s">
        <v>659</v>
      </c>
      <c r="G24" s="12" t="s">
        <v>533</v>
      </c>
    </row>
    <row r="25" spans="1:9" x14ac:dyDescent="0.3">
      <c r="A25" s="4">
        <v>24</v>
      </c>
      <c r="B25" s="5" t="s">
        <v>563</v>
      </c>
      <c r="C25" s="5" t="s">
        <v>45</v>
      </c>
      <c r="D25" s="11" t="s">
        <v>284</v>
      </c>
      <c r="E25" s="12" t="str">
        <f t="shared" si="0"/>
        <v>DA, Jhabua</v>
      </c>
      <c r="F25" s="12" t="s">
        <v>660</v>
      </c>
      <c r="G25" s="12" t="s">
        <v>534</v>
      </c>
    </row>
    <row r="26" spans="1:9" x14ac:dyDescent="0.3">
      <c r="A26" s="4">
        <v>25</v>
      </c>
      <c r="B26" s="5" t="s">
        <v>563</v>
      </c>
      <c r="C26" s="5" t="s">
        <v>175</v>
      </c>
      <c r="D26" s="11" t="s">
        <v>285</v>
      </c>
      <c r="E26" s="12" t="str">
        <f t="shared" si="0"/>
        <v>DA, Katni</v>
      </c>
      <c r="F26" s="12" t="s">
        <v>661</v>
      </c>
      <c r="G26" s="12" t="s">
        <v>535</v>
      </c>
    </row>
    <row r="27" spans="1:9" x14ac:dyDescent="0.3">
      <c r="A27" s="4">
        <v>26</v>
      </c>
      <c r="B27" s="5" t="s">
        <v>563</v>
      </c>
      <c r="C27" s="5" t="s">
        <v>28</v>
      </c>
      <c r="D27" s="11" t="s">
        <v>286</v>
      </c>
      <c r="E27" s="12" t="str">
        <f t="shared" si="0"/>
        <v>DA, Khandwa</v>
      </c>
      <c r="F27" s="12" t="s">
        <v>662</v>
      </c>
      <c r="G27" s="12" t="s">
        <v>536</v>
      </c>
    </row>
    <row r="28" spans="1:9" x14ac:dyDescent="0.3">
      <c r="A28" s="4">
        <v>27</v>
      </c>
      <c r="B28" s="5" t="s">
        <v>563</v>
      </c>
      <c r="C28" s="5" t="s">
        <v>176</v>
      </c>
      <c r="D28" s="11" t="s">
        <v>287</v>
      </c>
      <c r="E28" s="12" t="str">
        <f t="shared" si="0"/>
        <v>DA, Khargone</v>
      </c>
      <c r="F28" s="12" t="s">
        <v>663</v>
      </c>
      <c r="G28" s="12" t="s">
        <v>537</v>
      </c>
    </row>
    <row r="29" spans="1:9" x14ac:dyDescent="0.3">
      <c r="A29" s="4">
        <v>28</v>
      </c>
      <c r="B29" s="5" t="s">
        <v>563</v>
      </c>
      <c r="C29" s="5" t="s">
        <v>177</v>
      </c>
      <c r="D29" s="11" t="s">
        <v>288</v>
      </c>
      <c r="E29" s="12" t="str">
        <f t="shared" si="0"/>
        <v>DA, Mandla</v>
      </c>
      <c r="F29" s="12" t="s">
        <v>664</v>
      </c>
      <c r="G29" s="12" t="s">
        <v>538</v>
      </c>
    </row>
    <row r="30" spans="1:9" x14ac:dyDescent="0.3">
      <c r="A30" s="4">
        <v>29</v>
      </c>
      <c r="B30" s="5" t="s">
        <v>563</v>
      </c>
      <c r="C30" s="5" t="s">
        <v>178</v>
      </c>
      <c r="D30" s="11" t="s">
        <v>289</v>
      </c>
      <c r="E30" s="12" t="str">
        <f t="shared" si="0"/>
        <v>DA, Mandsaur</v>
      </c>
      <c r="F30" s="12" t="s">
        <v>665</v>
      </c>
      <c r="G30" s="12" t="s">
        <v>539</v>
      </c>
    </row>
    <row r="31" spans="1:9" x14ac:dyDescent="0.3">
      <c r="A31" s="4">
        <v>30</v>
      </c>
      <c r="B31" s="5" t="s">
        <v>563</v>
      </c>
      <c r="C31" s="5" t="s">
        <v>179</v>
      </c>
      <c r="D31" s="11" t="s">
        <v>290</v>
      </c>
      <c r="E31" s="12" t="str">
        <f t="shared" si="0"/>
        <v>DA, Morena</v>
      </c>
      <c r="F31" s="12" t="s">
        <v>666</v>
      </c>
      <c r="G31" s="12" t="s">
        <v>540</v>
      </c>
    </row>
    <row r="32" spans="1:9" x14ac:dyDescent="0.3">
      <c r="A32" s="4">
        <v>31</v>
      </c>
      <c r="B32" s="5" t="s">
        <v>563</v>
      </c>
      <c r="C32" s="5" t="s">
        <v>180</v>
      </c>
      <c r="D32" s="11" t="s">
        <v>291</v>
      </c>
      <c r="E32" s="12" t="str">
        <f t="shared" si="0"/>
        <v>DA, Narsinghpur</v>
      </c>
      <c r="F32" s="12" t="s">
        <v>667</v>
      </c>
      <c r="G32" s="12" t="s">
        <v>541</v>
      </c>
    </row>
    <row r="33" spans="1:7" x14ac:dyDescent="0.3">
      <c r="A33" s="4">
        <v>32</v>
      </c>
      <c r="B33" s="5" t="s">
        <v>563</v>
      </c>
      <c r="C33" s="5" t="s">
        <v>181</v>
      </c>
      <c r="D33" s="11" t="s">
        <v>292</v>
      </c>
      <c r="E33" s="12" t="str">
        <f t="shared" si="0"/>
        <v>DA, Neemuch</v>
      </c>
      <c r="F33" s="12" t="s">
        <v>668</v>
      </c>
      <c r="G33" s="12" t="s">
        <v>542</v>
      </c>
    </row>
    <row r="34" spans="1:7" x14ac:dyDescent="0.3">
      <c r="A34" s="4">
        <v>33</v>
      </c>
      <c r="B34" s="5" t="s">
        <v>563</v>
      </c>
      <c r="C34" s="5" t="s">
        <v>182</v>
      </c>
      <c r="D34" s="11">
        <v>722</v>
      </c>
      <c r="E34" s="12" t="str">
        <f t="shared" ref="E34:E53" si="1">CONCATENATE("DA, ",C34)</f>
        <v>DA, Niwari</v>
      </c>
      <c r="F34" s="12" t="s">
        <v>669</v>
      </c>
      <c r="G34" s="12" t="s">
        <v>543</v>
      </c>
    </row>
    <row r="35" spans="1:7" x14ac:dyDescent="0.3">
      <c r="A35" s="4">
        <v>34</v>
      </c>
      <c r="B35" s="5" t="s">
        <v>563</v>
      </c>
      <c r="C35" s="5" t="s">
        <v>56</v>
      </c>
      <c r="D35" s="11" t="s">
        <v>293</v>
      </c>
      <c r="E35" s="12" t="str">
        <f t="shared" si="1"/>
        <v>DA, Panna</v>
      </c>
      <c r="F35" s="12" t="s">
        <v>670</v>
      </c>
      <c r="G35" s="12" t="s">
        <v>544</v>
      </c>
    </row>
    <row r="36" spans="1:7" x14ac:dyDescent="0.3">
      <c r="A36" s="4">
        <v>35</v>
      </c>
      <c r="B36" s="5" t="s">
        <v>563</v>
      </c>
      <c r="C36" s="5" t="s">
        <v>13</v>
      </c>
      <c r="D36" s="11" t="s">
        <v>294</v>
      </c>
      <c r="E36" s="12" t="str">
        <f t="shared" si="1"/>
        <v>DA, Raisen</v>
      </c>
      <c r="F36" s="12" t="s">
        <v>564</v>
      </c>
      <c r="G36" s="12" t="s">
        <v>545</v>
      </c>
    </row>
    <row r="37" spans="1:7" x14ac:dyDescent="0.3">
      <c r="A37" s="4">
        <v>36</v>
      </c>
      <c r="B37" s="5" t="s">
        <v>563</v>
      </c>
      <c r="C37" s="5" t="s">
        <v>39</v>
      </c>
      <c r="D37" s="11" t="s">
        <v>295</v>
      </c>
      <c r="E37" s="12" t="str">
        <f t="shared" si="1"/>
        <v>DA, Rajgarh</v>
      </c>
      <c r="F37" s="12" t="s">
        <v>671</v>
      </c>
      <c r="G37" s="12" t="s">
        <v>546</v>
      </c>
    </row>
    <row r="38" spans="1:7" x14ac:dyDescent="0.3">
      <c r="A38" s="4">
        <v>37</v>
      </c>
      <c r="B38" s="5" t="s">
        <v>563</v>
      </c>
      <c r="C38" s="5" t="s">
        <v>19</v>
      </c>
      <c r="D38" s="11" t="s">
        <v>296</v>
      </c>
      <c r="E38" s="12" t="str">
        <f t="shared" si="1"/>
        <v>DA, Ratlam</v>
      </c>
      <c r="F38" s="12" t="s">
        <v>672</v>
      </c>
      <c r="G38" s="12" t="s">
        <v>547</v>
      </c>
    </row>
    <row r="39" spans="1:7" x14ac:dyDescent="0.3">
      <c r="A39" s="4">
        <v>38</v>
      </c>
      <c r="B39" s="5" t="s">
        <v>563</v>
      </c>
      <c r="C39" s="5" t="s">
        <v>183</v>
      </c>
      <c r="D39" s="11" t="s">
        <v>297</v>
      </c>
      <c r="E39" s="12" t="str">
        <f t="shared" si="1"/>
        <v>DA, Rewa</v>
      </c>
      <c r="F39" s="12" t="s">
        <v>673</v>
      </c>
      <c r="G39" s="12" t="s">
        <v>548</v>
      </c>
    </row>
    <row r="40" spans="1:7" x14ac:dyDescent="0.3">
      <c r="A40" s="4">
        <v>39</v>
      </c>
      <c r="B40" s="5" t="s">
        <v>563</v>
      </c>
      <c r="C40" s="5" t="s">
        <v>184</v>
      </c>
      <c r="D40" s="11" t="s">
        <v>298</v>
      </c>
      <c r="E40" s="12" t="str">
        <f t="shared" si="1"/>
        <v>DA, Sagar</v>
      </c>
      <c r="F40" s="12" t="s">
        <v>599</v>
      </c>
      <c r="G40" s="12" t="s">
        <v>549</v>
      </c>
    </row>
    <row r="41" spans="1:7" x14ac:dyDescent="0.3">
      <c r="A41" s="4">
        <v>40</v>
      </c>
      <c r="B41" s="5" t="s">
        <v>563</v>
      </c>
      <c r="C41" s="5" t="s">
        <v>185</v>
      </c>
      <c r="D41" s="11" t="s">
        <v>299</v>
      </c>
      <c r="E41" s="12" t="str">
        <f t="shared" si="1"/>
        <v>DA, Satna</v>
      </c>
      <c r="F41" s="12" t="s">
        <v>598</v>
      </c>
      <c r="G41" s="12" t="s">
        <v>550</v>
      </c>
    </row>
    <row r="42" spans="1:7" x14ac:dyDescent="0.3">
      <c r="A42" s="4">
        <v>41</v>
      </c>
      <c r="B42" s="5" t="s">
        <v>563</v>
      </c>
      <c r="C42" s="5" t="s">
        <v>36</v>
      </c>
      <c r="D42" s="11" t="s">
        <v>300</v>
      </c>
      <c r="E42" s="12" t="str">
        <f t="shared" si="1"/>
        <v>DA, Sehore</v>
      </c>
      <c r="F42" s="12" t="s">
        <v>597</v>
      </c>
      <c r="G42" s="12" t="s">
        <v>551</v>
      </c>
    </row>
    <row r="43" spans="1:7" x14ac:dyDescent="0.3">
      <c r="A43" s="4">
        <v>42</v>
      </c>
      <c r="B43" s="5" t="s">
        <v>563</v>
      </c>
      <c r="C43" s="5" t="s">
        <v>73</v>
      </c>
      <c r="D43" s="11" t="s">
        <v>301</v>
      </c>
      <c r="E43" s="12" t="str">
        <f t="shared" si="1"/>
        <v>DA, Seoni</v>
      </c>
      <c r="F43" s="12" t="s">
        <v>596</v>
      </c>
      <c r="G43" s="12" t="s">
        <v>552</v>
      </c>
    </row>
    <row r="44" spans="1:7" x14ac:dyDescent="0.3">
      <c r="A44" s="4">
        <v>43</v>
      </c>
      <c r="B44" s="5" t="s">
        <v>563</v>
      </c>
      <c r="C44" s="5" t="s">
        <v>5</v>
      </c>
      <c r="D44" s="11" t="s">
        <v>302</v>
      </c>
      <c r="E44" s="12" t="str">
        <f t="shared" si="1"/>
        <v>DA, Shahdol</v>
      </c>
      <c r="F44" s="12" t="s">
        <v>595</v>
      </c>
      <c r="G44" s="12" t="s">
        <v>553</v>
      </c>
    </row>
    <row r="45" spans="1:7" x14ac:dyDescent="0.3">
      <c r="A45" s="4">
        <v>44</v>
      </c>
      <c r="B45" s="5" t="s">
        <v>563</v>
      </c>
      <c r="C45" s="5" t="s">
        <v>186</v>
      </c>
      <c r="D45" s="11" t="s">
        <v>303</v>
      </c>
      <c r="E45" s="12" t="str">
        <f t="shared" si="1"/>
        <v>DA, Shajapur</v>
      </c>
      <c r="F45" s="12" t="s">
        <v>594</v>
      </c>
      <c r="G45" s="12" t="s">
        <v>554</v>
      </c>
    </row>
    <row r="46" spans="1:7" x14ac:dyDescent="0.3">
      <c r="A46" s="4">
        <v>45</v>
      </c>
      <c r="B46" s="5" t="s">
        <v>563</v>
      </c>
      <c r="C46" s="5" t="s">
        <v>187</v>
      </c>
      <c r="D46" s="11" t="s">
        <v>304</v>
      </c>
      <c r="E46" s="12" t="str">
        <f t="shared" si="1"/>
        <v>DA, Sheopur</v>
      </c>
      <c r="F46" s="12" t="s">
        <v>593</v>
      </c>
      <c r="G46" s="12" t="s">
        <v>555</v>
      </c>
    </row>
    <row r="47" spans="1:7" x14ac:dyDescent="0.3">
      <c r="A47" s="4">
        <v>46</v>
      </c>
      <c r="B47" s="5" t="s">
        <v>563</v>
      </c>
      <c r="C47" s="5" t="s">
        <v>42</v>
      </c>
      <c r="D47" s="11" t="s">
        <v>305</v>
      </c>
      <c r="E47" s="12" t="str">
        <f t="shared" si="1"/>
        <v>DA, Shivpuri</v>
      </c>
      <c r="F47" s="12" t="s">
        <v>592</v>
      </c>
      <c r="G47" s="12" t="s">
        <v>556</v>
      </c>
    </row>
    <row r="48" spans="1:7" x14ac:dyDescent="0.3">
      <c r="A48" s="4">
        <v>47</v>
      </c>
      <c r="B48" s="5" t="s">
        <v>563</v>
      </c>
      <c r="C48" s="5" t="s">
        <v>188</v>
      </c>
      <c r="D48" s="11" t="s">
        <v>306</v>
      </c>
      <c r="E48" s="12" t="str">
        <f t="shared" si="1"/>
        <v>DA, Sidhi</v>
      </c>
      <c r="F48" s="12" t="s">
        <v>591</v>
      </c>
      <c r="G48" s="12" t="s">
        <v>557</v>
      </c>
    </row>
    <row r="49" spans="1:7" x14ac:dyDescent="0.3">
      <c r="A49" s="4">
        <v>48</v>
      </c>
      <c r="B49" s="5" t="s">
        <v>563</v>
      </c>
      <c r="C49" s="5" t="s">
        <v>189</v>
      </c>
      <c r="D49" s="11" t="s">
        <v>307</v>
      </c>
      <c r="E49" s="12" t="str">
        <f t="shared" si="1"/>
        <v>DA, Singrauli</v>
      </c>
      <c r="F49" s="12" t="s">
        <v>590</v>
      </c>
      <c r="G49" s="12" t="s">
        <v>558</v>
      </c>
    </row>
    <row r="50" spans="1:7" x14ac:dyDescent="0.3">
      <c r="A50" s="4">
        <v>49</v>
      </c>
      <c r="B50" s="5" t="s">
        <v>563</v>
      </c>
      <c r="C50" s="5" t="s">
        <v>7</v>
      </c>
      <c r="D50" s="11" t="s">
        <v>308</v>
      </c>
      <c r="E50" s="12" t="str">
        <f t="shared" si="1"/>
        <v>DA, Tikamgarh</v>
      </c>
      <c r="F50" s="12" t="s">
        <v>589</v>
      </c>
      <c r="G50" s="12" t="s">
        <v>559</v>
      </c>
    </row>
    <row r="51" spans="1:7" x14ac:dyDescent="0.3">
      <c r="A51" s="4">
        <v>50</v>
      </c>
      <c r="B51" s="5" t="s">
        <v>563</v>
      </c>
      <c r="C51" s="5" t="s">
        <v>190</v>
      </c>
      <c r="D51" s="11" t="s">
        <v>309</v>
      </c>
      <c r="E51" s="12" t="str">
        <f t="shared" si="1"/>
        <v>DA, Ujjain</v>
      </c>
      <c r="F51" s="12" t="s">
        <v>588</v>
      </c>
      <c r="G51" s="12" t="s">
        <v>560</v>
      </c>
    </row>
    <row r="52" spans="1:7" x14ac:dyDescent="0.3">
      <c r="A52" s="4">
        <v>51</v>
      </c>
      <c r="B52" s="5" t="s">
        <v>563</v>
      </c>
      <c r="C52" s="5" t="s">
        <v>191</v>
      </c>
      <c r="D52" s="11" t="s">
        <v>310</v>
      </c>
      <c r="E52" s="12" t="str">
        <f t="shared" si="1"/>
        <v>DA, Umaria</v>
      </c>
      <c r="F52" s="12" t="s">
        <v>587</v>
      </c>
      <c r="G52" s="12" t="s">
        <v>561</v>
      </c>
    </row>
    <row r="53" spans="1:7" x14ac:dyDescent="0.3">
      <c r="A53" s="4">
        <v>52</v>
      </c>
      <c r="B53" s="5" t="s">
        <v>563</v>
      </c>
      <c r="C53" s="5" t="s">
        <v>65</v>
      </c>
      <c r="D53" s="11" t="s">
        <v>311</v>
      </c>
      <c r="E53" s="12" t="str">
        <f t="shared" si="1"/>
        <v>DA, Vidisha</v>
      </c>
      <c r="F53" s="12" t="s">
        <v>586</v>
      </c>
      <c r="G53" s="12" t="s">
        <v>562</v>
      </c>
    </row>
    <row r="54" spans="1:7" x14ac:dyDescent="0.3">
      <c r="A54" s="4">
        <v>53</v>
      </c>
      <c r="B54" s="5" t="s">
        <v>563</v>
      </c>
      <c r="C54" s="5" t="s">
        <v>775</v>
      </c>
      <c r="D54" s="11">
        <v>766</v>
      </c>
      <c r="E54" s="12" t="str">
        <f>CONCATENATE("DA, ",C54)</f>
        <v>DA, Mauganj</v>
      </c>
      <c r="F54" s="12" t="s">
        <v>778</v>
      </c>
      <c r="G54" s="19" t="s">
        <v>779</v>
      </c>
    </row>
  </sheetData>
  <hyperlinks>
    <hyperlink ref="G54" r:id="rId1" xr:uid="{00E7E1DA-ED78-4D88-A307-4FDC955E5EA3}"/>
  </hyperlinks>
  <pageMargins left="0.7" right="0.7" top="0.75" bottom="0.75" header="0.3" footer="0.3"/>
  <pageSetup orientation="portrait" horizontalDpi="1200" verticalDpi="12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1"/>
  <sheetViews>
    <sheetView workbookViewId="0">
      <selection activeCell="K11" sqref="K11"/>
    </sheetView>
  </sheetViews>
  <sheetFormatPr defaultRowHeight="14.4" x14ac:dyDescent="0.3"/>
  <cols>
    <col min="1" max="1" width="5.21875" bestFit="1" customWidth="1"/>
    <col min="3" max="3" width="10.77734375" bestFit="1" customWidth="1"/>
    <col min="4" max="4" width="14.77734375" bestFit="1" customWidth="1"/>
    <col min="6" max="6" width="18.5546875" bestFit="1" customWidth="1"/>
    <col min="7" max="7" width="16.77734375" bestFit="1" customWidth="1"/>
    <col min="8" max="8" width="19.5546875" bestFit="1" customWidth="1"/>
  </cols>
  <sheetData>
    <row r="1" spans="1:8" ht="26.4" x14ac:dyDescent="0.3">
      <c r="A1" s="2" t="s">
        <v>0</v>
      </c>
      <c r="B1" s="2" t="s">
        <v>89</v>
      </c>
      <c r="C1" s="2" t="s">
        <v>115</v>
      </c>
      <c r="D1" s="2" t="s">
        <v>1</v>
      </c>
      <c r="E1" s="2" t="s">
        <v>260</v>
      </c>
      <c r="F1" s="2" t="s">
        <v>2</v>
      </c>
      <c r="G1" s="3" t="s">
        <v>75</v>
      </c>
      <c r="H1" s="3" t="s">
        <v>76</v>
      </c>
    </row>
    <row r="2" spans="1:8" x14ac:dyDescent="0.3">
      <c r="A2" s="4">
        <v>1</v>
      </c>
      <c r="B2" s="4" t="s">
        <v>114</v>
      </c>
      <c r="C2" s="5" t="s">
        <v>728</v>
      </c>
      <c r="D2" s="6" t="s">
        <v>32</v>
      </c>
      <c r="E2" s="11"/>
      <c r="F2" s="12" t="str">
        <f t="shared" ref="F2:F11" si="0">CONCATENATE("Division, ",D2)</f>
        <v>Division, Bhopal</v>
      </c>
      <c r="G2" s="12" t="s">
        <v>755</v>
      </c>
      <c r="H2" s="19" t="s">
        <v>765</v>
      </c>
    </row>
    <row r="3" spans="1:8" x14ac:dyDescent="0.3">
      <c r="A3" s="4">
        <v>2</v>
      </c>
      <c r="B3" s="4" t="s">
        <v>114</v>
      </c>
      <c r="C3" s="5" t="s">
        <v>728</v>
      </c>
      <c r="D3" s="6" t="s">
        <v>729</v>
      </c>
      <c r="E3" s="11"/>
      <c r="F3" s="12" t="str">
        <f t="shared" si="0"/>
        <v>Division, Chambal</v>
      </c>
      <c r="G3" s="12" t="s">
        <v>756</v>
      </c>
      <c r="H3" s="19" t="s">
        <v>766</v>
      </c>
    </row>
    <row r="4" spans="1:8" x14ac:dyDescent="0.3">
      <c r="A4" s="4">
        <v>3</v>
      </c>
      <c r="B4" s="4" t="s">
        <v>114</v>
      </c>
      <c r="C4" s="5" t="s">
        <v>728</v>
      </c>
      <c r="D4" s="6" t="s">
        <v>172</v>
      </c>
      <c r="E4" s="11"/>
      <c r="F4" s="12" t="str">
        <f t="shared" si="0"/>
        <v>Division, Gwalior</v>
      </c>
      <c r="G4" s="12" t="s">
        <v>757</v>
      </c>
      <c r="H4" s="19" t="s">
        <v>767</v>
      </c>
    </row>
    <row r="5" spans="1:8" x14ac:dyDescent="0.3">
      <c r="A5" s="4">
        <v>4</v>
      </c>
      <c r="B5" s="4" t="s">
        <v>114</v>
      </c>
      <c r="C5" s="5" t="s">
        <v>728</v>
      </c>
      <c r="D5" s="6" t="s">
        <v>174</v>
      </c>
      <c r="E5" s="11"/>
      <c r="F5" s="12" t="str">
        <f t="shared" si="0"/>
        <v>Division, Indore</v>
      </c>
      <c r="G5" s="12" t="s">
        <v>758</v>
      </c>
      <c r="H5" s="19" t="s">
        <v>768</v>
      </c>
    </row>
    <row r="6" spans="1:8" x14ac:dyDescent="0.3">
      <c r="A6" s="4">
        <v>5</v>
      </c>
      <c r="B6" s="4" t="s">
        <v>114</v>
      </c>
      <c r="C6" s="5" t="s">
        <v>728</v>
      </c>
      <c r="D6" s="6" t="s">
        <v>10</v>
      </c>
      <c r="E6" s="11"/>
      <c r="F6" s="12" t="str">
        <f t="shared" si="0"/>
        <v>Division, Jabalpur</v>
      </c>
      <c r="G6" s="12" t="s">
        <v>759</v>
      </c>
      <c r="H6" s="19" t="s">
        <v>769</v>
      </c>
    </row>
    <row r="7" spans="1:8" x14ac:dyDescent="0.3">
      <c r="A7" s="4">
        <v>6</v>
      </c>
      <c r="B7" s="4" t="s">
        <v>114</v>
      </c>
      <c r="C7" s="5" t="s">
        <v>728</v>
      </c>
      <c r="D7" s="6" t="s">
        <v>730</v>
      </c>
      <c r="E7" s="11"/>
      <c r="F7" s="12" t="str">
        <f t="shared" si="0"/>
        <v>Division, Narmadapuram</v>
      </c>
      <c r="G7" s="12" t="s">
        <v>760</v>
      </c>
      <c r="H7" s="19" t="s">
        <v>770</v>
      </c>
    </row>
    <row r="8" spans="1:8" x14ac:dyDescent="0.3">
      <c r="A8" s="4">
        <v>7</v>
      </c>
      <c r="B8" s="4" t="s">
        <v>114</v>
      </c>
      <c r="C8" s="5" t="s">
        <v>728</v>
      </c>
      <c r="D8" s="6" t="s">
        <v>183</v>
      </c>
      <c r="E8" s="11"/>
      <c r="F8" s="12" t="str">
        <f t="shared" si="0"/>
        <v>Division, Rewa</v>
      </c>
      <c r="G8" s="12" t="s">
        <v>761</v>
      </c>
      <c r="H8" s="19" t="s">
        <v>771</v>
      </c>
    </row>
    <row r="9" spans="1:8" x14ac:dyDescent="0.3">
      <c r="A9" s="4">
        <v>8</v>
      </c>
      <c r="B9" s="4" t="s">
        <v>114</v>
      </c>
      <c r="C9" s="5" t="s">
        <v>728</v>
      </c>
      <c r="D9" s="6" t="s">
        <v>184</v>
      </c>
      <c r="E9" s="11"/>
      <c r="F9" s="12" t="str">
        <f t="shared" si="0"/>
        <v>Division, Sagar</v>
      </c>
      <c r="G9" s="12" t="s">
        <v>762</v>
      </c>
      <c r="H9" s="19" t="s">
        <v>772</v>
      </c>
    </row>
    <row r="10" spans="1:8" x14ac:dyDescent="0.3">
      <c r="A10" s="4">
        <v>9</v>
      </c>
      <c r="B10" s="4" t="s">
        <v>114</v>
      </c>
      <c r="C10" s="5" t="s">
        <v>728</v>
      </c>
      <c r="D10" s="6" t="s">
        <v>5</v>
      </c>
      <c r="E10" s="11"/>
      <c r="F10" s="12" t="str">
        <f t="shared" si="0"/>
        <v>Division, Shahdol</v>
      </c>
      <c r="G10" s="12" t="s">
        <v>763</v>
      </c>
      <c r="H10" s="19" t="s">
        <v>773</v>
      </c>
    </row>
    <row r="11" spans="1:8" x14ac:dyDescent="0.3">
      <c r="A11" s="4">
        <v>10</v>
      </c>
      <c r="B11" s="4" t="s">
        <v>114</v>
      </c>
      <c r="C11" s="5" t="s">
        <v>728</v>
      </c>
      <c r="D11" s="6" t="s">
        <v>190</v>
      </c>
      <c r="E11" s="11"/>
      <c r="F11" s="12" t="str">
        <f t="shared" si="0"/>
        <v>Division, Ujjain</v>
      </c>
      <c r="G11" s="12" t="s">
        <v>764</v>
      </c>
      <c r="H11" s="19" t="s">
        <v>774</v>
      </c>
    </row>
  </sheetData>
  <hyperlinks>
    <hyperlink ref="H2" r:id="rId1" xr:uid="{00000000-0004-0000-0700-000000000000}"/>
    <hyperlink ref="H3" r:id="rId2" xr:uid="{00000000-0004-0000-0700-000001000000}"/>
    <hyperlink ref="H4" r:id="rId3" xr:uid="{00000000-0004-0000-0700-000002000000}"/>
    <hyperlink ref="H5" r:id="rId4" xr:uid="{00000000-0004-0000-0700-000003000000}"/>
    <hyperlink ref="H6" r:id="rId5" xr:uid="{00000000-0004-0000-0700-000004000000}"/>
    <hyperlink ref="H7" r:id="rId6" xr:uid="{00000000-0004-0000-0700-000005000000}"/>
    <hyperlink ref="H8" r:id="rId7" xr:uid="{00000000-0004-0000-0700-000006000000}"/>
    <hyperlink ref="H9" r:id="rId8" xr:uid="{00000000-0004-0000-0700-000007000000}"/>
    <hyperlink ref="H10" r:id="rId9" xr:uid="{00000000-0004-0000-0700-000008000000}"/>
    <hyperlink ref="H11" r:id="rId10" xr:uid="{00000000-0004-0000-0700-000009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54"/>
  <sheetViews>
    <sheetView topLeftCell="A40" workbookViewId="0">
      <selection activeCell="I10" sqref="I10"/>
    </sheetView>
  </sheetViews>
  <sheetFormatPr defaultColWidth="18.77734375" defaultRowHeight="14.4" x14ac:dyDescent="0.3"/>
  <cols>
    <col min="1" max="1" width="4.77734375" bestFit="1" customWidth="1"/>
    <col min="2" max="2" width="8.21875" bestFit="1" customWidth="1"/>
    <col min="3" max="3" width="19.5546875" bestFit="1" customWidth="1"/>
    <col min="4" max="4" width="10.44140625" bestFit="1" customWidth="1"/>
    <col min="5" max="5" width="6.77734375" bestFit="1" customWidth="1"/>
    <col min="6" max="6" width="15.21875" bestFit="1" customWidth="1"/>
    <col min="7" max="7" width="14.77734375" bestFit="1" customWidth="1"/>
    <col min="8" max="8" width="18.5546875" bestFit="1" customWidth="1"/>
    <col min="9" max="9" width="19.77734375" bestFit="1" customWidth="1"/>
  </cols>
  <sheetData>
    <row r="1" spans="1:8" ht="26.4" x14ac:dyDescent="0.3">
      <c r="A1" s="2" t="s">
        <v>0</v>
      </c>
      <c r="B1" s="2" t="s">
        <v>89</v>
      </c>
      <c r="C1" s="2" t="s">
        <v>115</v>
      </c>
      <c r="D1" s="2" t="s">
        <v>1</v>
      </c>
      <c r="E1" s="2" t="s">
        <v>260</v>
      </c>
      <c r="F1" s="2" t="s">
        <v>2</v>
      </c>
      <c r="G1" s="3" t="s">
        <v>75</v>
      </c>
      <c r="H1" s="3" t="s">
        <v>76</v>
      </c>
    </row>
    <row r="2" spans="1:8" x14ac:dyDescent="0.3">
      <c r="A2" s="4">
        <v>1</v>
      </c>
      <c r="B2" s="4" t="s">
        <v>361</v>
      </c>
      <c r="C2" s="5" t="s">
        <v>362</v>
      </c>
      <c r="D2" s="5" t="s">
        <v>160</v>
      </c>
      <c r="E2" s="11" t="s">
        <v>261</v>
      </c>
      <c r="F2" s="12" t="str">
        <f>CONCATENATE("SLR, ",D2)</f>
        <v>SLR, Agar malwa</v>
      </c>
      <c r="G2" s="12" t="s">
        <v>600</v>
      </c>
      <c r="H2" s="12" t="s">
        <v>363</v>
      </c>
    </row>
    <row r="3" spans="1:8" x14ac:dyDescent="0.3">
      <c r="A3" s="4">
        <v>2</v>
      </c>
      <c r="B3" s="4" t="s">
        <v>361</v>
      </c>
      <c r="C3" s="5" t="s">
        <v>362</v>
      </c>
      <c r="D3" s="5" t="s">
        <v>161</v>
      </c>
      <c r="E3" s="11" t="s">
        <v>262</v>
      </c>
      <c r="F3" s="12" t="str">
        <f t="shared" ref="F3:F54" si="0">CONCATENATE("SLR, ",D3)</f>
        <v>SLR, Alirajpur</v>
      </c>
      <c r="G3" s="12" t="s">
        <v>601</v>
      </c>
      <c r="H3" s="12" t="s">
        <v>364</v>
      </c>
    </row>
    <row r="4" spans="1:8" x14ac:dyDescent="0.3">
      <c r="A4" s="4">
        <v>3</v>
      </c>
      <c r="B4" s="4" t="s">
        <v>361</v>
      </c>
      <c r="C4" s="5" t="s">
        <v>362</v>
      </c>
      <c r="D4" s="5" t="s">
        <v>162</v>
      </c>
      <c r="E4" s="11" t="s">
        <v>263</v>
      </c>
      <c r="F4" s="12" t="str">
        <f t="shared" si="0"/>
        <v>SLR, Anuppur</v>
      </c>
      <c r="G4" s="12" t="s">
        <v>602</v>
      </c>
      <c r="H4" s="12" t="s">
        <v>365</v>
      </c>
    </row>
    <row r="5" spans="1:8" x14ac:dyDescent="0.3">
      <c r="A5" s="4">
        <v>4</v>
      </c>
      <c r="B5" s="4" t="s">
        <v>361</v>
      </c>
      <c r="C5" s="5" t="s">
        <v>362</v>
      </c>
      <c r="D5" s="5" t="s">
        <v>62</v>
      </c>
      <c r="E5" s="11" t="s">
        <v>264</v>
      </c>
      <c r="F5" s="12" t="str">
        <f t="shared" si="0"/>
        <v>SLR, Ashoknagar</v>
      </c>
      <c r="G5" s="12" t="s">
        <v>603</v>
      </c>
      <c r="H5" s="12" t="s">
        <v>366</v>
      </c>
    </row>
    <row r="6" spans="1:8" x14ac:dyDescent="0.3">
      <c r="A6" s="4">
        <v>5</v>
      </c>
      <c r="B6" s="4" t="s">
        <v>361</v>
      </c>
      <c r="C6" s="5" t="s">
        <v>362</v>
      </c>
      <c r="D6" s="5" t="s">
        <v>16</v>
      </c>
      <c r="E6" s="11" t="s">
        <v>265</v>
      </c>
      <c r="F6" s="12" t="str">
        <f t="shared" si="0"/>
        <v>SLR, Balaghat</v>
      </c>
      <c r="G6" s="12" t="s">
        <v>604</v>
      </c>
      <c r="H6" s="12" t="s">
        <v>367</v>
      </c>
    </row>
    <row r="7" spans="1:8" x14ac:dyDescent="0.3">
      <c r="A7" s="4">
        <v>6</v>
      </c>
      <c r="B7" s="4" t="s">
        <v>361</v>
      </c>
      <c r="C7" s="5" t="s">
        <v>362</v>
      </c>
      <c r="D7" s="5" t="s">
        <v>163</v>
      </c>
      <c r="E7" s="11" t="s">
        <v>266</v>
      </c>
      <c r="F7" s="12" t="str">
        <f t="shared" si="0"/>
        <v>SLR, Barwani</v>
      </c>
      <c r="G7" s="12" t="s">
        <v>605</v>
      </c>
      <c r="H7" s="12" t="s">
        <v>368</v>
      </c>
    </row>
    <row r="8" spans="1:8" x14ac:dyDescent="0.3">
      <c r="A8" s="4">
        <v>7</v>
      </c>
      <c r="B8" s="4" t="s">
        <v>361</v>
      </c>
      <c r="C8" s="5" t="s">
        <v>362</v>
      </c>
      <c r="D8" s="5" t="s">
        <v>53</v>
      </c>
      <c r="E8" s="11" t="s">
        <v>267</v>
      </c>
      <c r="F8" s="12" t="str">
        <f t="shared" si="0"/>
        <v>SLR, Betul</v>
      </c>
      <c r="G8" s="12" t="s">
        <v>606</v>
      </c>
      <c r="H8" s="12" t="s">
        <v>369</v>
      </c>
    </row>
    <row r="9" spans="1:8" x14ac:dyDescent="0.3">
      <c r="A9" s="4">
        <v>8</v>
      </c>
      <c r="B9" s="4" t="s">
        <v>361</v>
      </c>
      <c r="C9" s="5" t="s">
        <v>362</v>
      </c>
      <c r="D9" s="5" t="s">
        <v>164</v>
      </c>
      <c r="E9" s="11" t="s">
        <v>268</v>
      </c>
      <c r="F9" s="12" t="str">
        <f t="shared" si="0"/>
        <v>SLR, Bhind</v>
      </c>
      <c r="G9" s="12" t="s">
        <v>565</v>
      </c>
      <c r="H9" s="12" t="s">
        <v>370</v>
      </c>
    </row>
    <row r="10" spans="1:8" x14ac:dyDescent="0.3">
      <c r="A10" s="4">
        <v>9</v>
      </c>
      <c r="B10" s="4" t="s">
        <v>361</v>
      </c>
      <c r="C10" s="5" t="s">
        <v>362</v>
      </c>
      <c r="D10" s="5" t="s">
        <v>32</v>
      </c>
      <c r="E10" s="11" t="s">
        <v>269</v>
      </c>
      <c r="F10" s="12" t="str">
        <f t="shared" si="0"/>
        <v>SLR, Bhopal</v>
      </c>
      <c r="G10" s="12" t="s">
        <v>607</v>
      </c>
      <c r="H10" s="12" t="s">
        <v>371</v>
      </c>
    </row>
    <row r="11" spans="1:8" x14ac:dyDescent="0.3">
      <c r="A11" s="4">
        <v>10</v>
      </c>
      <c r="B11" s="4" t="s">
        <v>361</v>
      </c>
      <c r="C11" s="5" t="s">
        <v>362</v>
      </c>
      <c r="D11" s="5" t="s">
        <v>165</v>
      </c>
      <c r="E11" s="11" t="s">
        <v>270</v>
      </c>
      <c r="F11" s="12" t="str">
        <f t="shared" si="0"/>
        <v>SLR, Burhanpur</v>
      </c>
      <c r="G11" s="12" t="s">
        <v>608</v>
      </c>
      <c r="H11" s="12" t="s">
        <v>372</v>
      </c>
    </row>
    <row r="12" spans="1:8" x14ac:dyDescent="0.3">
      <c r="A12" s="4">
        <v>11</v>
      </c>
      <c r="B12" s="4" t="s">
        <v>361</v>
      </c>
      <c r="C12" s="5" t="s">
        <v>362</v>
      </c>
      <c r="D12" s="5" t="s">
        <v>166</v>
      </c>
      <c r="E12" s="11" t="s">
        <v>271</v>
      </c>
      <c r="F12" s="12" t="str">
        <f t="shared" si="0"/>
        <v>SLR, Chhatarpur</v>
      </c>
      <c r="G12" s="12" t="s">
        <v>617</v>
      </c>
      <c r="H12" s="12" t="s">
        <v>373</v>
      </c>
    </row>
    <row r="13" spans="1:8" x14ac:dyDescent="0.3">
      <c r="A13" s="4">
        <v>12</v>
      </c>
      <c r="B13" s="4" t="s">
        <v>361</v>
      </c>
      <c r="C13" s="5" t="s">
        <v>362</v>
      </c>
      <c r="D13" s="5" t="s">
        <v>167</v>
      </c>
      <c r="E13" s="11" t="s">
        <v>272</v>
      </c>
      <c r="F13" s="12" t="str">
        <f t="shared" si="0"/>
        <v>SLR, Chhindwara</v>
      </c>
      <c r="G13" s="12" t="s">
        <v>618</v>
      </c>
      <c r="H13" s="12" t="s">
        <v>374</v>
      </c>
    </row>
    <row r="14" spans="1:8" x14ac:dyDescent="0.3">
      <c r="A14" s="4">
        <v>13</v>
      </c>
      <c r="B14" s="4" t="s">
        <v>361</v>
      </c>
      <c r="C14" s="5" t="s">
        <v>362</v>
      </c>
      <c r="D14" s="5" t="s">
        <v>168</v>
      </c>
      <c r="E14" s="11" t="s">
        <v>273</v>
      </c>
      <c r="F14" s="12" t="str">
        <f t="shared" si="0"/>
        <v>SLR, Damoh</v>
      </c>
      <c r="G14" s="12" t="s">
        <v>619</v>
      </c>
      <c r="H14" s="12" t="s">
        <v>375</v>
      </c>
    </row>
    <row r="15" spans="1:8" x14ac:dyDescent="0.3">
      <c r="A15" s="4">
        <v>14</v>
      </c>
      <c r="B15" s="4" t="s">
        <v>361</v>
      </c>
      <c r="C15" s="5" t="s">
        <v>362</v>
      </c>
      <c r="D15" s="5" t="s">
        <v>169</v>
      </c>
      <c r="E15" s="11" t="s">
        <v>274</v>
      </c>
      <c r="F15" s="12" t="str">
        <f t="shared" si="0"/>
        <v>SLR, Datia</v>
      </c>
      <c r="G15" s="12" t="s">
        <v>620</v>
      </c>
      <c r="H15" s="12" t="s">
        <v>376</v>
      </c>
    </row>
    <row r="16" spans="1:8" x14ac:dyDescent="0.3">
      <c r="A16" s="4">
        <v>15</v>
      </c>
      <c r="B16" s="4" t="s">
        <v>361</v>
      </c>
      <c r="C16" s="5" t="s">
        <v>362</v>
      </c>
      <c r="D16" s="5" t="s">
        <v>170</v>
      </c>
      <c r="E16" s="11" t="s">
        <v>275</v>
      </c>
      <c r="F16" s="12" t="str">
        <f t="shared" si="0"/>
        <v>SLR, Dewas</v>
      </c>
      <c r="G16" s="12" t="s">
        <v>621</v>
      </c>
      <c r="H16" s="12" t="s">
        <v>377</v>
      </c>
    </row>
    <row r="17" spans="1:8" x14ac:dyDescent="0.3">
      <c r="A17" s="4">
        <v>16</v>
      </c>
      <c r="B17" s="4" t="s">
        <v>361</v>
      </c>
      <c r="C17" s="5" t="s">
        <v>362</v>
      </c>
      <c r="D17" s="5" t="s">
        <v>48</v>
      </c>
      <c r="E17" s="11" t="s">
        <v>276</v>
      </c>
      <c r="F17" s="12" t="str">
        <f t="shared" si="0"/>
        <v>SLR, Dhar</v>
      </c>
      <c r="G17" s="12" t="s">
        <v>622</v>
      </c>
      <c r="H17" s="12" t="s">
        <v>378</v>
      </c>
    </row>
    <row r="18" spans="1:8" x14ac:dyDescent="0.3">
      <c r="A18" s="4">
        <v>17</v>
      </c>
      <c r="B18" s="4" t="s">
        <v>361</v>
      </c>
      <c r="C18" s="5" t="s">
        <v>362</v>
      </c>
      <c r="D18" s="5" t="s">
        <v>171</v>
      </c>
      <c r="E18" s="11" t="s">
        <v>277</v>
      </c>
      <c r="F18" s="12" t="str">
        <f t="shared" si="0"/>
        <v>SLR, Dindori</v>
      </c>
      <c r="G18" s="12" t="s">
        <v>623</v>
      </c>
      <c r="H18" s="12" t="s">
        <v>379</v>
      </c>
    </row>
    <row r="19" spans="1:8" x14ac:dyDescent="0.3">
      <c r="A19" s="4">
        <v>18</v>
      </c>
      <c r="B19" s="4" t="s">
        <v>361</v>
      </c>
      <c r="C19" s="5" t="s">
        <v>362</v>
      </c>
      <c r="D19" s="5" t="s">
        <v>25</v>
      </c>
      <c r="E19" s="11" t="s">
        <v>278</v>
      </c>
      <c r="F19" s="12" t="str">
        <f t="shared" si="0"/>
        <v>SLR, Guna</v>
      </c>
      <c r="G19" s="12" t="s">
        <v>624</v>
      </c>
      <c r="H19" s="12" t="s">
        <v>380</v>
      </c>
    </row>
    <row r="20" spans="1:8" x14ac:dyDescent="0.3">
      <c r="A20" s="4">
        <v>19</v>
      </c>
      <c r="B20" s="4" t="s">
        <v>361</v>
      </c>
      <c r="C20" s="5" t="s">
        <v>362</v>
      </c>
      <c r="D20" s="5" t="s">
        <v>172</v>
      </c>
      <c r="E20" s="11" t="s">
        <v>279</v>
      </c>
      <c r="F20" s="12" t="str">
        <f t="shared" si="0"/>
        <v>SLR, Gwalior</v>
      </c>
      <c r="G20" s="12" t="s">
        <v>625</v>
      </c>
      <c r="H20" s="12" t="s">
        <v>381</v>
      </c>
    </row>
    <row r="21" spans="1:8" x14ac:dyDescent="0.3">
      <c r="A21" s="4">
        <v>20</v>
      </c>
      <c r="B21" s="4" t="s">
        <v>361</v>
      </c>
      <c r="C21" s="5" t="s">
        <v>362</v>
      </c>
      <c r="D21" s="5" t="s">
        <v>173</v>
      </c>
      <c r="E21" s="11" t="s">
        <v>280</v>
      </c>
      <c r="F21" s="12" t="str">
        <f t="shared" si="0"/>
        <v>SLR, Harda</v>
      </c>
      <c r="G21" s="12" t="s">
        <v>626</v>
      </c>
      <c r="H21" s="12" t="s">
        <v>382</v>
      </c>
    </row>
    <row r="22" spans="1:8" x14ac:dyDescent="0.3">
      <c r="A22" s="4">
        <v>21</v>
      </c>
      <c r="B22" s="4" t="s">
        <v>361</v>
      </c>
      <c r="C22" s="5" t="s">
        <v>362</v>
      </c>
      <c r="D22" s="5" t="s">
        <v>70</v>
      </c>
      <c r="E22" s="11" t="s">
        <v>281</v>
      </c>
      <c r="F22" s="12" t="str">
        <f t="shared" si="0"/>
        <v>SLR, Hoshangabad</v>
      </c>
      <c r="G22" s="12" t="s">
        <v>627</v>
      </c>
      <c r="H22" s="12" t="s">
        <v>383</v>
      </c>
    </row>
    <row r="23" spans="1:8" x14ac:dyDescent="0.3">
      <c r="A23" s="4">
        <v>22</v>
      </c>
      <c r="B23" s="4" t="s">
        <v>361</v>
      </c>
      <c r="C23" s="5" t="s">
        <v>362</v>
      </c>
      <c r="D23" s="5" t="s">
        <v>174</v>
      </c>
      <c r="E23" s="11" t="s">
        <v>282</v>
      </c>
      <c r="F23" s="12" t="str">
        <f t="shared" si="0"/>
        <v>SLR, Indore</v>
      </c>
      <c r="G23" s="12" t="s">
        <v>628</v>
      </c>
      <c r="H23" s="12" t="s">
        <v>384</v>
      </c>
    </row>
    <row r="24" spans="1:8" x14ac:dyDescent="0.3">
      <c r="A24" s="4">
        <v>23</v>
      </c>
      <c r="B24" s="4" t="s">
        <v>361</v>
      </c>
      <c r="C24" s="5" t="s">
        <v>362</v>
      </c>
      <c r="D24" s="5" t="s">
        <v>10</v>
      </c>
      <c r="E24" s="11" t="s">
        <v>283</v>
      </c>
      <c r="F24" s="12" t="str">
        <f t="shared" si="0"/>
        <v>SLR, Jabalpur</v>
      </c>
      <c r="G24" s="12" t="s">
        <v>629</v>
      </c>
      <c r="H24" s="12" t="s">
        <v>385</v>
      </c>
    </row>
    <row r="25" spans="1:8" x14ac:dyDescent="0.3">
      <c r="A25" s="4">
        <v>24</v>
      </c>
      <c r="B25" s="4" t="s">
        <v>361</v>
      </c>
      <c r="C25" s="5" t="s">
        <v>362</v>
      </c>
      <c r="D25" s="5" t="s">
        <v>45</v>
      </c>
      <c r="E25" s="11" t="s">
        <v>284</v>
      </c>
      <c r="F25" s="12" t="str">
        <f t="shared" si="0"/>
        <v>SLR, Jhabua</v>
      </c>
      <c r="G25" s="12" t="s">
        <v>630</v>
      </c>
      <c r="H25" s="12" t="s">
        <v>386</v>
      </c>
    </row>
    <row r="26" spans="1:8" x14ac:dyDescent="0.3">
      <c r="A26" s="4">
        <v>25</v>
      </c>
      <c r="B26" s="4" t="s">
        <v>361</v>
      </c>
      <c r="C26" s="5" t="s">
        <v>362</v>
      </c>
      <c r="D26" s="5" t="s">
        <v>175</v>
      </c>
      <c r="E26" s="11" t="s">
        <v>285</v>
      </c>
      <c r="F26" s="12" t="str">
        <f t="shared" si="0"/>
        <v>SLR, Katni</v>
      </c>
      <c r="G26" s="12" t="s">
        <v>631</v>
      </c>
      <c r="H26" s="12" t="s">
        <v>387</v>
      </c>
    </row>
    <row r="27" spans="1:8" x14ac:dyDescent="0.3">
      <c r="A27" s="4">
        <v>26</v>
      </c>
      <c r="B27" s="4" t="s">
        <v>361</v>
      </c>
      <c r="C27" s="5" t="s">
        <v>362</v>
      </c>
      <c r="D27" s="5" t="s">
        <v>28</v>
      </c>
      <c r="E27" s="11" t="s">
        <v>286</v>
      </c>
      <c r="F27" s="12" t="str">
        <f t="shared" si="0"/>
        <v>SLR, Khandwa</v>
      </c>
      <c r="G27" s="12" t="s">
        <v>632</v>
      </c>
      <c r="H27" s="12" t="s">
        <v>388</v>
      </c>
    </row>
    <row r="28" spans="1:8" x14ac:dyDescent="0.3">
      <c r="A28" s="4">
        <v>27</v>
      </c>
      <c r="B28" s="4" t="s">
        <v>361</v>
      </c>
      <c r="C28" s="5" t="s">
        <v>362</v>
      </c>
      <c r="D28" s="5" t="s">
        <v>176</v>
      </c>
      <c r="E28" s="11" t="s">
        <v>287</v>
      </c>
      <c r="F28" s="12" t="str">
        <f t="shared" si="0"/>
        <v>SLR, Khargone</v>
      </c>
      <c r="G28" s="12" t="s">
        <v>633</v>
      </c>
      <c r="H28" s="12" t="s">
        <v>389</v>
      </c>
    </row>
    <row r="29" spans="1:8" x14ac:dyDescent="0.3">
      <c r="A29" s="4">
        <v>28</v>
      </c>
      <c r="B29" s="4" t="s">
        <v>361</v>
      </c>
      <c r="C29" s="5" t="s">
        <v>362</v>
      </c>
      <c r="D29" s="5" t="s">
        <v>177</v>
      </c>
      <c r="E29" s="11" t="s">
        <v>288</v>
      </c>
      <c r="F29" s="12" t="str">
        <f t="shared" si="0"/>
        <v>SLR, Mandla</v>
      </c>
      <c r="G29" s="12" t="s">
        <v>634</v>
      </c>
      <c r="H29" s="12" t="s">
        <v>390</v>
      </c>
    </row>
    <row r="30" spans="1:8" x14ac:dyDescent="0.3">
      <c r="A30" s="4">
        <v>29</v>
      </c>
      <c r="B30" s="4" t="s">
        <v>361</v>
      </c>
      <c r="C30" s="5" t="s">
        <v>362</v>
      </c>
      <c r="D30" s="5" t="s">
        <v>178</v>
      </c>
      <c r="E30" s="11" t="s">
        <v>289</v>
      </c>
      <c r="F30" s="12" t="str">
        <f t="shared" si="0"/>
        <v>SLR, Mandsaur</v>
      </c>
      <c r="G30" s="12" t="s">
        <v>635</v>
      </c>
      <c r="H30" s="12" t="s">
        <v>391</v>
      </c>
    </row>
    <row r="31" spans="1:8" x14ac:dyDescent="0.3">
      <c r="A31" s="4">
        <v>30</v>
      </c>
      <c r="B31" s="4" t="s">
        <v>361</v>
      </c>
      <c r="C31" s="5" t="s">
        <v>362</v>
      </c>
      <c r="D31" s="5" t="s">
        <v>179</v>
      </c>
      <c r="E31" s="11" t="s">
        <v>290</v>
      </c>
      <c r="F31" s="12" t="str">
        <f t="shared" si="0"/>
        <v>SLR, Morena</v>
      </c>
      <c r="G31" s="12" t="s">
        <v>636</v>
      </c>
      <c r="H31" s="12" t="s">
        <v>392</v>
      </c>
    </row>
    <row r="32" spans="1:8" x14ac:dyDescent="0.3">
      <c r="A32" s="4">
        <v>31</v>
      </c>
      <c r="B32" s="4" t="s">
        <v>361</v>
      </c>
      <c r="C32" s="5" t="s">
        <v>362</v>
      </c>
      <c r="D32" s="5" t="s">
        <v>180</v>
      </c>
      <c r="E32" s="11" t="s">
        <v>291</v>
      </c>
      <c r="F32" s="12" t="str">
        <f t="shared" si="0"/>
        <v>SLR, Narsinghpur</v>
      </c>
      <c r="G32" s="12" t="s">
        <v>637</v>
      </c>
      <c r="H32" s="12" t="s">
        <v>393</v>
      </c>
    </row>
    <row r="33" spans="1:8" x14ac:dyDescent="0.3">
      <c r="A33" s="4">
        <v>32</v>
      </c>
      <c r="B33" s="4" t="s">
        <v>361</v>
      </c>
      <c r="C33" s="5" t="s">
        <v>362</v>
      </c>
      <c r="D33" s="5" t="s">
        <v>181</v>
      </c>
      <c r="E33" s="11" t="s">
        <v>292</v>
      </c>
      <c r="F33" s="12" t="str">
        <f t="shared" si="0"/>
        <v>SLR, Neemuch</v>
      </c>
      <c r="G33" s="12" t="s">
        <v>638</v>
      </c>
      <c r="H33" s="12" t="s">
        <v>394</v>
      </c>
    </row>
    <row r="34" spans="1:8" x14ac:dyDescent="0.3">
      <c r="A34" s="4">
        <v>33</v>
      </c>
      <c r="B34" s="4" t="s">
        <v>361</v>
      </c>
      <c r="C34" s="5" t="s">
        <v>362</v>
      </c>
      <c r="D34" s="5" t="s">
        <v>182</v>
      </c>
      <c r="E34" s="11">
        <v>722</v>
      </c>
      <c r="F34" s="12" t="str">
        <f t="shared" si="0"/>
        <v>SLR, Niwari</v>
      </c>
      <c r="G34" s="12" t="s">
        <v>639</v>
      </c>
      <c r="H34" s="12" t="s">
        <v>395</v>
      </c>
    </row>
    <row r="35" spans="1:8" x14ac:dyDescent="0.3">
      <c r="A35" s="4">
        <v>34</v>
      </c>
      <c r="B35" s="4" t="s">
        <v>361</v>
      </c>
      <c r="C35" s="5" t="s">
        <v>362</v>
      </c>
      <c r="D35" s="5" t="s">
        <v>56</v>
      </c>
      <c r="E35" s="11" t="s">
        <v>293</v>
      </c>
      <c r="F35" s="12" t="str">
        <f t="shared" si="0"/>
        <v>SLR, Panna</v>
      </c>
      <c r="G35" s="12" t="s">
        <v>640</v>
      </c>
      <c r="H35" s="12" t="s">
        <v>396</v>
      </c>
    </row>
    <row r="36" spans="1:8" x14ac:dyDescent="0.3">
      <c r="A36" s="4">
        <v>35</v>
      </c>
      <c r="B36" s="4" t="s">
        <v>361</v>
      </c>
      <c r="C36" s="5" t="s">
        <v>362</v>
      </c>
      <c r="D36" s="5" t="s">
        <v>13</v>
      </c>
      <c r="E36" s="11" t="s">
        <v>294</v>
      </c>
      <c r="F36" s="12" t="str">
        <f t="shared" si="0"/>
        <v>SLR, Raisen</v>
      </c>
      <c r="G36" s="12" t="s">
        <v>641</v>
      </c>
      <c r="H36" s="12" t="s">
        <v>397</v>
      </c>
    </row>
    <row r="37" spans="1:8" x14ac:dyDescent="0.3">
      <c r="A37" s="4">
        <v>36</v>
      </c>
      <c r="B37" s="4" t="s">
        <v>361</v>
      </c>
      <c r="C37" s="5" t="s">
        <v>362</v>
      </c>
      <c r="D37" s="5" t="s">
        <v>39</v>
      </c>
      <c r="E37" s="11" t="s">
        <v>295</v>
      </c>
      <c r="F37" s="12" t="str">
        <f t="shared" si="0"/>
        <v>SLR, Rajgarh</v>
      </c>
      <c r="G37" s="12" t="s">
        <v>642</v>
      </c>
      <c r="H37" s="12" t="s">
        <v>398</v>
      </c>
    </row>
    <row r="38" spans="1:8" x14ac:dyDescent="0.3">
      <c r="A38" s="4">
        <v>37</v>
      </c>
      <c r="B38" s="4" t="s">
        <v>361</v>
      </c>
      <c r="C38" s="5" t="s">
        <v>362</v>
      </c>
      <c r="D38" s="5" t="s">
        <v>19</v>
      </c>
      <c r="E38" s="11" t="s">
        <v>296</v>
      </c>
      <c r="F38" s="12" t="str">
        <f t="shared" si="0"/>
        <v>SLR, Ratlam</v>
      </c>
      <c r="G38" s="12" t="s">
        <v>643</v>
      </c>
      <c r="H38" s="12" t="s">
        <v>399</v>
      </c>
    </row>
    <row r="39" spans="1:8" x14ac:dyDescent="0.3">
      <c r="A39" s="4">
        <v>38</v>
      </c>
      <c r="B39" s="4" t="s">
        <v>361</v>
      </c>
      <c r="C39" s="5" t="s">
        <v>362</v>
      </c>
      <c r="D39" s="5" t="s">
        <v>183</v>
      </c>
      <c r="E39" s="11" t="s">
        <v>297</v>
      </c>
      <c r="F39" s="12" t="str">
        <f t="shared" si="0"/>
        <v>SLR, Rewa</v>
      </c>
      <c r="G39" s="12" t="s">
        <v>644</v>
      </c>
      <c r="H39" s="12" t="s">
        <v>400</v>
      </c>
    </row>
    <row r="40" spans="1:8" x14ac:dyDescent="0.3">
      <c r="A40" s="4">
        <v>39</v>
      </c>
      <c r="B40" s="4" t="s">
        <v>361</v>
      </c>
      <c r="C40" s="5" t="s">
        <v>362</v>
      </c>
      <c r="D40" s="5" t="s">
        <v>184</v>
      </c>
      <c r="E40" s="11" t="s">
        <v>298</v>
      </c>
      <c r="F40" s="12" t="str">
        <f t="shared" si="0"/>
        <v>SLR, Sagar</v>
      </c>
      <c r="G40" s="12" t="s">
        <v>645</v>
      </c>
      <c r="H40" s="12" t="s">
        <v>401</v>
      </c>
    </row>
    <row r="41" spans="1:8" x14ac:dyDescent="0.3">
      <c r="A41" s="4">
        <v>40</v>
      </c>
      <c r="B41" s="4" t="s">
        <v>361</v>
      </c>
      <c r="C41" s="5" t="s">
        <v>362</v>
      </c>
      <c r="D41" s="5" t="s">
        <v>185</v>
      </c>
      <c r="E41" s="11" t="s">
        <v>299</v>
      </c>
      <c r="F41" s="12" t="str">
        <f t="shared" si="0"/>
        <v>SLR, Satna</v>
      </c>
      <c r="G41" s="12" t="s">
        <v>646</v>
      </c>
      <c r="H41" s="12" t="s">
        <v>402</v>
      </c>
    </row>
    <row r="42" spans="1:8" x14ac:dyDescent="0.3">
      <c r="A42" s="4">
        <v>41</v>
      </c>
      <c r="B42" s="4" t="s">
        <v>361</v>
      </c>
      <c r="C42" s="5" t="s">
        <v>362</v>
      </c>
      <c r="D42" s="5" t="s">
        <v>36</v>
      </c>
      <c r="E42" s="11" t="s">
        <v>300</v>
      </c>
      <c r="F42" s="12" t="str">
        <f t="shared" si="0"/>
        <v>SLR, Sehore</v>
      </c>
      <c r="G42" s="12" t="s">
        <v>647</v>
      </c>
      <c r="H42" s="12" t="s">
        <v>403</v>
      </c>
    </row>
    <row r="43" spans="1:8" x14ac:dyDescent="0.3">
      <c r="A43" s="4">
        <v>42</v>
      </c>
      <c r="B43" s="4" t="s">
        <v>361</v>
      </c>
      <c r="C43" s="5" t="s">
        <v>362</v>
      </c>
      <c r="D43" s="5" t="s">
        <v>73</v>
      </c>
      <c r="E43" s="11" t="s">
        <v>301</v>
      </c>
      <c r="F43" s="12" t="str">
        <f t="shared" si="0"/>
        <v>SLR, Seoni</v>
      </c>
      <c r="G43" s="12" t="s">
        <v>648</v>
      </c>
      <c r="H43" s="12" t="s">
        <v>404</v>
      </c>
    </row>
    <row r="44" spans="1:8" x14ac:dyDescent="0.3">
      <c r="A44" s="4">
        <v>43</v>
      </c>
      <c r="B44" s="4" t="s">
        <v>361</v>
      </c>
      <c r="C44" s="5" t="s">
        <v>362</v>
      </c>
      <c r="D44" s="5" t="s">
        <v>5</v>
      </c>
      <c r="E44" s="11" t="s">
        <v>302</v>
      </c>
      <c r="F44" s="12" t="str">
        <f t="shared" si="0"/>
        <v>SLR, Shahdol</v>
      </c>
      <c r="G44" s="12" t="s">
        <v>649</v>
      </c>
      <c r="H44" s="12" t="s">
        <v>405</v>
      </c>
    </row>
    <row r="45" spans="1:8" x14ac:dyDescent="0.3">
      <c r="A45" s="4">
        <v>44</v>
      </c>
      <c r="B45" s="4" t="s">
        <v>361</v>
      </c>
      <c r="C45" s="5" t="s">
        <v>362</v>
      </c>
      <c r="D45" s="5" t="s">
        <v>186</v>
      </c>
      <c r="E45" s="11" t="s">
        <v>303</v>
      </c>
      <c r="F45" s="12" t="str">
        <f t="shared" si="0"/>
        <v>SLR, Shajapur</v>
      </c>
      <c r="G45" s="12" t="s">
        <v>650</v>
      </c>
      <c r="H45" s="12" t="s">
        <v>406</v>
      </c>
    </row>
    <row r="46" spans="1:8" x14ac:dyDescent="0.3">
      <c r="A46" s="4">
        <v>45</v>
      </c>
      <c r="B46" s="4" t="s">
        <v>361</v>
      </c>
      <c r="C46" s="5" t="s">
        <v>362</v>
      </c>
      <c r="D46" s="5" t="s">
        <v>187</v>
      </c>
      <c r="E46" s="11" t="s">
        <v>304</v>
      </c>
      <c r="F46" s="12" t="str">
        <f t="shared" si="0"/>
        <v>SLR, Sheopur</v>
      </c>
      <c r="G46" s="12" t="s">
        <v>616</v>
      </c>
      <c r="H46" s="12" t="s">
        <v>407</v>
      </c>
    </row>
    <row r="47" spans="1:8" x14ac:dyDescent="0.3">
      <c r="A47" s="4">
        <v>46</v>
      </c>
      <c r="B47" s="4" t="s">
        <v>361</v>
      </c>
      <c r="C47" s="5" t="s">
        <v>362</v>
      </c>
      <c r="D47" s="5" t="s">
        <v>42</v>
      </c>
      <c r="E47" s="11" t="s">
        <v>305</v>
      </c>
      <c r="F47" s="12" t="str">
        <f t="shared" si="0"/>
        <v>SLR, Shivpuri</v>
      </c>
      <c r="G47" s="12" t="s">
        <v>615</v>
      </c>
      <c r="H47" s="12" t="s">
        <v>408</v>
      </c>
    </row>
    <row r="48" spans="1:8" x14ac:dyDescent="0.3">
      <c r="A48" s="4">
        <v>47</v>
      </c>
      <c r="B48" s="4" t="s">
        <v>361</v>
      </c>
      <c r="C48" s="5" t="s">
        <v>362</v>
      </c>
      <c r="D48" s="5" t="s">
        <v>188</v>
      </c>
      <c r="E48" s="11" t="s">
        <v>306</v>
      </c>
      <c r="F48" s="12" t="str">
        <f t="shared" si="0"/>
        <v>SLR, Sidhi</v>
      </c>
      <c r="G48" s="12" t="s">
        <v>614</v>
      </c>
      <c r="H48" s="12" t="s">
        <v>409</v>
      </c>
    </row>
    <row r="49" spans="1:8" x14ac:dyDescent="0.3">
      <c r="A49" s="4">
        <v>48</v>
      </c>
      <c r="B49" s="4" t="s">
        <v>361</v>
      </c>
      <c r="C49" s="5" t="s">
        <v>362</v>
      </c>
      <c r="D49" s="5" t="s">
        <v>189</v>
      </c>
      <c r="E49" s="11" t="s">
        <v>307</v>
      </c>
      <c r="F49" s="12" t="str">
        <f t="shared" si="0"/>
        <v>SLR, Singrauli</v>
      </c>
      <c r="G49" s="12" t="s">
        <v>613</v>
      </c>
      <c r="H49" s="12" t="s">
        <v>410</v>
      </c>
    </row>
    <row r="50" spans="1:8" x14ac:dyDescent="0.3">
      <c r="A50" s="4">
        <v>49</v>
      </c>
      <c r="B50" s="4" t="s">
        <v>361</v>
      </c>
      <c r="C50" s="5" t="s">
        <v>362</v>
      </c>
      <c r="D50" s="5" t="s">
        <v>7</v>
      </c>
      <c r="E50" s="11" t="s">
        <v>308</v>
      </c>
      <c r="F50" s="12" t="str">
        <f t="shared" si="0"/>
        <v>SLR, Tikamgarh</v>
      </c>
      <c r="G50" s="12" t="s">
        <v>612</v>
      </c>
      <c r="H50" s="12" t="s">
        <v>411</v>
      </c>
    </row>
    <row r="51" spans="1:8" x14ac:dyDescent="0.3">
      <c r="A51" s="4">
        <v>50</v>
      </c>
      <c r="B51" s="4" t="s">
        <v>361</v>
      </c>
      <c r="C51" s="5" t="s">
        <v>362</v>
      </c>
      <c r="D51" s="5" t="s">
        <v>190</v>
      </c>
      <c r="E51" s="11" t="s">
        <v>309</v>
      </c>
      <c r="F51" s="12" t="str">
        <f t="shared" si="0"/>
        <v>SLR, Ujjain</v>
      </c>
      <c r="G51" s="12" t="s">
        <v>611</v>
      </c>
      <c r="H51" s="12" t="s">
        <v>412</v>
      </c>
    </row>
    <row r="52" spans="1:8" x14ac:dyDescent="0.3">
      <c r="A52" s="4">
        <v>51</v>
      </c>
      <c r="B52" s="4" t="s">
        <v>361</v>
      </c>
      <c r="C52" s="5" t="s">
        <v>362</v>
      </c>
      <c r="D52" s="5" t="s">
        <v>191</v>
      </c>
      <c r="E52" s="11" t="s">
        <v>310</v>
      </c>
      <c r="F52" s="12" t="str">
        <f t="shared" si="0"/>
        <v>SLR, Umaria</v>
      </c>
      <c r="G52" s="12" t="s">
        <v>610</v>
      </c>
      <c r="H52" s="12" t="s">
        <v>413</v>
      </c>
    </row>
    <row r="53" spans="1:8" x14ac:dyDescent="0.3">
      <c r="A53" s="4">
        <v>52</v>
      </c>
      <c r="B53" s="4" t="s">
        <v>361</v>
      </c>
      <c r="C53" s="5" t="s">
        <v>362</v>
      </c>
      <c r="D53" s="5" t="s">
        <v>65</v>
      </c>
      <c r="E53" s="11" t="s">
        <v>311</v>
      </c>
      <c r="F53" s="12" t="str">
        <f t="shared" si="0"/>
        <v>SLR, Vidisha</v>
      </c>
      <c r="G53" s="12" t="s">
        <v>609</v>
      </c>
      <c r="H53" s="12" t="s">
        <v>414</v>
      </c>
    </row>
    <row r="54" spans="1:8" x14ac:dyDescent="0.3">
      <c r="A54" s="4">
        <v>52</v>
      </c>
      <c r="B54" s="4" t="s">
        <v>361</v>
      </c>
      <c r="C54" s="5" t="s">
        <v>362</v>
      </c>
      <c r="D54" s="26" t="s">
        <v>775</v>
      </c>
      <c r="E54">
        <v>766</v>
      </c>
      <c r="F54" s="27" t="str">
        <f t="shared" si="0"/>
        <v>SLR, Mauganj</v>
      </c>
      <c r="G54" s="12" t="s">
        <v>776</v>
      </c>
      <c r="H54" s="19" t="s">
        <v>777</v>
      </c>
    </row>
  </sheetData>
  <hyperlinks>
    <hyperlink ref="H54" r:id="rId1" xr:uid="{28B4A0FF-E3B4-47A0-AD33-7F21F2B35F1D}"/>
  </hyperlinks>
  <pageMargins left="0.7" right="0.7" top="0.75" bottom="0.75" header="0.3" footer="0.3"/>
  <pageSetup orientation="portrait" horizontalDpi="1200" verticalDpi="12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4"/>
  <sheetViews>
    <sheetView workbookViewId="0">
      <selection activeCell="J12" sqref="J12"/>
    </sheetView>
  </sheetViews>
  <sheetFormatPr defaultColWidth="30.77734375" defaultRowHeight="14.4" x14ac:dyDescent="0.3"/>
  <cols>
    <col min="1" max="1" width="5.21875" bestFit="1" customWidth="1"/>
    <col min="2" max="2" width="8.21875" bestFit="1" customWidth="1"/>
    <col min="3" max="3" width="20.21875" bestFit="1" customWidth="1"/>
    <col min="4" max="4" width="13.21875" bestFit="1" customWidth="1"/>
    <col min="5" max="5" width="20.21875" bestFit="1" customWidth="1"/>
    <col min="6" max="6" width="14.21875" bestFit="1" customWidth="1"/>
    <col min="7" max="7" width="17.44140625" bestFit="1" customWidth="1"/>
    <col min="8" max="8" width="20.5546875" bestFit="1" customWidth="1"/>
  </cols>
  <sheetData>
    <row r="1" spans="1:8" ht="26.4" x14ac:dyDescent="0.3">
      <c r="A1" s="2" t="s">
        <v>0</v>
      </c>
      <c r="B1" s="2" t="s">
        <v>89</v>
      </c>
      <c r="C1" s="2" t="s">
        <v>115</v>
      </c>
      <c r="D1" s="2" t="s">
        <v>249</v>
      </c>
      <c r="E1" s="2" t="s">
        <v>2</v>
      </c>
      <c r="F1" s="3" t="s">
        <v>75</v>
      </c>
      <c r="G1" s="3" t="s">
        <v>76</v>
      </c>
      <c r="H1" s="2" t="s">
        <v>257</v>
      </c>
    </row>
    <row r="2" spans="1:8" x14ac:dyDescent="0.3">
      <c r="A2" s="12">
        <v>1</v>
      </c>
      <c r="B2" s="12" t="s">
        <v>250</v>
      </c>
      <c r="C2" s="12" t="s">
        <v>250</v>
      </c>
      <c r="D2" s="12" t="s">
        <v>251</v>
      </c>
      <c r="E2" s="12" t="s">
        <v>250</v>
      </c>
      <c r="F2" s="12" t="s">
        <v>254</v>
      </c>
      <c r="G2" s="12" t="str">
        <f>CONCATENATE(F2,"@123")</f>
        <v>prc@123</v>
      </c>
      <c r="H2" s="12" t="s">
        <v>258</v>
      </c>
    </row>
    <row r="3" spans="1:8" x14ac:dyDescent="0.3">
      <c r="A3" s="12">
        <v>2</v>
      </c>
      <c r="B3" s="12" t="s">
        <v>250</v>
      </c>
      <c r="C3" s="12" t="s">
        <v>253</v>
      </c>
      <c r="D3" s="12" t="s">
        <v>251</v>
      </c>
      <c r="E3" s="12" t="s">
        <v>253</v>
      </c>
      <c r="F3" s="12" t="s">
        <v>255</v>
      </c>
      <c r="G3" s="12" t="str">
        <f t="shared" ref="G3:G4" si="0">CONCATENATE(F3,"@123")</f>
        <v>dsprc@123</v>
      </c>
      <c r="H3" s="12" t="s">
        <v>258</v>
      </c>
    </row>
    <row r="4" spans="1:8" x14ac:dyDescent="0.3">
      <c r="A4" s="12">
        <v>3</v>
      </c>
      <c r="B4" s="12" t="s">
        <v>250</v>
      </c>
      <c r="C4" s="12" t="s">
        <v>252</v>
      </c>
      <c r="D4" s="12" t="s">
        <v>251</v>
      </c>
      <c r="E4" s="12" t="s">
        <v>252</v>
      </c>
      <c r="F4" s="12" t="s">
        <v>256</v>
      </c>
      <c r="G4" s="12" t="str">
        <f t="shared" si="0"/>
        <v>toprc@123</v>
      </c>
      <c r="H4" s="12" t="s">
        <v>258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8"/>
  <sheetViews>
    <sheetView workbookViewId="0">
      <selection activeCell="A20" sqref="A20"/>
    </sheetView>
  </sheetViews>
  <sheetFormatPr defaultRowHeight="14.4" x14ac:dyDescent="0.3"/>
  <cols>
    <col min="1" max="1" width="4.77734375" bestFit="1" customWidth="1"/>
    <col min="2" max="2" width="9.44140625" bestFit="1" customWidth="1"/>
    <col min="3" max="3" width="24.77734375" bestFit="1" customWidth="1"/>
    <col min="4" max="4" width="13.21875" bestFit="1" customWidth="1"/>
    <col min="5" max="5" width="24.77734375" bestFit="1" customWidth="1"/>
    <col min="6" max="6" width="9.21875" bestFit="1" customWidth="1"/>
    <col min="7" max="7" width="14" bestFit="1" customWidth="1"/>
  </cols>
  <sheetData>
    <row r="1" spans="1:7" ht="26.4" x14ac:dyDescent="0.3">
      <c r="A1" s="2" t="s">
        <v>0</v>
      </c>
      <c r="B1" s="2" t="s">
        <v>89</v>
      </c>
      <c r="C1" s="2" t="s">
        <v>115</v>
      </c>
      <c r="D1" s="2" t="s">
        <v>249</v>
      </c>
      <c r="E1" s="2" t="s">
        <v>2</v>
      </c>
      <c r="F1" s="3" t="s">
        <v>75</v>
      </c>
      <c r="G1" s="3" t="s">
        <v>76</v>
      </c>
    </row>
    <row r="2" spans="1:7" x14ac:dyDescent="0.3">
      <c r="A2" s="12">
        <v>1</v>
      </c>
      <c r="B2" s="12" t="s">
        <v>324</v>
      </c>
      <c r="C2" s="12" t="s">
        <v>325</v>
      </c>
      <c r="D2" s="12" t="s">
        <v>32</v>
      </c>
      <c r="E2" s="12" t="str">
        <f>C2</f>
        <v>Technical Officer, Smart City</v>
      </c>
      <c r="F2" s="12" t="s">
        <v>326</v>
      </c>
      <c r="G2" s="12" t="str">
        <f>CONCATENATE(F2,"@123")</f>
        <v>scbhopal@123</v>
      </c>
    </row>
    <row r="3" spans="1:7" x14ac:dyDescent="0.3">
      <c r="A3" s="12">
        <v>2</v>
      </c>
      <c r="B3" s="12" t="s">
        <v>324</v>
      </c>
      <c r="C3" s="12" t="s">
        <v>325</v>
      </c>
      <c r="D3" s="12" t="s">
        <v>174</v>
      </c>
      <c r="E3" s="12" t="str">
        <f t="shared" ref="E3:E8" si="0">C3</f>
        <v>Technical Officer, Smart City</v>
      </c>
      <c r="F3" s="12" t="s">
        <v>327</v>
      </c>
      <c r="G3" s="12" t="str">
        <f t="shared" ref="G3:G8" si="1">CONCATENATE(F3,"@123")</f>
        <v>scindore@123</v>
      </c>
    </row>
    <row r="4" spans="1:7" x14ac:dyDescent="0.3">
      <c r="A4" s="12">
        <v>3</v>
      </c>
      <c r="B4" s="12" t="s">
        <v>324</v>
      </c>
      <c r="C4" s="12" t="s">
        <v>325</v>
      </c>
      <c r="D4" s="12" t="s">
        <v>172</v>
      </c>
      <c r="E4" s="12" t="str">
        <f t="shared" si="0"/>
        <v>Technical Officer, Smart City</v>
      </c>
      <c r="F4" s="12" t="s">
        <v>328</v>
      </c>
      <c r="G4" s="12" t="str">
        <f t="shared" si="1"/>
        <v>scgwalior@123</v>
      </c>
    </row>
    <row r="5" spans="1:7" x14ac:dyDescent="0.3">
      <c r="A5" s="12">
        <v>4</v>
      </c>
      <c r="B5" s="12" t="s">
        <v>324</v>
      </c>
      <c r="C5" s="12" t="s">
        <v>325</v>
      </c>
      <c r="D5" s="12" t="s">
        <v>10</v>
      </c>
      <c r="E5" s="12" t="str">
        <f t="shared" si="0"/>
        <v>Technical Officer, Smart City</v>
      </c>
      <c r="F5" s="12" t="s">
        <v>329</v>
      </c>
      <c r="G5" s="12" t="str">
        <f t="shared" si="1"/>
        <v>scjabalpur@123</v>
      </c>
    </row>
    <row r="6" spans="1:7" x14ac:dyDescent="0.3">
      <c r="A6" s="12">
        <v>5</v>
      </c>
      <c r="B6" s="12" t="s">
        <v>324</v>
      </c>
      <c r="C6" s="12" t="s">
        <v>325</v>
      </c>
      <c r="D6" s="12" t="s">
        <v>184</v>
      </c>
      <c r="E6" s="12" t="str">
        <f t="shared" si="0"/>
        <v>Technical Officer, Smart City</v>
      </c>
      <c r="F6" s="12" t="s">
        <v>330</v>
      </c>
      <c r="G6" s="12" t="str">
        <f t="shared" si="1"/>
        <v>scsagar@123</v>
      </c>
    </row>
    <row r="7" spans="1:7" x14ac:dyDescent="0.3">
      <c r="A7" s="12">
        <v>6</v>
      </c>
      <c r="B7" s="12" t="s">
        <v>324</v>
      </c>
      <c r="C7" s="12" t="s">
        <v>325</v>
      </c>
      <c r="D7" s="12" t="s">
        <v>185</v>
      </c>
      <c r="E7" s="12" t="str">
        <f t="shared" si="0"/>
        <v>Technical Officer, Smart City</v>
      </c>
      <c r="F7" s="12" t="s">
        <v>331</v>
      </c>
      <c r="G7" s="12" t="str">
        <f t="shared" si="1"/>
        <v>scsatna@123</v>
      </c>
    </row>
    <row r="8" spans="1:7" x14ac:dyDescent="0.3">
      <c r="A8" s="12">
        <v>7</v>
      </c>
      <c r="B8" s="12" t="s">
        <v>324</v>
      </c>
      <c r="C8" s="12" t="s">
        <v>325</v>
      </c>
      <c r="D8" s="12" t="s">
        <v>190</v>
      </c>
      <c r="E8" s="12" t="str">
        <f t="shared" si="0"/>
        <v>Technical Officer, Smart City</v>
      </c>
      <c r="F8" s="12" t="s">
        <v>332</v>
      </c>
      <c r="G8" s="12" t="str">
        <f t="shared" si="1"/>
        <v>scujjain@123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G3"/>
  <sheetViews>
    <sheetView workbookViewId="0">
      <selection activeCell="H11" sqref="H11"/>
    </sheetView>
  </sheetViews>
  <sheetFormatPr defaultColWidth="20.77734375" defaultRowHeight="14.4" x14ac:dyDescent="0.3"/>
  <cols>
    <col min="1" max="1" width="5.21875" bestFit="1" customWidth="1"/>
    <col min="2" max="2" width="8.77734375" bestFit="1" customWidth="1"/>
    <col min="3" max="3" width="11.21875" bestFit="1" customWidth="1"/>
    <col min="4" max="4" width="12.21875" bestFit="1" customWidth="1"/>
    <col min="5" max="5" width="16.44140625" bestFit="1" customWidth="1"/>
    <col min="6" max="6" width="14.21875" bestFit="1" customWidth="1"/>
    <col min="7" max="7" width="17.44140625" bestFit="1" customWidth="1"/>
  </cols>
  <sheetData>
    <row r="1" spans="1:7" x14ac:dyDescent="0.3">
      <c r="A1" s="2" t="s">
        <v>0</v>
      </c>
      <c r="B1" s="2" t="s">
        <v>89</v>
      </c>
      <c r="C1" s="2" t="s">
        <v>115</v>
      </c>
      <c r="D1" s="2" t="s">
        <v>249</v>
      </c>
      <c r="E1" s="2" t="s">
        <v>2</v>
      </c>
      <c r="F1" s="3" t="s">
        <v>75</v>
      </c>
      <c r="G1" s="3" t="s">
        <v>76</v>
      </c>
    </row>
    <row r="2" spans="1:7" x14ac:dyDescent="0.3">
      <c r="A2" s="12">
        <v>1</v>
      </c>
      <c r="B2" s="12" t="s">
        <v>497</v>
      </c>
      <c r="C2" s="12" t="s">
        <v>497</v>
      </c>
      <c r="D2" s="12" t="s">
        <v>111</v>
      </c>
      <c r="E2" s="12" t="str">
        <f>C2</f>
        <v>VBSR</v>
      </c>
      <c r="F2" s="12" t="s">
        <v>498</v>
      </c>
      <c r="G2" s="12" t="str">
        <f>CONCATENATE(F2,"@123")</f>
        <v>vbsr@123</v>
      </c>
    </row>
    <row r="3" spans="1:7" x14ac:dyDescent="0.3">
      <c r="A3" s="12">
        <v>2</v>
      </c>
      <c r="B3" s="12" t="s">
        <v>499</v>
      </c>
      <c r="C3" s="12" t="s">
        <v>499</v>
      </c>
      <c r="D3" s="12" t="s">
        <v>111</v>
      </c>
      <c r="E3" s="12" t="s">
        <v>500</v>
      </c>
      <c r="F3" s="12" t="s">
        <v>501</v>
      </c>
      <c r="G3" s="12" t="s">
        <v>502</v>
      </c>
    </row>
  </sheetData>
  <hyperlinks>
    <hyperlink ref="G3" r:id="rId1" xr:uid="{00000000-0004-0000-0B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WRD_L1_Login</vt:lpstr>
      <vt:lpstr>WRD_L2_Login</vt:lpstr>
      <vt:lpstr>WRD_L3</vt:lpstr>
      <vt:lpstr>SDERF_L1_Login</vt:lpstr>
      <vt:lpstr>SDERF_L2_Login</vt:lpstr>
      <vt:lpstr>SDERF_L3</vt:lpstr>
      <vt:lpstr>DIstrict_Admin</vt:lpstr>
      <vt:lpstr>Division</vt:lpstr>
      <vt:lpstr>Revenue_Admin_District</vt:lpstr>
      <vt:lpstr>Revenue_PRC</vt:lpstr>
      <vt:lpstr>SmartCity</vt:lpstr>
      <vt:lpstr>VBSR_MAP_IT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IMAGE_P</dc:creator>
  <cp:lastModifiedBy>sandarbh sonya</cp:lastModifiedBy>
  <dcterms:created xsi:type="dcterms:W3CDTF">2021-05-11T11:52:57Z</dcterms:created>
  <dcterms:modified xsi:type="dcterms:W3CDTF">2026-02-25T08:41:01Z</dcterms:modified>
</cp:coreProperties>
</file>