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 History" sheetId="1" state="visible" r:id="rId3"/>
    <sheet name="Cycle 5 Summary" sheetId="2" state="visible" r:id="rId4"/>
    <sheet name="Master" sheetId="3" state="visible" r:id="rId5"/>
    <sheet name="Baseline Productivity " sheetId="4" state="visible" r:id="rId6"/>
    <sheet name="Guidelines" sheetId="5" state="visible" r:id="rId7"/>
    <sheet name="OM Billing Est C5" sheetId="6" state="visible" r:id="rId8"/>
    <sheet name="Sahbhagita Est C5" sheetId="7" state="visible" r:id="rId9"/>
    <sheet name="Dhara Est C5" sheetId="8" state="visible" r:id="rId10"/>
    <sheet name="Vistrit Est C5" sheetId="9" state="visible" r:id="rId11"/>
    <sheet name="FHTC Parinam Est C5" sheetId="10" state="visible" r:id="rId12"/>
    <sheet name="BISAC Integration Est C5" sheetId="11" state="visible" r:id="rId13"/>
    <sheet name="eSign CDAC Est C5" sheetId="12" state="visible" r:id="rId14"/>
    <sheet name="Anusharavan Est C5" sheetId="13" state="visible" r:id="rId15"/>
    <sheet name="Cube Testing Est C5" sheetId="14" state="visible" r:id="rId16"/>
    <sheet name="SVS Est C5" sheetId="15" state="visible" r:id="rId17"/>
    <sheet name="Vistrit OTP Est C5" sheetId="16" state="visible" r:id="rId18"/>
    <sheet name="CMMI Doc Est C5" sheetId="17" state="visible" r:id="rId19"/>
    <sheet name="OM Billing Workflow Est C5" sheetId="18" state="visible" r:id="rId20"/>
    <sheet name="Material Testing Est C5" sheetId="19" state="visible" r:id="rId21"/>
    <sheet name="Nirmal Est C5" sheetId="20" state="visible" r:id="rId22"/>
    <sheet name="AI Module FHTC Est C5" sheetId="21" state="visible" r:id="rId23"/>
    <sheet name="Master Data Est C5" sheetId="22" state="visible" r:id="rId24"/>
    <sheet name="Asset Mapping Est C5" sheetId="23" state="visible" r:id="rId25"/>
    <sheet name="Bharosa Est C5" sheetId="24" state="visible" r:id="rId26"/>
    <sheet name="Daily Inspection Est C5" sheetId="25" state="visible" r:id="rId27"/>
    <sheet name="Sopan Est C5" sheetId="26" state="visible" r:id="rId28"/>
    <sheet name="QA Automation Est C5" sheetId="27" state="visible" r:id="rId29"/>
  </sheets>
  <definedNames>
    <definedName function="false" hidden="false" name="ACE" vbProcedure="false">master!#ref!</definedName>
    <definedName function="false" hidden="false" name="AGILE_1" vbProcedure="false">master!#ref!</definedName>
    <definedName function="false" hidden="false" name="AGILE_2" vbProcedure="false">master!#ref!</definedName>
    <definedName function="false" hidden="false" name="AUT" vbProcedure="false">master!#ref!</definedName>
    <definedName function="false" hidden="false" name="Automation" vbProcedure="false">master!#ref!</definedName>
    <definedName function="false" hidden="false" name="Code_element" vbProcedure="false">Master!$A$4:$B$4</definedName>
    <definedName function="false" hidden="false" name="DACL" vbProcedure="false">master!#ref!</definedName>
    <definedName function="false" hidden="false" name="Data" vbProcedure="false">master!#ref!</definedName>
    <definedName function="false" hidden="false" name="Data_Modeling" vbProcedure="false">master!#ref!</definedName>
    <definedName function="false" hidden="false" name="Development" vbProcedure="false">Master!$A$3:$A$28</definedName>
    <definedName function="false" hidden="false" name="Enhancement_and_customization" vbProcedure="false">Master!$B$3:$B$21</definedName>
    <definedName function="false" hidden="false" name="GEN_AI" vbProcedure="false">master!#ref!</definedName>
    <definedName function="false" hidden="false" name="GLBS" vbProcedure="false">master!#ref!</definedName>
    <definedName function="false" hidden="false" name="Infra_Setup" vbProcedure="false">Master!$A$7:$B$7</definedName>
    <definedName function="false" hidden="false" name="Ingestion" vbProcedure="false">Master!$A$6:$B$6</definedName>
    <definedName function="false" hidden="false" name="IOT" vbProcedure="false">master!#ref!</definedName>
    <definedName function="false" hidden="false" name="Marktek" vbProcedure="false">master!#ref!</definedName>
    <definedName function="false" hidden="false" name="MSDA" vbProcedure="false">master!#ref!</definedName>
    <definedName function="false" hidden="false" name="MSI" vbProcedure="false">Master!$A$3:$A$11</definedName>
    <definedName function="false" hidden="false" name="New_Development" vbProcedure="false">Master!$A$3:$A$21</definedName>
    <definedName function="false" hidden="false" name="Reports" vbProcedure="false">Master!$A$5:$B$5</definedName>
    <definedName function="false" hidden="false" name="Scalable_development" vbProcedure="false">master!#ref!</definedName>
    <definedName function="false" hidden="false" name="Screen" vbProcedure="false">Master!$A$3:$B$3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<sst xmlns="http://schemas.openxmlformats.org/spreadsheetml/2006/main" count="2128" uniqueCount="582">
  <si>
    <t xml:space="preserve">Date</t>
  </si>
  <si>
    <t xml:space="preserve">Version</t>
  </si>
  <si>
    <t xml:space="preserve">Description </t>
  </si>
  <si>
    <t xml:space="preserve">Prepared by</t>
  </si>
  <si>
    <t xml:space="preserve">Reviewed &amp; approved by</t>
  </si>
  <si>
    <t xml:space="preserve">Size base Estimation Model First baseline</t>
  </si>
  <si>
    <t xml:space="preserve">SEPG Team </t>
  </si>
  <si>
    <t xml:space="preserve">SEPG Head </t>
  </si>
  <si>
    <t xml:space="preserve">1.4</t>
  </si>
  <si>
    <t xml:space="preserve">Cycle 4 (Jan-May 2026) Size based Estimation - All modules updated</t>
  </si>
  <si>
    <t xml:space="preserve">SEPG Team</t>
  </si>
  <si>
    <t xml:space="preserve">SEPG Head</t>
  </si>
  <si>
    <t xml:space="preserve">2.0</t>
  </si>
  <si>
    <t xml:space="preserve">Cycle 4 Estimation corrected – All module Size and Effort values updated per CMMI L5 size-based estimation guidelines. Productivity=0.18 pt/hr; VAF=1.01; Risk=5%; PM=10%. Sizes: ANS=26, AST=9, BHR=23, CUBE=69, DHR=89, FHTC=53, MST=38, MAT=51, NRM=22, O&amp;M=96, SAH=10, SVS=11. All hardcoded Size/TotalCount cells converted to Excel formulas. Complexity distributions recalibrated per Guidelines sheet.</t>
  </si>
  <si>
    <t xml:space="preserve">1.0</t>
  </si>
  <si>
    <t xml:space="preserve">Cycle 5 (June-July 2026) Size based Estimation - New workbook covering all 22 modules per the Consolidated User Story Register (107 stories) and CR Log. Methodology inherited from Cycle 4 V2.0: Productivity=0.18 pt/hr, VAF=1.01 (Total rating=36, retained from Cycle 4 baseline, not re-scored), Risk=5%, PM=10%. Complexity per story derived from its logged Effort (hrs) in the User Story Register: &lt;=8 hrs=Low(1), 9-16 hrs=Medium(3), &gt;16 hrs=High(5). Actual Consumed Hrs per module sourced from the Date-Wise Time Sheet (Cycle 5, Jun-Jul 2026) via Module Name mapping; unmapped generic timesheet entries (Dashboard/DevOps/Meetings, 59 hrs) are shown separately and excluded from module actuals.</t>
  </si>
  <si>
    <t xml:space="preserve">Mr. Dheeraj Motiyani</t>
  </si>
  <si>
    <t xml:space="preserve">Mr. Tapan Khandelwal</t>
  </si>
  <si>
    <t xml:space="preserve">JAL REKHA - CYCLE 5 (JUNE-JULY 2026) SIZE-BASED ESTIMATION SUMMARY</t>
  </si>
  <si>
    <t xml:space="preserve">Prepared by: Mr. Dheeraj Motiyani, Sr. Business Analyst  |  Basis: Consolidated User Story Register + Date-Wise Time Sheet (Cycle 5)</t>
  </si>
  <si>
    <t xml:space="preserve">Sr. No.</t>
  </si>
  <si>
    <t xml:space="preserve">Module</t>
  </si>
  <si>
    <t xml:space="preserve">User
Stories</t>
  </si>
  <si>
    <t xml:space="preserve">Total Size
(Points)</t>
  </si>
  <si>
    <t xml:space="preserve">Planned Effort
(Man-hrs)</t>
  </si>
  <si>
    <t xml:space="preserve">Actual Consumed
Hrs (Timesheet)</t>
  </si>
  <si>
    <t xml:space="preserve">Variance
(Man-hrs)</t>
  </si>
  <si>
    <t xml:space="preserve">US Register
Effort (hrs)</t>
  </si>
  <si>
    <t xml:space="preserve">O&amp;M Billing – Aaklan</t>
  </si>
  <si>
    <t xml:space="preserve">Sahbhagita</t>
  </si>
  <si>
    <t xml:space="preserve">Dhara (Reports, Corrections, Disputes)</t>
  </si>
  <si>
    <t xml:space="preserve">Vistrit (Master Module)</t>
  </si>
  <si>
    <t xml:space="preserve">FHTC Parinam</t>
  </si>
  <si>
    <t xml:space="preserve">BISAC / NIC Asset Integration</t>
  </si>
  <si>
    <t xml:space="preserve">e-Sign via CDAC (Aadhaar)</t>
  </si>
  <si>
    <t xml:space="preserve">Anusharavan (June CR)</t>
  </si>
  <si>
    <t xml:space="preserve">Cube Testing (June CR)</t>
  </si>
  <si>
    <t xml:space="preserve">SVS Water Supply Monitoring (June CR)</t>
  </si>
  <si>
    <t xml:space="preserve">Vistrit OTP &amp; Validation</t>
  </si>
  <si>
    <t xml:space="preserve">CMMI Documentation</t>
  </si>
  <si>
    <t xml:space="preserve">O&amp;M Billing Workflow Module (Multi-Level Approval Chain)</t>
  </si>
  <si>
    <t xml:space="preserve">Material Testing</t>
  </si>
  <si>
    <t xml:space="preserve">Nirmal Module</t>
  </si>
  <si>
    <t xml:space="preserve">AI Module - FHTC Tap Connection Detection</t>
  </si>
  <si>
    <t xml:space="preserve">Master Data Module</t>
  </si>
  <si>
    <t xml:space="preserve">Asset Mapping (BISAC)</t>
  </si>
  <si>
    <t xml:space="preserve">Bharosa (Factory Testing)</t>
  </si>
  <si>
    <t xml:space="preserve">Daily Inspection</t>
  </si>
  <si>
    <t xml:space="preserve">Sopan</t>
  </si>
  <si>
    <t xml:space="preserve">QA - User &amp; Role Management Automation</t>
  </si>
  <si>
    <t xml:space="preserve">GRAND TOTAL (Cycle 5, 22 modules)</t>
  </si>
  <si>
    <t xml:space="preserve">Notes:</t>
  </si>
  <si>
    <t xml:space="preserve">1. Complexity per user story is derived from its logged Effort (hrs) in the Consolidated User Story Register: &lt;=8 hrs = Low (weight 1), 9-16 hrs = Medium (weight 3), &gt;16 hrs = High (weight 5). This is an assumption made to fit story-level data into the CMMI size-based model; it has not been independently re-scored against the Guidelines sheet element-by-element.</t>
  </si>
  <si>
    <t xml:space="preserve">2. Productivity (0.18 pt/hr), VAF (1.01, factor Total=36) and Risk (5%) / PM (10%) loadings are retained unchanged from the Cycle 4 V2.0 baseline per SEPG guidelines.</t>
  </si>
  <si>
    <t xml:space="preserve">3. "Actual Consumed Hrs" is aggregated from the Date-Wise Time Sheet (Cycle 5, Jun-Jul 2026) by Module Name, mapped to each estimation sheet. Timesheet entries logged under generic buckets (Dashboard, AzureDevOps, Department Meetings - 59 hrs total) are not attributable to a single module and are excluded from the module rows above; see the "Unmapped Timesheet Hours" row below.</t>
  </si>
  <si>
    <t xml:space="preserve">4. Vistrit, Vistrit OTP &amp; Validation, BISAC/NIC Asset Integration and e-Sign via CDAC did not have a distinctly labelled Module Name in the Cycle 5 timesheet (their effort is likely embedded within Dhara / O&amp;M Billing Workflow timesheet entries); Actual Consumed Hrs for these four modules is shown as 0 rather than estimated.</t>
  </si>
  <si>
    <t xml:space="preserve">5. "US Register Effort (hrs)" is the sum of the Effort (hrs) column already logged against each story in the Consolidated User Story Register - shown as an independent cross-check against the size-based Planned Effort, not an input to it.</t>
  </si>
  <si>
    <t xml:space="preserve">6. The 16 O&amp;M Billing Workflow stories are carried forward unchanged from the Cycle 4 register and have no logged Cycle 5 Effort (hrs) figure (US Register Effort shows 0); complexity for these was defaulted to Medium. The module nonetheless shows 30 actual timesheet hours in Cycle 5 (workflow discussion/requirement-gathering per the June/July MoM), so its Planned-vs-Actual variance should be read with this in mind.</t>
  </si>
  <si>
    <t xml:space="preserve">Unmapped Timesheet Hours (Dashboard/DevOps/Meetings)</t>
  </si>
  <si>
    <t xml:space="preserve">Grand Total Timesheet Hours (all entries, Cycle 5)</t>
  </si>
  <si>
    <t xml:space="preserve">Estimation Elements</t>
  </si>
  <si>
    <t xml:space="preserve">New Development</t>
  </si>
  <si>
    <t xml:space="preserve">Enhancement and customization</t>
  </si>
  <si>
    <t xml:space="preserve">Web Page / Screen with no of input fields </t>
  </si>
  <si>
    <t xml:space="preserve">Type of exit scenario</t>
  </si>
  <si>
    <t xml:space="preserve">No of Validation on the fields</t>
  </si>
  <si>
    <t xml:space="preserve">No of Prefilled fields</t>
  </si>
  <si>
    <t xml:space="preserve">No of API Integrations </t>
  </si>
  <si>
    <t xml:space="preserve">No API integrations for saving the data</t>
  </si>
  <si>
    <t xml:space="preserve">Queries or Business rules for the application</t>
  </si>
  <si>
    <t xml:space="preserve">No of Integration</t>
  </si>
  <si>
    <t xml:space="preserve">mobile App-UI</t>
  </si>
  <si>
    <t xml:space="preserve">Data Migration</t>
  </si>
  <si>
    <t xml:space="preserve">Reports</t>
  </si>
  <si>
    <t xml:space="preserve">Complexity</t>
  </si>
  <si>
    <t xml:space="preserve">Type of work</t>
  </si>
  <si>
    <t xml:space="preserve">VAF Rating</t>
  </si>
  <si>
    <t xml:space="preserve">Low</t>
  </si>
  <si>
    <t xml:space="preserve">5 - Very Strong Influence </t>
  </si>
  <si>
    <t xml:space="preserve">Medium</t>
  </si>
  <si>
    <t xml:space="preserve">4 - Strong Influence </t>
  </si>
  <si>
    <t xml:space="preserve">High</t>
  </si>
  <si>
    <t xml:space="preserve">3 - Average Influence</t>
  </si>
  <si>
    <t xml:space="preserve">Complex</t>
  </si>
  <si>
    <t xml:space="preserve">2 - Moderate Influence</t>
  </si>
  <si>
    <t xml:space="preserve">1- Slight Influence</t>
  </si>
  <si>
    <t xml:space="preserve">0 - No Influence </t>
  </si>
  <si>
    <t xml:space="preserve">Effort Distribution Guidelines</t>
  </si>
  <si>
    <t xml:space="preserve">Effort Distribution</t>
  </si>
  <si>
    <t xml:space="preserve">Cost</t>
  </si>
  <si>
    <t xml:space="preserve">Min</t>
  </si>
  <si>
    <t xml:space="preserve">Max</t>
  </si>
  <si>
    <t xml:space="preserve">Business Analyst </t>
  </si>
  <si>
    <t xml:space="preserve">Solution Architecht</t>
  </si>
  <si>
    <t xml:space="preserve">Developer / Data Scientist</t>
  </si>
  <si>
    <t xml:space="preserve">Tester</t>
  </si>
  <si>
    <t xml:space="preserve">Project Manager</t>
  </si>
  <si>
    <t xml:space="preserve">Infrastructure Setup</t>
  </si>
  <si>
    <t xml:space="preserve">Calculated Productivity </t>
  </si>
  <si>
    <t xml:space="preserve">Targated Productivity</t>
  </si>
  <si>
    <t xml:space="preserve">Unit</t>
  </si>
  <si>
    <t xml:space="preserve">Development &amp; Enhancement </t>
  </si>
  <si>
    <t xml:space="preserve">Point / per hour</t>
  </si>
  <si>
    <t xml:space="preserve">1  Point</t>
  </si>
  <si>
    <t xml:space="preserve">~5.6 hours</t>
  </si>
  <si>
    <t xml:space="preserve">Work Type</t>
  </si>
  <si>
    <t xml:space="preserve">Component </t>
  </si>
  <si>
    <t xml:space="preserve">High </t>
  </si>
  <si>
    <t xml:space="preserve">Development </t>
  </si>
  <si>
    <t xml:space="preserve">10-15</t>
  </si>
  <si>
    <t xml:space="preserve">&gt; 15</t>
  </si>
  <si>
    <t xml:space="preserve">Elements
Label
Graph
Tile
Grid
Pop-up
Drop Down
Data Entery Field
Button
Custom Built element</t>
  </si>
  <si>
    <t xml:space="preserve">
</t>
  </si>
  <si>
    <t xml:space="preserve">1 to 2</t>
  </si>
  <si>
    <t xml:space="preserve">&gt;3</t>
  </si>
  <si>
    <t xml:space="preserve">label</t>
  </si>
  <si>
    <t xml:space="preserve">text box</t>
  </si>
  <si>
    <t xml:space="preserve">1 to 5 </t>
  </si>
  <si>
    <t xml:space="preserve">5 To 10 </t>
  </si>
  <si>
    <t xml:space="preserve">&gt;10</t>
  </si>
  <si>
    <t xml:space="preserve">button</t>
  </si>
  <si>
    <t xml:space="preserve">10 to 30</t>
  </si>
  <si>
    <t xml:space="preserve">30 to 50</t>
  </si>
  <si>
    <t xml:space="preserve">&gt;50</t>
  </si>
  <si>
    <t xml:space="preserve">drop down</t>
  </si>
  <si>
    <t xml:space="preserve">2 to 5</t>
  </si>
  <si>
    <t xml:space="preserve">&gt; 5 </t>
  </si>
  <si>
    <t xml:space="preserve">checkbox</t>
  </si>
  <si>
    <t xml:space="preserve">3 to 5</t>
  </si>
  <si>
    <t xml:space="preserve">&gt;5</t>
  </si>
  <si>
    <t xml:space="preserve">aadhar</t>
  </si>
  <si>
    <t xml:space="preserve">No validation or business rules. One data store</t>
  </si>
  <si>
    <t xml:space="preserve">No validation or business rules. Up to 3 data stores</t>
  </si>
  <si>
    <t xml:space="preserve">Validation or business rules involved. Multiple data stores</t>
  </si>
  <si>
    <t xml:space="preserve">samagra integration</t>
  </si>
  <si>
    <t xml:space="preserve">report</t>
  </si>
  <si>
    <t xml:space="preserve">Static screen</t>
  </si>
  <si>
    <t xml:space="preserve">Screen with 2-4 internal components
</t>
  </si>
  <si>
    <t xml:space="preserve">Screen with external components
</t>
  </si>
  <si>
    <t xml:space="preserve">MObile app</t>
  </si>
  <si>
    <t xml:space="preserve">Master Table </t>
  </si>
  <si>
    <t xml:space="preserve">Table with data errors and involves Data validation and cleansing</t>
  </si>
  <si>
    <t xml:space="preserve">Table with relationship with data errors and requires data validation and cleansing</t>
  </si>
  <si>
    <t xml:space="preserve">submit </t>
  </si>
  <si>
    <t xml:space="preserve">tabular report. &lt;10 columns.
1 data source
Elements( Table, PIE chart, 
Report count: 1-2</t>
  </si>
  <si>
    <t xml:space="preserve">2-3 data source. Simple (Pie/Bar) chart
Elements( Stack,Line etc.)
Report type: 3-5</t>
  </si>
  <si>
    <t xml:space="preserve">&gt;3 data source. Multiple complex graphs
Elements( Doughnut, Trend analysis etc.)
Report type: More than 5</t>
  </si>
  <si>
    <t xml:space="preserve">clear</t>
  </si>
  <si>
    <t xml:space="preserve">reset</t>
  </si>
  <si>
    <t xml:space="preserve">Code element
Data Tranformation
Data Pre-processing
Custom Build element
API creation for UI\UX
API Integration</t>
  </si>
  <si>
    <t xml:space="preserve">Type Of Work</t>
  </si>
  <si>
    <t xml:space="preserve">Development</t>
  </si>
  <si>
    <t xml:space="preserve">Enhancement and Customization (CR-driven)</t>
  </si>
  <si>
    <t xml:space="preserve">Project Name</t>
  </si>
  <si>
    <t xml:space="preserve">Jal Rekha</t>
  </si>
  <si>
    <t xml:space="preserve">Remark</t>
  </si>
  <si>
    <t xml:space="preserve">O&amp;M Billing – Aaklan - Cycle 5 (June-July 2026)</t>
  </si>
  <si>
    <t xml:space="preserve">Basis</t>
  </si>
  <si>
    <t xml:space="preserve">Consolidated User Story Register (Cycle 5) + Date-Wise Time Sheet (Cycle 5)</t>
  </si>
  <si>
    <t xml:space="preserve">Volume/Count of elements</t>
  </si>
  <si>
    <t xml:space="preserve">Guidelines</t>
  </si>
  <si>
    <t xml:space="preserve">Module + sub Module</t>
  </si>
  <si>
    <t xml:space="preserve">User Story ID</t>
  </si>
  <si>
    <t xml:space="preserve">Elements (User Story Description - Refer Guidelines)</t>
  </si>
  <si>
    <t xml:space="preserve">Low Complexity</t>
  </si>
  <si>
    <t xml:space="preserve">Medium complexity</t>
  </si>
  <si>
    <t xml:space="preserve">High Complexity</t>
  </si>
  <si>
    <t xml:space="preserve">Size</t>
  </si>
  <si>
    <t xml:space="preserve">Priority</t>
  </si>
  <si>
    <t xml:space="preserve">Status</t>
  </si>
  <si>
    <t xml:space="preserve">Sprint</t>
  </si>
  <si>
    <t xml:space="preserve">US Register Effort (hrs)</t>
  </si>
  <si>
    <t xml:space="preserve">O&amp;M Billing – Abstract Report Generation</t>
  </si>
  <si>
    <t xml:space="preserve">US-OM-C5-001</t>
  </si>
  <si>
    <t xml:space="preserve">As a GM and Contractor user, I want the Abstract Report auto-generated and available for download from the O&amp;M Billing module so that billing summaries are formally captured without manual preparation.</t>
  </si>
  <si>
    <t xml:space="preserve">Done</t>
  </si>
  <si>
    <t xml:space="preserve">Sprint 17</t>
  </si>
  <si>
    <t xml:space="preserve">O&amp;M Billing – Contractor Mistake Correction by SQC/TL → GM</t>
  </si>
  <si>
    <t xml:space="preserve">US-OM-C5-002</t>
  </si>
  <si>
    <t xml:space="preserve">As a TL (SQC/CSC), I want the ability to add or edit bill data fields on behalf of the Contractor before forwarding to GM so that contractor data entry mistakes are corrected without returning the full bill.</t>
  </si>
  <si>
    <t xml:space="preserve">O&amp;M Billing – Show All Records on All IDs (GM, SQC)</t>
  </si>
  <si>
    <t xml:space="preserve">US-OM-C5-003</t>
  </si>
  <si>
    <t xml:space="preserve">As a GM (PIU) user, I want all O&amp;M billing records from all contractor/firm submissions visible on GM and SQC login so that I do not miss any bill regardless of which login it was submitted from.</t>
  </si>
  <si>
    <t xml:space="preserve">O&amp;M Billing – Merge PDF of All O&amp;M Bill Documents</t>
  </si>
  <si>
    <t xml:space="preserve">US-OM-C5-004</t>
  </si>
  <si>
    <t xml:space="preserve">As a GM and Contractor user, I want all O&amp;M bill documents (approx. 19–20 documents per bill: GM, SQC, Firm, Form 27A, MB, Abstract, etc.) merged into a single PDF for a 3-month consolidated bill so that submission to higher authorities is a single file.</t>
  </si>
  <si>
    <t xml:space="preserve">O&amp;M Billing – Power Consumption: Contractor &amp; GM Side Changes</t>
  </si>
  <si>
    <t xml:space="preserve">US-OM-C5-005</t>
  </si>
  <si>
    <t xml:space="preserve">As a Contractor and GM user, I want the Power Consumption tab updated to include Contract Details (Basic Detail, Intermediate Raw Water Demand) and correct calculation logic so that electricity cost billing is accurate.</t>
  </si>
  <si>
    <t xml:space="preserve">In Progress</t>
  </si>
  <si>
    <t xml:space="preserve">Sprint 17-18</t>
  </si>
  <si>
    <t xml:space="preserve">O&amp;M Billing – Two New Columns in Water Supply During Construction Bill</t>
  </si>
  <si>
    <t xml:space="preserve">US-OM-C5-006</t>
  </si>
  <si>
    <t xml:space="preserve">As a GM user, I want two new columns added to the Water Supply During Construction Bill so that construction-phase water supply data is captured completely.</t>
  </si>
  <si>
    <t xml:space="preserve">O&amp;M Billing – O&amp;M Villages: Construction Approval Status</t>
  </si>
  <si>
    <t xml:space="preserve">US-OM-C5-007</t>
  </si>
  <si>
    <t xml:space="preserve">As a GM user, I want O&amp;M Villages to include villages where Water Supply During Construction is under consideration or approved so that construction-phase billing is inclusive and accurate.</t>
  </si>
  <si>
    <t xml:space="preserve">Sprint 18</t>
  </si>
  <si>
    <t xml:space="preserve">O&amp;M Billing – Aaklan Contractor Dispute: Dhara Data Discrepancy Window</t>
  </si>
  <si>
    <t xml:space="preserve">US-OM-C5-008</t>
  </si>
  <si>
    <t xml:space="preserve">As a Contractor, I want a time-bound window to check Dhara meter reading data and raise a discrepancy before the O&amp;M bill is finalised so that billing disputes are pre-empted and Dhara data is used as the authoritative source.</t>
  </si>
  <si>
    <t xml:space="preserve">O&amp;M Billing – GM: Pump Transformer 10% Deduction Logic</t>
  </si>
  <si>
    <t xml:space="preserve">US-OM-C5-009</t>
  </si>
  <si>
    <t xml:space="preserve">As a GM user, I want the consolidated bill to automatically apply a 10% deduction on the total amount when the Pump Transformer column is marked YES so that penalty deductions are system-enforced.</t>
  </si>
  <si>
    <t xml:space="preserve">O&amp;M Billing Workflow – e-Sign via CDAC (Contractor &amp; GM)</t>
  </si>
  <si>
    <t xml:space="preserve">US-OM-C5-010</t>
  </si>
  <si>
    <t xml:space="preserve">As a Contractor and GM user, I want all O&amp;M Bill documents digitally signed using e-Sign via CDAC (Aadhaar-based) so that the bill submission process is legally compliant and paperless.</t>
  </si>
  <si>
    <t xml:space="preserve">O&amp;M Billing – GM (PIU) Login: Bill PDF (19–20 Docs) &amp; 3-Month Consolidation</t>
  </si>
  <si>
    <t xml:space="preserve">US-OM-C5-011</t>
  </si>
  <si>
    <t xml:space="preserve">As a GM (PIU) user, I want to view and download a consolidated Bill PDF comprising 19–20 documents for a 3-month bill cycle so that I can submit a single complete document package to GM (O&amp;M).</t>
  </si>
  <si>
    <t xml:space="preserve">O&amp;M Billing – Sahbhagita Generate Abstract: Select RA Bill &amp; Tag All</t>
  </si>
  <si>
    <t xml:space="preserve">US-OM-C5-012</t>
  </si>
  <si>
    <t xml:space="preserve">As a Sahbhagita PM user, I want to generate an Abstract report by selecting a specific RA Bill number and tagging all activities to that bill so that Sahbhagita billing is linked to O&amp;M billing cycles.</t>
  </si>
  <si>
    <t xml:space="preserve">O&amp;M Billing – Landscape Issue Fix in O&amp;M Bill Layout</t>
  </si>
  <si>
    <t xml:space="preserve">US-OM-C5-013</t>
  </si>
  <si>
    <t xml:space="preserve">As a GM user, I want the Landscape orientation issue in the O&amp;M Bill PDF resolved so that all pages print and display correctly without layout distortion.</t>
  </si>
  <si>
    <t xml:space="preserve">O&amp;M Billing – LGD Code Integration: LG Directory → MPSQC</t>
  </si>
  <si>
    <t xml:space="preserve">US-OM-C5-014</t>
  </si>
  <si>
    <t xml:space="preserve">As a system admin, I want LGD Code integration from the LG Directory into MPSQC (Revenue Portal) so that O&amp;M village and scheme data is aligned with national LGD codes.</t>
  </si>
  <si>
    <t xml:space="preserve">O&amp;M Billing - Residual Pressure &amp; Complaint Redressal Report Format</t>
  </si>
  <si>
    <t xml:space="preserve">US-OM-C5-015</t>
  </si>
  <si>
    <t xml:space="preserve">As a GM (PIU)/O&amp;M user, I want the Residual Pressure report reformatted to the OM_RA_Bill_Report.pdf column layout and the Complaint Redressal screen relabeled with resolution status, so that pressure exceptions and complaint outcomes are captured in the department-approved format.</t>
  </si>
  <si>
    <t xml:space="preserve">O&amp;M Billing - Complaint Redressal: 48-Hour Flag &amp; Penalty Relaxation</t>
  </si>
  <si>
    <t xml:space="preserve">US-OM-C5-016</t>
  </si>
  <si>
    <t xml:space="preserve">As a GM (PIU)/O&amp;M user, I want the Complaint Redressal sheet to capture the received date, auto-flag complaints unresolved beyond 48 hours, and support a Penalty Relaxation (Yes/No) field with document upload, so that penalty calculation and relaxation are auditable.</t>
  </si>
  <si>
    <t xml:space="preserve">O&amp;M Billing - GST Number Integration</t>
  </si>
  <si>
    <t xml:space="preserve">US-OM-C5-017</t>
  </si>
  <si>
    <t xml:space="preserve">As a Contractor and GM (PIU) user, I want my GST number captured at the firm/contractor level and reflected on the bill PDF and abstract, so that generated bills are GST-compliant.</t>
  </si>
  <si>
    <t xml:space="preserve">Open</t>
  </si>
  <si>
    <t xml:space="preserve">TOTAL O&amp;M BILLING – AAKLAN ESTIMATION (CYCLE 5)</t>
  </si>
  <si>
    <t xml:space="preserve">Total Count</t>
  </si>
  <si>
    <t xml:space="preserve">Value added factors</t>
  </si>
  <si>
    <t xml:space="preserve">Productivity</t>
  </si>
  <si>
    <t xml:space="preserve">Factor</t>
  </si>
  <si>
    <t xml:space="preserve">Rating</t>
  </si>
  <si>
    <t xml:space="preserve">Point</t>
  </si>
  <si>
    <t xml:space="preserve">Data Communications</t>
  </si>
  <si>
    <t xml:space="preserve">Effort</t>
  </si>
  <si>
    <t xml:space="preserve">Man hours</t>
  </si>
  <si>
    <t xml:space="preserve">Distributed Data Processing</t>
  </si>
  <si>
    <t xml:space="preserve">VAF</t>
  </si>
  <si>
    <t xml:space="preserve">Performance</t>
  </si>
  <si>
    <t xml:space="preserve">Risk contingency</t>
  </si>
  <si>
    <t xml:space="preserve">Heavily used Configuration</t>
  </si>
  <si>
    <t xml:space="preserve">Project Management</t>
  </si>
  <si>
    <t xml:space="preserve">Transaction Rate</t>
  </si>
  <si>
    <t xml:space="preserve">Total Planned Effort</t>
  </si>
  <si>
    <t xml:space="preserve">Online Data Entry</t>
  </si>
  <si>
    <t xml:space="preserve">End-User Efficiency</t>
  </si>
  <si>
    <t xml:space="preserve">Permissible Range (Man hours)</t>
  </si>
  <si>
    <t xml:space="preserve">Online Update</t>
  </si>
  <si>
    <t xml:space="preserve">Actual Consumed Hrs (Timesheet, Cycle 5)</t>
  </si>
  <si>
    <t xml:space="preserve">Complex Processing</t>
  </si>
  <si>
    <t xml:space="preserve">Variance (Planned - Actual)</t>
  </si>
  <si>
    <t xml:space="preserve">Reusability</t>
  </si>
  <si>
    <t xml:space="preserve">US Register Total Effort (hrs, cross-check)</t>
  </si>
  <si>
    <t xml:space="preserve">Installation Ease</t>
  </si>
  <si>
    <t xml:space="preserve">Operational Ease</t>
  </si>
  <si>
    <t xml:space="preserve">Multiple Sites</t>
  </si>
  <si>
    <t xml:space="preserve">Facilitate Change</t>
  </si>
  <si>
    <t xml:space="preserve">Total</t>
  </si>
  <si>
    <t xml:space="preserve">Sahbhagita - Cycle 5 (June-July 2026)</t>
  </si>
  <si>
    <t xml:space="preserve">Sahbhagita – RA Bill for ISA (replacing CP Manager)</t>
  </si>
  <si>
    <t xml:space="preserve">US-SAH-C5-001</t>
  </si>
  <si>
    <t xml:space="preserve">As an ISA Manager user, I want RA Bill functionality moved from CP Manager to ISA Manager login so that ISA-specific billing is role-accurate and ISA can raise bills independently.</t>
  </si>
  <si>
    <t xml:space="preserve">Sahbhagita – Village-wise &amp; Combined Activity Report</t>
  </si>
  <si>
    <t xml:space="preserve">US-SAH-C5-002</t>
  </si>
  <si>
    <t xml:space="preserve">As a GM and ISA user, I want Sahbhagita reports available in both Village-wise and Combined Activity views so that activity tracking is possible at both individual village and aggregate levels.</t>
  </si>
  <si>
    <t xml:space="preserve">Sahbhagita – Master Activity List Update (22 Combined + 32 Village-wise)</t>
  </si>
  <si>
    <t xml:space="preserve">US-SAH-C5-003</t>
  </si>
  <si>
    <t xml:space="preserve">As a system admin, I want the Sahbhagita master activity list updated to the finalised 22 Combined Activities and 32 Village-wise Activities so that all ISA submissions are mapped to the correct master.</t>
  </si>
  <si>
    <t xml:space="preserve">Sahbhagita – Photo Scan AI: Face &amp; Background Detection (CP Manager Review)</t>
  </si>
  <si>
    <t xml:space="preserve">US-SAH-C5-004</t>
  </si>
  <si>
    <t xml:space="preserve">As a CP Manager, I want an AI-based photo scan to detect duplicate face and background at the time of CP Manager review so that fraudulent or repeated activity submissions are flagged automatically.</t>
  </si>
  <si>
    <t xml:space="preserve">Sahbhagita – Hyperlink: Village Name → Village Activity → Document Preview</t>
  </si>
  <si>
    <t xml:space="preserve">US-SAH-C5-005</t>
  </si>
  <si>
    <t xml:space="preserve">As a GM and ISA user, I want a hyperlink on Village Name in the Sahbhagita report that drills down to Village Activity list and then opens Document Preview popup so that I can review all field evidence without leaving the report.</t>
  </si>
  <si>
    <t xml:space="preserve">Sahbhagita – RA Bill: RA(1) till RA(12) Withhold Bills</t>
  </si>
  <si>
    <t xml:space="preserve">US-SAH-C5-006</t>
  </si>
  <si>
    <t xml:space="preserve">As a PM user, I want RA Bill numbers from RA(1) to RA(12) to be supported, with the ability to withhold specific RA Bills so that billing cycles are properly managed per ISA contract.</t>
  </si>
  <si>
    <t xml:space="preserve">Sahbhagita – Customised Report (ISA – Mainly Contractor Convention)</t>
  </si>
  <si>
    <t xml:space="preserve">US-SAH-C5-007</t>
  </si>
  <si>
    <t xml:space="preserve">As an ISA user, I want a customised Sahbhagita report primarily aligned to the contractor-convention billing structure so that ISA RA bills are correctly mapped to MPJN billing norms.</t>
  </si>
  <si>
    <t xml:space="preserve">Sahbhagita – Save as Draft for Video, Image &amp; Document (Mobile CR)</t>
  </si>
  <si>
    <t xml:space="preserve">US-SAH-C5-008</t>
  </si>
  <si>
    <t xml:space="preserve">As an FE mobile user, I want Save as Draft functionality for activity submissions that include video, image, and document uploads so that field evidence can be captured in stages without losing partial submissions.</t>
  </si>
  <si>
    <t xml:space="preserve">Sahbhagita - Pagination on Approval Pages</t>
  </si>
  <si>
    <t xml:space="preserve">US-SAH-C5-009</t>
  </si>
  <si>
    <t xml:space="preserve">As an ISA Manager/CP Manager, I want the Sahbhagita approval listing pages paginated, so that I can review and approve activity records in manageable batches instead of one long scrolling page.</t>
  </si>
  <si>
    <t xml:space="preserve">Sahbhagita - FE Visibility Scoped to Assigned ISA</t>
  </si>
  <si>
    <t xml:space="preserve">US-SAH-C5-010</t>
  </si>
  <si>
    <t xml:space="preserve">As an ISA user, I want to see only the Field Executives (FE) specifically mapped to my ISA, so that I don't have to sift through FE records belonging to other ISAs.</t>
  </si>
  <si>
    <t xml:space="preserve">Sahbhagita - Self-Service Password Reset for ISA Login</t>
  </si>
  <si>
    <t xml:space="preserve">US-SAH-C5-011</t>
  </si>
  <si>
    <t xml:space="preserve">As an ISA user, I want a self-service password reset option on my login, so that I can regain access without waiting on the admin team.</t>
  </si>
  <si>
    <t xml:space="preserve">TOTAL SAHBHAGITA ESTIMATION (CYCLE 5)</t>
  </si>
  <si>
    <t xml:space="preserve">Dhara (Reports, Corrections, Disputes) - Cycle 5 (June-July 2026)</t>
  </si>
  <si>
    <t xml:space="preserve">Dhara – Report Corrections (Approved Village MWSR, DWSR, OHT)</t>
  </si>
  <si>
    <t xml:space="preserve">US-DHR-C5-001</t>
  </si>
  <si>
    <t xml:space="preserve">As a GM user, I want Dhara report corrections applied to Approved Village MWSR, DWSR, and OHT report pages so that report data is accurate and error-free for O&amp;M billing purposes.</t>
  </si>
  <si>
    <t xml:space="preserve">Dhara – Report Format Standardisation (27 May 2026 Format)</t>
  </si>
  <si>
    <t xml:space="preserve">US-DHR-C5-002</t>
  </si>
  <si>
    <t xml:space="preserve">As a GM user, I want Dhara reports standardised to the approved format of 27 May 2026 so that all Dhara reports across all logins have consistent column layout, headers, and data ordering.</t>
  </si>
  <si>
    <t xml:space="preserve">Dhara – Approved Reports &amp; Contractor Dispute Window</t>
  </si>
  <si>
    <t xml:space="preserve">US-DHR-C5-003</t>
  </si>
  <si>
    <t xml:space="preserve">As a Contractor user, I want to view GM-approved Dhara meter reading reports and raise a dispute within a defined time window so that incorrect meter data is challenged before O&amp;M billing is finalised.</t>
  </si>
  <si>
    <t xml:space="preserve">Dhara – New Dhara Reports Visible on All Jal Rekha Logins</t>
  </si>
  <si>
    <t xml:space="preserve">US-DHR-C5-004</t>
  </si>
  <si>
    <t xml:space="preserve">As a CGM, PMU, and higher official user, I want the new Dhara reports (MWSR, DWSR, OHT, UFW) visible on all Jal Rekha logins (not just GM) so that scheme water supply data is accessible at all governance levels.</t>
  </si>
  <si>
    <t xml:space="preserve">Dhara – Dhara Entry Lock (Approved Data Should Not Change)</t>
  </si>
  <si>
    <t xml:space="preserve">US-DHR-C5-005</t>
  </si>
  <si>
    <t xml:space="preserve">As a GM user, I want approved Dhara meter reading entries locked from further changes so that billing data integrity is maintained after GM approval.</t>
  </si>
  <si>
    <t xml:space="preserve">Dhara – OHT/WTP/Intake Base Capacity Column in Report</t>
  </si>
  <si>
    <t xml:space="preserve">US-DHR-C5-006</t>
  </si>
  <si>
    <t xml:space="preserve">As a GM user, I want OHT, WTP, and Intake Base Capacity columns added to the relevant Dhara reports so that water supply adequacy can be assessed against infrastructure capacity.</t>
  </si>
  <si>
    <t xml:space="preserve">Dhara - Approved Report Data Correction (Agreed with Kapil Sir)</t>
  </si>
  <si>
    <t xml:space="preserve">US-DHR-C5-007</t>
  </si>
  <si>
    <t xml:space="preserve">As a GM (PIU) user, I want the previously identified data discrepancies in the Approved Report corrected as agreed with Kapil Sir, so that approved data accurately reflects the correct figures before it is used downstream for O&amp;M billing.</t>
  </si>
  <si>
    <t xml:space="preserve">Dhara - Non-Mandatory Remark, Photo Upload, Forward &amp; Backward Options</t>
  </si>
  <si>
    <t xml:space="preserve">US-DHR-C5-008</t>
  </si>
  <si>
    <t xml:space="preserve">As a user on any Jal Rekha login, I want the Remark, Photo Upload, Forward and Backward options in Dhara to be available but not mandatory, so that I can use them when relevant without being blocked from submitting.</t>
  </si>
  <si>
    <t xml:space="preserve">TOTAL DHARA (REPORTS, CORRECTIONS, DISPUTES) ESTIMATION (CYCLE 5)</t>
  </si>
  <si>
    <t xml:space="preserve">Vistrit (Master Module) - Cycle 5 (June-July 2026)</t>
  </si>
  <si>
    <t xml:space="preserve">Vistrit – WTP Meter Mapping: New Columns (Date, Scheme, PIU, Meter Name)</t>
  </si>
  <si>
    <t xml:space="preserve">US-VST-C5-001</t>
  </si>
  <si>
    <t xml:space="preserve">As a GM user, I want new columns – Date, Scheme, PIU, and Meter Name (e.g., Narela-WTP-01) – added to WTP Meter Mapping and Intake Mapping so that asset identification is standardised.</t>
  </si>
  <si>
    <t xml:space="preserve">Vistrit – OTP Verification for GM Edit/Delete on Scheme, OHT, Bulk Master</t>
  </si>
  <si>
    <t xml:space="preserve">US-VST-C5-002</t>
  </si>
  <si>
    <t xml:space="preserve">As a system admin, I want OTP verification applied to GM login when performing Edit or Delete operations on Scheme Village Mapping, OHT Mapping, and Bulk Consumer Mapping so that master data changes are authenticated.</t>
  </si>
  <si>
    <t xml:space="preserve">Vistrit – Scheme Village Mapping: Testing/Permitted Field Validation &amp; Census Population</t>
  </si>
  <si>
    <t xml:space="preserve">US-VST-C5-003</t>
  </si>
  <si>
    <t xml:space="preserve">As a data admin, I want validation applied to Testing and Permitted fields in Scheme Village Mapping and Census Population left open at all levels so that mapping data quality is enforced without blocking census entries.</t>
  </si>
  <si>
    <t xml:space="preserve">Vistrit – OHT Deactivate Bug Fix (OHT Not Visible in FE Login)</t>
  </si>
  <si>
    <t xml:space="preserve">US-VST-C5-004</t>
  </si>
  <si>
    <t xml:space="preserve">As an FE user, I want OHTs that are deactivated in Vistrit but active in FE login to be correctly displayed so that field engineers do not miss active OHTs due to a master data deactivation bug.</t>
  </si>
  <si>
    <t xml:space="preserve">Vistrit – WTP Meter Naming Convention Standardisation</t>
  </si>
  <si>
    <t xml:space="preserve">US-VST-C5-005</t>
  </si>
  <si>
    <t xml:space="preserve">As a system admin, I want WTP Meter names standardised to a consistent naming convention (e.g., Narela-WTP-01) across the Vistrit Master module so that meter asset identification is uniform.</t>
  </si>
  <si>
    <t xml:space="preserve">TOTAL VISTRIT (MASTER MODULE) ESTIMATION (CYCLE 5)</t>
  </si>
  <si>
    <t xml:space="preserve">FHTC Parinam - Cycle 5 (June-July 2026)</t>
  </si>
  <si>
    <t xml:space="preserve">FHTC Parinam – Nasamajh Family Head ID &amp; Add Connection</t>
  </si>
  <si>
    <t xml:space="preserve">US-FHTC-C5-001</t>
  </si>
  <si>
    <t xml:space="preserve">As a Contractor user, I want to access Family Head ID for Nasamajh (uncategorised) families with an upper cap of 3 household connections per family and add tap connections for them so that all eligible households including uncategorised families are covered.</t>
  </si>
  <si>
    <t xml:space="preserve">FHTC Parinam – FE Name Shown in Reports</t>
  </si>
  <si>
    <t xml:space="preserve">US-FHTC-C5-002</t>
  </si>
  <si>
    <t xml:space="preserve">As a GM user, I want the FE (Field Engineer) name to appear in FHTC Parinam reports so that inspection accountability is traceable at the individual FE level.</t>
  </si>
  <si>
    <t xml:space="preserve">FHTC Parinam – Contractor Search Option</t>
  </si>
  <si>
    <t xml:space="preserve">US-FHTC-C5-003</t>
  </si>
  <si>
    <t xml:space="preserve">As a Contractor user, I want a search option on the FHTC Parinam Contractor login page so that I can locate specific tap connection records quickly across large datasets.</t>
  </si>
  <si>
    <t xml:space="preserve">FHTC Parinam – Samagra API Integration for Household Data</t>
  </si>
  <si>
    <t xml:space="preserve">US-FHTC-C5-004</t>
  </si>
  <si>
    <t xml:space="preserve">As a system developer, I want Samagra API integrated with FHTC Parinam so that household data (Family Head ID, Member ID, address) is auto-fetched from the state Samagra citizen database without manual entry.</t>
  </si>
  <si>
    <t xml:space="preserve">FHTC Parinam - Multiple Surveys per Samagra ID</t>
  </si>
  <si>
    <t xml:space="preserve">US-FHTC-C5-005</t>
  </si>
  <si>
    <t xml:space="preserve">As an FE/GM (PIU) user, I want the system to allow more than one survey to be recorded against the same FHTC Samagra ID, so that genuine repeat/revisit surveys aren't blocked by a false duplicate restriction.</t>
  </si>
  <si>
    <t xml:space="preserve">UAT Done</t>
  </si>
  <si>
    <t xml:space="preserve">TOTAL FHTC PARINAM ESTIMATION (CYCLE 5)</t>
  </si>
  <si>
    <t xml:space="preserve">BISAC / NIC Asset Integration - Cycle 5 (June-July 2026)</t>
  </si>
  <si>
    <t xml:space="preserve">BISAC – NIC Asset ID Mapping (Asset &amp; Junction Mapping)</t>
  </si>
  <si>
    <t xml:space="preserve">US-BISAC-C5-001</t>
  </si>
  <si>
    <t xml:space="preserve">As a system admin, I want NIC Asset IDs integrated with BISAC for Junction-to-Junction Map, Asset Mapping, and Pipeline Tracking so that Jal Rekha asset data is aligned with the national GIS system.</t>
  </si>
  <si>
    <t xml:space="preserve">BISAC – Pipeline Mapping with BISAC Junction Data</t>
  </si>
  <si>
    <t xml:space="preserve">US-BISAC-C5-002</t>
  </si>
  <si>
    <t xml:space="preserve">As a project manager, I want pipeline asset data mapped using BISAC Junction-to-Junction track data so that complete pipeline route and network is visualised on the Jal Rekha GIS portal.</t>
  </si>
  <si>
    <t xml:space="preserve">BISAC – Village LGD Code Integration (Village without LGD = Habitation)</t>
  </si>
  <si>
    <t xml:space="preserve">US-BISAC-C5-003</t>
  </si>
  <si>
    <t xml:space="preserve">As a data admin, I want BISAC LGD Code logic applied so that villages without an LGD Code are automatically classified as Habitations so that data quality is maintained across BISAC and LGD master sources.</t>
  </si>
  <si>
    <t xml:space="preserve">TOTAL BISAC / NIC ASSET INTEGRATION ESTIMATION (CYCLE 5)</t>
  </si>
  <si>
    <t xml:space="preserve">e-Sign via CDAC (Aadhaar) - Cycle 5 (June-July 2026)</t>
  </si>
  <si>
    <t xml:space="preserve">e-Sign CDAC – FE e-Sign via Mobile/Web (All Logins)</t>
  </si>
  <si>
    <t xml:space="preserve">US-ESIGN-C5-001</t>
  </si>
  <si>
    <t xml:space="preserve">As a Field Engineer, I want to e-Sign inspection records and reports using CDAC Aadhaar-based e-Sign so that digital signatures are legally valid and the system is fully paperless.</t>
  </si>
  <si>
    <t xml:space="preserve">e-Sign CDAC – Contractor/Firm e-Sign for O&amp;M Bill Documents</t>
  </si>
  <si>
    <t xml:space="preserve">US-ESIGN-C5-002</t>
  </si>
  <si>
    <t xml:space="preserve">As a Contractor user, I want to e-Sign the O&amp;M Bill Submission Letter, Abstract, and Tax Invoice using CDAC e-Sign so that bill submission is legally compliant without physical signatures.</t>
  </si>
  <si>
    <t xml:space="preserve">e-Sign CDAC – TL (PMC) Recommendation Letter (E-Office Generated)</t>
  </si>
  <si>
    <t xml:space="preserve">US-ESIGN-C5-003</t>
  </si>
  <si>
    <t xml:space="preserve">As a TL (PMC) user, I want to generate and e-Sign the Recommendation Letter as an E-Office generated document via CDAC so that the PMC review is formally certified.</t>
  </si>
  <si>
    <t xml:space="preserve">e-Sign CDAC – TL (SQC) &amp; TL (PMC) Account Office Jal Rekha Integration</t>
  </si>
  <si>
    <t xml:space="preserve">US-ESIGN-C5-004</t>
  </si>
  <si>
    <t xml:space="preserve">As a TL (SQC) and TL (PMC) user, I want CDAC e-Sign integrated with Jal Rekha Account Office workflow so that billing documents are routed and signed digitally through the Account Office system.</t>
  </si>
  <si>
    <t xml:space="preserve">TOTAL E-SIGN VIA CDAC (AADHAAR) ESTIMATION (CYCLE 5)</t>
  </si>
  <si>
    <t xml:space="preserve">Anusharavan (June CR) - Cycle 5 (June-July 2026)</t>
  </si>
  <si>
    <t xml:space="preserve">Anusharavan – Multi-Date in Report: FE RFI Submission Date &amp; Block Name</t>
  </si>
  <si>
    <t xml:space="preserve">US-ANS-C5-001</t>
  </si>
  <si>
    <t xml:space="preserve">As a GM user, I want the Anusharavan RFI report to include multiple dates (FE RFI Submission Date alongside inspection date) and Block Name column so that inspection traceability is enhanced.</t>
  </si>
  <si>
    <t xml:space="preserve">Anusharavan – OHT Search Option During RFI</t>
  </si>
  <si>
    <t xml:space="preserve">US-ANS-C5-002</t>
  </si>
  <si>
    <t xml:space="preserve">As a Contractor and FE user, I want an OHT search option during the RFI creation process so that the correct OHT can be quickly identified without scrolling through large dropdown lists.</t>
  </si>
  <si>
    <t xml:space="preserve">Anusharavan – Remove Mandatory GPS/Village for Intake, WTP, MBR, RWPM, CWPM</t>
  </si>
  <si>
    <t xml:space="preserve">US-ANS-C5-003</t>
  </si>
  <si>
    <t xml:space="preserve">As a Contractor user, I want District, Block, GP, and Village selection to be non-mandatory for Intake, WTP, MBR, RWPM, and CWPM components during RFI creation so that non-site-specific components can be registered without location barrier.</t>
  </si>
  <si>
    <t xml:space="preserve">TOTAL ANUSHARAVAN (JUNE CR) ESTIMATION (CYCLE 5)</t>
  </si>
  <si>
    <t xml:space="preserve">Cube Testing (June CR) - Cycle 5 (June-July 2026)</t>
  </si>
  <si>
    <t xml:space="preserve">Cube Testing – Show Rejected Data to Contractor</t>
  </si>
  <si>
    <t xml:space="preserve">US-CUBE-C5-001</t>
  </si>
  <si>
    <t xml:space="preserve">As a Contractor user, I want to see rejected cube test records in my login so that I can re-submit or address the rejection reason without contacting GM separately.</t>
  </si>
  <si>
    <t xml:space="preserve">Cube Testing – Cube ID Generated Before Image Upload</t>
  </si>
  <si>
    <t xml:space="preserve">US-CUBE-C5-002</t>
  </si>
  <si>
    <t xml:space="preserve">As a Contractor user, I want the Cube Test ID to be generated first before uploading images so that images are linked to a confirmed Cube ID and cannot be submitted without a valid record.</t>
  </si>
  <si>
    <t xml:space="preserve">Cube Testing – Filter Bed Sub-Component Under WTP</t>
  </si>
  <si>
    <t xml:space="preserve">US-CUBE-C5-003</t>
  </si>
  <si>
    <t xml:space="preserve">As a Contractor user, I want 'Filter Bed' added as a sub-component under the WTP component in the Cube Testing module so that filter bed quality testing is properly recorded.</t>
  </si>
  <si>
    <t xml:space="preserve">Cube Testing - Re-Inspection Loop (2nd Loop after GM Rejection)</t>
  </si>
  <si>
    <t xml:space="preserve">US-CUBE-C5-004</t>
  </si>
  <si>
    <t xml:space="preserve">As an FE/GM/Contractor/SQC/TPIA user, I want a working re-inspection loop so a rejected cube record cycles back through FE to GM to Contractor, back to GM, then SQC/TPIA, then to a newly assigned FE if applicable, so that corrections are fully re-verified through the quality chain.</t>
  </si>
  <si>
    <t xml:space="preserve">Cube Testing - Optional Image Upload on Second RFI Loop</t>
  </si>
  <si>
    <t xml:space="preserve">US-CUBE-C5-005</t>
  </si>
  <si>
    <t xml:space="preserve">As an FE/Contractor user, I want image upload to be optional (not mandatory) on the second RFI loop pass for Cube Testing, so that minor re-inspection corrections aren't blocked by recapturing images already provided the first time.</t>
  </si>
  <si>
    <t xml:space="preserve">TOTAL CUBE TESTING (JUNE CR) ESTIMATION (CYCLE 5)</t>
  </si>
  <si>
    <t xml:space="preserve">SVS Water Supply Monitoring (June CR) - Cycle 5 (June-July 2026)</t>
  </si>
  <si>
    <t xml:space="preserve">SVS – Bilingual Conversion (Hindi/English) for Water Supply Entry Page</t>
  </si>
  <si>
    <t xml:space="preserve">US-SVS-C5-001</t>
  </si>
  <si>
    <t xml:space="preserve">As an MP government user, I want the SVS Daily Water Supply entry page to support bilingual labels (Hindi and English) and report column headers to be in Hindi so that GP-level users can operate in their native language.</t>
  </si>
  <si>
    <t xml:space="preserve">SVS – Login-Specific District, Block, GP Auto-Selection</t>
  </si>
  <si>
    <t xml:space="preserve">US-SVS-C5-002</t>
  </si>
  <si>
    <t xml:space="preserve">As a GP or Block-level user, I want District, Block, and GP pre-selected according to my login credentials so that I do not need to manually navigate the location hierarchy on every submission.</t>
  </si>
  <si>
    <t xml:space="preserve">SVS – Additional Reason for NO Supply &amp; Spelling Correction</t>
  </si>
  <si>
    <t xml:space="preserve">US-SVS-C5-003</t>
  </si>
  <si>
    <t xml:space="preserve">As a GP user, I want one additional reason option added to the NO supply dropdown and any spelling errors in existing reason options corrected so that supply failure recording is accurate.</t>
  </si>
  <si>
    <t xml:space="preserve">SVS – Remove JJM ID and Village Status Fields</t>
  </si>
  <si>
    <t xml:space="preserve">US-SVS-C5-004</t>
  </si>
  <si>
    <t xml:space="preserve">As a PHE department stakeholder, I want the JJM ID field and Village Status field removed from the SVS Daily Water Supply monitoring form so that the form is simplified to current operational requirements.</t>
  </si>
  <si>
    <t xml:space="preserve">TOTAL SVS WATER SUPPLY MONITORING (JUNE CR) ESTIMATION (CYCLE 5)</t>
  </si>
  <si>
    <t xml:space="preserve">Vistrit OTP &amp; Validation - Cycle 5 (June-July 2026)</t>
  </si>
  <si>
    <t xml:space="preserve">Vistrit – OTP Verification on Scheme/OHT/Bulk Master (GM Edit/Delete)</t>
  </si>
  <si>
    <t xml:space="preserve">US-VST-OTP-C5-001</t>
  </si>
  <si>
    <t xml:space="preserve">As a GM user, I want OTP verification required before performing Edit or Delete on Scheme Village Mapping, OHT Mapping, and Bulk Consumer Master so that unauthorised master data changes are prevented.</t>
  </si>
  <si>
    <t xml:space="preserve">Vistrit – Scheme Village Mapping: Duplicate Village Validation</t>
  </si>
  <si>
    <t xml:space="preserve">US-VST-OTP-C5-002</t>
  </si>
  <si>
    <t xml:space="preserve">As a data admin, I want duplicate village mapping validation applied across schemes so that a village is not accidentally mapped to multiple schemes resulting in data conflicts.</t>
  </si>
  <si>
    <t xml:space="preserve">TOTAL VISTRIT OTP &amp; VALIDATION ESTIMATION (CYCLE 5)</t>
  </si>
  <si>
    <t xml:space="preserve">CMMI Documentation - Cycle 5 (June-July 2026)</t>
  </si>
  <si>
    <t xml:space="preserve">CMMI Doc – Cycle 5 Data Collection (June 2026)</t>
  </si>
  <si>
    <t xml:space="preserve">US-CMMI-C5-001</t>
  </si>
  <si>
    <t xml:space="preserve">As a SEPG team member, I want to initiate and maintain data collection for Cycle 5 (June–July 2026) so that project performance metrics are captured for CMMI Level 5 audit preparation.</t>
  </si>
  <si>
    <t xml:space="preserve">CMMI Doc – Streamline Documentation for Cycle 5 Modules</t>
  </si>
  <si>
    <t xml:space="preserve">US-CMMI-C5-002</t>
  </si>
  <si>
    <t xml:space="preserve">As a quality manager, I want CMMI documentation streamlined for all Cycle 5 modules (O&amp;M Billing Workflow, Sahbhagita, Dhara, e-Sign, BISAC) so that audit artifacts are consistent and complete for CMMI L5 standards.</t>
  </si>
  <si>
    <t xml:space="preserve">TOTAL CMMI DOCUMENTATION ESTIMATION (CYCLE 5)</t>
  </si>
  <si>
    <t xml:space="preserve">O&amp;M Billing Workflow Module - Multi-Level Approval Chain. Note: the 16 stories on this sheet are carried forward unchanged from the Cycle 4 (Jan-May 2026) register (no Cycle 5 Effort figure was separately logged against them), but the workflow remained an active discussion/effort item in Cycle 5 per the June/July MoM and Date-Wise Time Sheet (30 hrs actual, Jun-Jul 2026).</t>
  </si>
  <si>
    <t xml:space="preserve">O&amp;M Billing Workflow – Firm Bill Submission</t>
  </si>
  <si>
    <t xml:space="preserve">US-OMWF-C4-001</t>
  </si>
  <si>
    <t xml:space="preserve">As a Firm/Contractor, I want to generate the O&amp;M bill along with submission letter and supporting documents (electricity bills, PHE test reports, tax invoice) so that the billing process can begin with complete documentation.</t>
  </si>
  <si>
    <t xml:space="preserve">Sprint 12</t>
  </si>
  <si>
    <t xml:space="preserve">O&amp;M Billing Workflow – GM (PIU) Forward to TL (CSC)</t>
  </si>
  <si>
    <t xml:space="preserve">US-OMWF-C4-002</t>
  </si>
  <si>
    <t xml:space="preserve">As a GM (PIU), I want to review the firm-submitted bill and forward it to TL (CSC) so that the bill proceeds for committee-level scrutiny.</t>
  </si>
  <si>
    <t xml:space="preserve">O&amp;M Billing Workflow – TL (CSC) Review &amp; Recommendation</t>
  </si>
  <si>
    <t xml:space="preserve">US-OMWF-C4-003</t>
  </si>
  <si>
    <t xml:space="preserve">As a TL (CSC/SQC), I want to add or edit bill data and provide a recommendation letter so that GM (PIU) receives a vetted bill for final data entry.</t>
  </si>
  <si>
    <t xml:space="preserve">Sprint 12-13</t>
  </si>
  <si>
    <t xml:space="preserve">O&amp;M Billing Workflow – GM (PIU) Final Data Entry &amp; Signed Document Upload</t>
  </si>
  <si>
    <t xml:space="preserve">US-OMWF-C4-004</t>
  </si>
  <si>
    <t xml:space="preserve">As a GM (PIU), I want to add/edit final bill data and upload the signed MB, signed abstract, signed bill sheet, Form 27A, and relaxation letter so that the bill is certified and ready for O&amp;M escalation.</t>
  </si>
  <si>
    <t xml:space="preserve">Sprint 13</t>
  </si>
  <si>
    <t xml:space="preserve">O&amp;M Billing Workflow – GM (O&amp;M) to TL (PMC) Routing</t>
  </si>
  <si>
    <t xml:space="preserve">US-OMWF-C4-005</t>
  </si>
  <si>
    <t xml:space="preserve">As a GM (O&amp;M), I want the bill forwarded from GM (PIU) to be routed to TL (PMC) for recommendation with supporting documents so that the bill undergoes project management consultant review.</t>
  </si>
  <si>
    <t xml:space="preserve">O&amp;M Billing Workflow – DGM (O&amp;M) Review</t>
  </si>
  <si>
    <t xml:space="preserve">US-OMWF-C4-006</t>
  </si>
  <si>
    <t xml:space="preserve">As a DGM (O&amp;M), I want to review bills recommended by TL (PMC) so that I can validate billing accuracy before passing the order.</t>
  </si>
  <si>
    <t xml:space="preserve">Sprint 13-14</t>
  </si>
  <si>
    <t xml:space="preserve">O&amp;M Billing Workflow – GM (O&amp;M) Pass Order &amp; HO Letter Upload</t>
  </si>
  <si>
    <t xml:space="preserve">US-OMWF-C4-007</t>
  </si>
  <si>
    <t xml:space="preserve">As a GM (O&amp;M), I want to upload the Pass Order copy (signed by DGM O&amp;M) and the signed letter received from HO so that the bill is certified for regional CGM-level processing.</t>
  </si>
  <si>
    <t xml:space="preserve">Sprint 14</t>
  </si>
  <si>
    <t xml:space="preserve">O&amp;M Billing Workflow – CGM Regional Office Routing</t>
  </si>
  <si>
    <t xml:space="preserve">US-OMWF-C4-008</t>
  </si>
  <si>
    <t xml:space="preserve">As a CGM (Regional Office user), I want to receive and process O&amp;M bills routed from GM (O&amp;M) for my respective region so that regional-level billing escalation is managed correctly.</t>
  </si>
  <si>
    <t xml:space="preserve">O&amp;M Billing Workflow – CA Financial Review</t>
  </si>
  <si>
    <t xml:space="preserve">US-OMWF-C4-009</t>
  </si>
  <si>
    <t xml:space="preserve">As a CA (Chartered Accountant/Finance reviewer), I want to review the financial accuracy of bills forwarded from CGM so that billing figures are validated before CFO sign-off.</t>
  </si>
  <si>
    <t xml:space="preserve">O&amp;M Billing Workflow – CFO Sign-off</t>
  </si>
  <si>
    <t xml:space="preserve">US-OMWF-C4-010</t>
  </si>
  <si>
    <t xml:space="preserve">As a CFO, I want to review CA-approved bills and provide financial sign-off so that the bill is cleared for Project Director review.</t>
  </si>
  <si>
    <t xml:space="preserve">Sprint 15</t>
  </si>
  <si>
    <t xml:space="preserve">O&amp;M Billing Workflow – P.D. Review</t>
  </si>
  <si>
    <t xml:space="preserve">US-OMWF-C4-011</t>
  </si>
  <si>
    <t xml:space="preserve">As a Project Director (P.D.), I want to review CFO-approved bills so that I can endorse them for final MD approval.</t>
  </si>
  <si>
    <t xml:space="preserve">O&amp;M Billing Workflow – MD Final Approval</t>
  </si>
  <si>
    <t xml:space="preserve">US-OMWF-C4-012</t>
  </si>
  <si>
    <t xml:space="preserve">As an MD (Managing Director), I want to give final approval on bills that have passed through the complete approval chain so that payment processing can be initiated.</t>
  </si>
  <si>
    <t xml:space="preserve">O&amp;M Billing Workflow – Manage Bill (View Pending Bills)</t>
  </si>
  <si>
    <t xml:space="preserve">US-OMWF-C4-013</t>
  </si>
  <si>
    <t xml:space="preserve">As any workflow-stage user (GM PIU, TL CSC, GM O&amp;M, TL PMC, DGM O&amp;M, CGM, CA, CFO, P.D., MD), I want a 'Manage' page showing all bills pending at my login so that I can take timely action without searching across modules.</t>
  </si>
  <si>
    <t xml:space="preserve">O&amp;M Billing Workflow – Document Upload Hub (Multi-Document Per Bill)</t>
  </si>
  <si>
    <t xml:space="preserve">US-OMWF-C4-014</t>
  </si>
  <si>
    <t xml:space="preserve">As any workflow user, I want a consolidated document section on each bill (Firm Submission Letter, SQC/TL Recommendation, PIU Recommendation, Signed Abstract, Signed Monthly Bill Sheet, Tax Invoice, Form 27A, Third Party Water Quality Test Report, Signed Scanned MB, and Any Other Documents) so that all certifications are traceable in one place.</t>
  </si>
  <si>
    <t xml:space="preserve">O&amp;M Billing Workflow – GM (PIU) Login Screen Structure</t>
  </si>
  <si>
    <t xml:space="preserve">US-OMWF-C4-015</t>
  </si>
  <si>
    <t xml:space="preserve">As a GM (PIU) user, I want the O&amp;M login dashboard organised into Contractor/Firm view, View Pending Bills, and Manage sections so that I can navigate the bill workflow efficiently.</t>
  </si>
  <si>
    <t xml:space="preserve">O&amp;M Billing Workflow – End-to-End Workflow Testing</t>
  </si>
  <si>
    <t xml:space="preserve">US-OMWF-C4-016</t>
  </si>
  <si>
    <t xml:space="preserve">As a QA engineer, I want end-to-end testing of the complete O&amp;M Billing Workflow (Firm → GM PIU → TL CSC → GM PIU → GM O&amp;M → TL PMC → DGM O&amp;M → GM O&amp;M → CGM → CA → CFO → P.D. → MD) so that the multi-level approval chain functions correctly across all 13 roles.</t>
  </si>
  <si>
    <t xml:space="preserve">WIP</t>
  </si>
  <si>
    <t xml:space="preserve">Sprint 15-16</t>
  </si>
  <si>
    <t xml:space="preserve">TOTAL O&amp;M BILLING WORKFLOW MODULE (MULTI-LEVEL APPROVAL CHAIN) ESTIMATION (CYCLE 5)</t>
  </si>
  <si>
    <t xml:space="preserve">Material Testing - Cycle 5 (June-July 2026)</t>
  </si>
  <si>
    <t xml:space="preserve">Material Testing - Re-Inspection Loop (2nd Loop after GM Rejection)</t>
  </si>
  <si>
    <t xml:space="preserve">US-MAT-C5-001</t>
  </si>
  <si>
    <t xml:space="preserve">As an FE/GM/Contractor/SQC/TPIA user, I want the same re-inspection loop implemented for Cube Testing to also work for Material Testing, so that rejected material test records can be corrected and re-verified through the full approval chain.</t>
  </si>
  <si>
    <t xml:space="preserve">Material Testing - Optional Image Upload on Second RFI Loop</t>
  </si>
  <si>
    <t xml:space="preserve">US-MAT-C5-002</t>
  </si>
  <si>
    <t xml:space="preserve">As an FE/Contractor user, I want image upload to be optional on the second (re-inspection) RFI loop pass for Material Testing, consistent with Cube Testing, so that minor corrections aren't blocked by re-capturing images.</t>
  </si>
  <si>
    <t xml:space="preserve">Material Testing - GM/Contractor Login Database &amp; API Enhancements</t>
  </si>
  <si>
    <t xml:space="preserve">US-MAT-C5-003</t>
  </si>
  <si>
    <t xml:space="preserve">As a system developer, I want the Material Testing database functions and web/mobile API services updated for GM and Contractor logins, so that the re-inspection loop and related business logic work reliably end-to-end.</t>
  </si>
  <si>
    <t xml:space="preserve">TOTAL MATERIAL TESTING ESTIMATION (CYCLE 5)</t>
  </si>
  <si>
    <t xml:space="preserve">Nirmal Module - Cycle 5 (June-July 2026)</t>
  </si>
  <si>
    <t xml:space="preserve">Nirmal - Beneficiary Report Issue Fix</t>
  </si>
  <si>
    <t xml:space="preserve">US-NRM-C5-001</t>
  </si>
  <si>
    <t xml:space="preserve">As a Nirmal module user, I want the reported issue in the Beneficiary Report resolved, so that beneficiary data displays correctly across the Nirmal inner pages.</t>
  </si>
  <si>
    <t xml:space="preserve">Nirmal - Contractor Login Report Counting Bug Fix</t>
  </si>
  <si>
    <t xml:space="preserve">US-NRM-C5-002</t>
  </si>
  <si>
    <t xml:space="preserve">As a Contractor user, I want the Nirmal report counting issue on my login corrected, so that reported totals reflect the actual number of records.</t>
  </si>
  <si>
    <t xml:space="preserve">Nirmal - FE Mobile Reports Validation &amp; Bug Fixes</t>
  </si>
  <si>
    <t xml:space="preserve">US-NRM-C5-003</t>
  </si>
  <si>
    <t xml:space="preserve">As a Field Executive, I want the Nirmal Reports on my mobile login validated and any bugs fixed, so that the data I submit and view in the field is accurate.</t>
  </si>
  <si>
    <t xml:space="preserve">Nirmal - Test Scenario and Test Case Creation</t>
  </si>
  <si>
    <t xml:space="preserve">US-NRM-C5-004</t>
  </si>
  <si>
    <t xml:space="preserve">As a QA engineer, I want documented test scenarios and test cases for the Nirmal Change Request, so that regression coverage is in place for future releases.</t>
  </si>
  <si>
    <t xml:space="preserve">TOTAL NIRMAL MODULE ESTIMATION (CYCLE 5)</t>
  </si>
  <si>
    <t xml:space="preserve">AI Module - FHTC Tap Connection Detection - Cycle 5 (June-July 2026)</t>
  </si>
  <si>
    <t xml:space="preserve">AI Module - Tap &amp; Person Detection Predictive Model</t>
  </si>
  <si>
    <t xml:space="preserve">US-AI-C5-001</t>
  </si>
  <si>
    <t xml:space="preserve">As a project data scientist, I want a machine learning predictive model built for tap and person detection on FHTC connection photos, so that tap connection evidence can be automatically verified instead of relying solely on manual review.</t>
  </si>
  <si>
    <t xml:space="preserve">AI Module - Tap Connection Buffer Region Validation (LLM/Pretrained Model Integration)</t>
  </si>
  <si>
    <t xml:space="preserve">US-AI-C5-002</t>
  </si>
  <si>
    <t xml:space="preserve">As a project data scientist, I want the tap connection monitoring buffer region validated using an LLM-assisted identification approach and an integrated human-pretrained model, so that tap identification accuracy improves in ambiguous or edge-case images.</t>
  </si>
  <si>
    <t xml:space="preserve">AI Module - FHTC Data Processing &amp; Model Training Pipeline</t>
  </si>
  <si>
    <t xml:space="preserve">US-AI-C5-003</t>
  </si>
  <si>
    <t xml:space="preserve">As a project data scientist, I want a repeatable data processing pipeline (including YOLOv8-based tap identification) for FHTC tap connection images, so that new field data can be efficiently prepared for model training and retraining.</t>
  </si>
  <si>
    <t xml:space="preserve">TOTAL AI MODULE - FHTC TAP CONNECTION DETECTION ESTIMATION (CYCLE 5)</t>
  </si>
  <si>
    <t xml:space="preserve">Master Data Module - Cycle 5 (June-July 2026)</t>
  </si>
  <si>
    <t xml:space="preserve">Master - Lock Scheme/Village/OHT Master Once Linked to Live Transactions</t>
  </si>
  <si>
    <t xml:space="preserve">US-MSTR-C5-001</t>
  </si>
  <si>
    <t xml:space="preserve">As a GM (PIU) user, I want Scheme Master, Village Master and OHT Master entries to become locked once linked to live Dhara, O&amp;M Billing or Asset Mapping transactions, so that master data can't be altered in a way that silently breaks downstream billing and reporting.</t>
  </si>
  <si>
    <t xml:space="preserve">Master - Dhara Mapped Summary Report Search Debugging &amp; Enhancement</t>
  </si>
  <si>
    <t xml:space="preserve">US-MSTR-C5-002</t>
  </si>
  <si>
    <t xml:space="preserve">As a GM (PIU) user, I want the search functionality on the Dhara Mapped Summary report (used in Abstract report generation) debugged and enhanced, so that I can reliably locate the mapped records I need.</t>
  </si>
  <si>
    <t xml:space="preserve">Master - Village Deletion Restriction &amp; Database Validation Message</t>
  </si>
  <si>
    <t xml:space="preserve">US-MSTR-C5-003</t>
  </si>
  <si>
    <t xml:space="preserve">As a data admin, I want village deletion restricted with a clear database validation message when a village is in use, so that master data integrity is preserved and users understand why a deletion is blocked.</t>
  </si>
  <si>
    <t xml:space="preserve">TOTAL MASTER DATA MODULE ESTIMATION (CYCLE 5)</t>
  </si>
  <si>
    <t xml:space="preserve">Asset Mapping (BISAC) - Cycle 5 (June-July 2026)</t>
  </si>
  <si>
    <t xml:space="preserve">Asset Mapping - SQC/TPIA Contractor Data &amp; Report on Web</t>
  </si>
  <si>
    <t xml:space="preserve">US-AST-C5-001</t>
  </si>
  <si>
    <t xml:space="preserve">As an SQC/TPIA/Contractor user, I want Asset Mapping data and reports available on the web portal, so that I can review and verify asset mapping records without relying solely on the mobile app.</t>
  </si>
  <si>
    <t xml:space="preserve">Asset Mapping - API Integration &amp; Frontend Bug Fixes</t>
  </si>
  <si>
    <t xml:space="preserve">US-AST-C5-002</t>
  </si>
  <si>
    <t xml:space="preserve">As a system developer, I want Asset Mapping API integrations completed and identified frontend bugs fixed, so that asset data flows correctly between the mobile app, web portal, and BISAC integration.</t>
  </si>
  <si>
    <t xml:space="preserve">TOTAL ASSET MAPPING (BISAC) ESTIMATION (CYCLE 5)</t>
  </si>
  <si>
    <t xml:space="preserve">Bharosa (Factory Testing) - Cycle 5 (June-July 2026)</t>
  </si>
  <si>
    <t xml:space="preserve">Bharosa - Item Master Duplicate Dropdown Entry Fix</t>
  </si>
  <si>
    <t xml:space="preserve">US-BHR-C5-001</t>
  </si>
  <si>
    <t xml:space="preserve">As a Bharosa Factory Testing (Web) user, I want the duplicate data entry issue in the item master dropdown fixed, so that I don't select or record duplicate item entries during factory testing.</t>
  </si>
  <si>
    <t xml:space="preserve">Bharosa - Factory Testing Mobile Bug Fixes</t>
  </si>
  <si>
    <t xml:space="preserve">US-BHR-C5-002</t>
  </si>
  <si>
    <t xml:space="preserve">As a Bharosa Factory Testing (Mobile) user, I want identified bugs in the mobile factory testing flow fixed, so that factory test submissions are reliable in the field.</t>
  </si>
  <si>
    <t xml:space="preserve">TOTAL BHAROSA (FACTORY TESTING) ESTIMATION (CYCLE 5)</t>
  </si>
  <si>
    <t xml:space="preserve">Daily Inspection - Cycle 5 (June-July 2026)</t>
  </si>
  <si>
    <t xml:space="preserve">Daily Inspection - Role-Based Report Modifications</t>
  </si>
  <si>
    <t xml:space="preserve">US-DIN-C5-001</t>
  </si>
  <si>
    <t xml:space="preserve">As an SQC/TPIA/Contractor/GM/CGM/TL user, I want the Daily Inspection Report module modified to reflect the correct fields and views for my role, so that daily inspection data is relevant and actionable for each reviewer level.</t>
  </si>
  <si>
    <t xml:space="preserve">Daily Inspection - Mobile App Bug Fixes</t>
  </si>
  <si>
    <t xml:space="preserve">US-DIN-C5-002</t>
  </si>
  <si>
    <t xml:space="preserve">As a field user, I want identified bugs in the Daily Inspection mobile app fixed, so that daily inspection entries can be submitted reliably from the field.</t>
  </si>
  <si>
    <t xml:space="preserve">TOTAL DAILY INSPECTION ESTIMATION (CYCLE 5)</t>
  </si>
  <si>
    <t xml:space="preserve">Sopan - Cycle 5 (June-July 2026)</t>
  </si>
  <si>
    <t xml:space="preserve">Sopan - Calendar Functionality for 2026-27</t>
  </si>
  <si>
    <t xml:space="preserve">US-SOP-C5-001</t>
  </si>
  <si>
    <t xml:space="preserve">As a Contractor (Web/Mobile), I want a calendar feature reflecting the 2026-27 calendar year on my Sopan login, so that I can plan and track activities against the correct project calendar year.</t>
  </si>
  <si>
    <t xml:space="preserve">TOTAL SOPAN ESTIMATION (CYCLE 5)</t>
  </si>
  <si>
    <t xml:space="preserve">QA - User &amp; Role Management Automation - Cycle 5 (June-July 2026)</t>
  </si>
  <si>
    <t xml:space="preserve">QA Automation - Selenium Scripts for User Login &amp; Registration</t>
  </si>
  <si>
    <t xml:space="preserve">US-QA-C5-001</t>
  </si>
  <si>
    <t xml:space="preserve">As a QA engineer, I want automated Selenium scripts for User Login and User Registration flows, so that regression testing of core access functionality is faster and repeatable across releases.</t>
  </si>
  <si>
    <t xml:space="preserve">QA Automation - Internal Review Process for Automation Testing</t>
  </si>
  <si>
    <t xml:space="preserve">US-QA-C5-002</t>
  </si>
  <si>
    <t xml:space="preserve">As a quality manager, I want a recurring internal review meeting for automation testing progress, so that automation coverage and defects are tracked consistently across sprints.</t>
  </si>
  <si>
    <t xml:space="preserve">TOTAL QA - USER &amp; ROLE MANAGEMENT AUTOMATION ESTIMATION (CYCLE 5)</t>
  </si>
</sst>
</file>

<file path=xl/styles.xml><?xml version="1.0" encoding="utf-8"?>
<styleSheet xmlns="http://schemas.openxmlformats.org/spreadsheetml/2006/main">
  <numFmts count="7">
    <numFmt numFmtId="164" formatCode="General"/>
    <numFmt numFmtId="165" formatCode="m/d/yyyy"/>
    <numFmt numFmtId="166" formatCode="0.0;[RED]0.0"/>
    <numFmt numFmtId="167" formatCode="dd\-mmm\-yyyy"/>
    <numFmt numFmtId="168" formatCode="yyyy\-mm\-dd\ h:mm:ss"/>
    <numFmt numFmtId="169" formatCode="0%"/>
    <numFmt numFmtId="170" formatCode="mmm\-yy"/>
  </numFmts>
  <fonts count="22">
    <font>
      <sz val="11"/>
      <color theme="1"/>
      <name val="Calibri"/>
      <family val="2"/>
      <charset val="1"/>
    </font>
    <font>
      <sz val="10"/>
      <name val="Arial"/>
      <family val="0"/>
    </font>
    <font>
      <sz val="10"/>
      <name val="Arial"/>
      <family val="0"/>
    </font>
    <font>
      <sz val="10"/>
      <name val="Arial"/>
      <family val="0"/>
    </font>
    <font>
      <b val="true"/>
      <sz val="12"/>
      <color rgb="FF000000"/>
      <name val="Calibri"/>
      <family val="2"/>
      <charset val="1"/>
    </font>
    <font>
      <b val="true"/>
      <sz val="13"/>
      <color rgb="FFFFFFFF"/>
      <name val="Arial"/>
      <family val="0"/>
      <charset val="1"/>
    </font>
    <font>
      <i val="true"/>
      <sz val="9"/>
      <name val="Arial"/>
      <family val="0"/>
      <charset val="1"/>
    </font>
    <font>
      <b val="true"/>
      <sz val="10"/>
      <color rgb="FFFFFFFF"/>
      <name val="Arial"/>
      <family val="0"/>
      <charset val="1"/>
    </font>
    <font>
      <sz val="9"/>
      <name val="Arial"/>
      <family val="0"/>
      <charset val="1"/>
    </font>
    <font>
      <b val="true"/>
      <sz val="10"/>
      <name val="Arial"/>
      <family val="0"/>
      <charset val="1"/>
    </font>
    <font>
      <b val="true"/>
      <i val="true"/>
      <sz val="9"/>
      <name val="Arial"/>
      <family val="0"/>
      <charset val="1"/>
    </font>
    <font>
      <sz val="10"/>
      <color rgb="FF0000FF"/>
      <name val="Arial"/>
      <family val="0"/>
      <charset val="1"/>
    </font>
    <font>
      <b val="true"/>
      <sz val="11"/>
      <color theme="1"/>
      <name val="Play"/>
      <family val="0"/>
      <charset val="1"/>
    </font>
    <font>
      <sz val="11"/>
      <color theme="1"/>
      <name val="Play"/>
      <family val="0"/>
      <charset val="1"/>
    </font>
    <font>
      <sz val="10"/>
      <color theme="1"/>
      <name val="Play"/>
      <family val="0"/>
      <charset val="1"/>
    </font>
    <font>
      <b val="true"/>
      <sz val="11"/>
      <color theme="1"/>
      <name val="Calibri"/>
      <family val="2"/>
      <charset val="1"/>
    </font>
    <font>
      <sz val="10"/>
      <color theme="1"/>
      <name val="Arial"/>
      <family val="2"/>
      <charset val="1"/>
    </font>
    <font>
      <sz val="12"/>
      <color theme="1"/>
      <name val="Play"/>
      <family val="0"/>
      <charset val="1"/>
    </font>
    <font>
      <b val="true"/>
      <sz val="12"/>
      <color theme="1"/>
      <name val="Play"/>
      <family val="0"/>
      <charset val="1"/>
    </font>
    <font>
      <b val="true"/>
      <sz val="10"/>
      <color theme="1"/>
      <name val="Play"/>
      <family val="0"/>
      <charset val="1"/>
    </font>
    <font>
      <sz val="10"/>
      <color theme="1"/>
      <name val="Aptos Display"/>
      <family val="2"/>
      <charset val="1"/>
    </font>
    <font>
      <sz val="10"/>
      <color theme="1"/>
      <name val="Calibri"/>
      <family val="2"/>
      <charset val="1"/>
    </font>
  </fonts>
  <fills count="9">
    <fill>
      <patternFill patternType="none"/>
    </fill>
    <fill>
      <patternFill patternType="gray125"/>
    </fill>
    <fill>
      <patternFill patternType="solid">
        <fgColor rgb="FFD9D9D9"/>
        <bgColor rgb="FFE7E6E6"/>
      </patternFill>
    </fill>
    <fill>
      <patternFill patternType="solid">
        <fgColor rgb="FF002060"/>
        <bgColor rgb="FF000080"/>
      </patternFill>
    </fill>
    <fill>
      <patternFill patternType="solid">
        <fgColor rgb="FF4F81BD"/>
        <bgColor rgb="FF808080"/>
      </patternFill>
    </fill>
    <fill>
      <patternFill patternType="solid">
        <fgColor rgb="FFFFF2CC"/>
        <bgColor rgb="FFE7E6E6"/>
      </patternFill>
    </fill>
    <fill>
      <patternFill patternType="solid">
        <fgColor rgb="FFA5A5A5"/>
        <bgColor rgb="FFBFBFBF"/>
      </patternFill>
    </fill>
    <fill>
      <patternFill patternType="solid">
        <fgColor theme="0"/>
        <bgColor rgb="FFFFF2CC"/>
      </patternFill>
    </fill>
    <fill>
      <patternFill patternType="solid">
        <fgColor rgb="FFE7E6E6"/>
        <bgColor rgb="FFD9D9D9"/>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0" applyFont="true" applyBorder="false" applyAlignment="false" applyProtection="false">
      <alignment horizontal="general" vertical="bottom" textRotation="0" wrapText="false" indent="0" shrinkToFit="false"/>
      <protection locked="true" hidden="false"/>
    </xf>
    <xf numFmtId="164" fontId="4" fillId="2" borderId="1" xfId="20" applyFont="true" applyBorder="true" applyAlignment="true" applyProtection="false">
      <alignment horizontal="center" vertical="center" textRotation="0" wrapText="true" indent="0" shrinkToFit="false"/>
      <protection locked="true" hidden="false"/>
    </xf>
    <xf numFmtId="164" fontId="4" fillId="2" borderId="1" xfId="20" applyFont="true" applyBorder="true" applyAlignment="true" applyProtection="false">
      <alignment horizontal="left" vertical="center" textRotation="0" wrapText="true" indent="0" shrinkToFit="false"/>
      <protection locked="true" hidden="false"/>
    </xf>
    <xf numFmtId="165" fontId="0" fillId="0" borderId="1" xfId="20" applyFont="true" applyBorder="true" applyAlignment="true" applyProtection="false">
      <alignment horizontal="center" vertical="center" textRotation="0" wrapText="true" indent="0" shrinkToFit="false"/>
      <protection locked="true" hidden="false"/>
    </xf>
    <xf numFmtId="166" fontId="0" fillId="0" borderId="1" xfId="20" applyFont="true" applyBorder="true" applyAlignment="true" applyProtection="false">
      <alignment horizontal="center" vertical="center" textRotation="0" wrapText="true" indent="0" shrinkToFit="false"/>
      <protection locked="true" hidden="false"/>
    </xf>
    <xf numFmtId="164" fontId="0" fillId="0" borderId="1" xfId="20" applyFont="true" applyBorder="true" applyAlignment="true" applyProtection="false">
      <alignment horizontal="center" vertical="center" textRotation="0" wrapText="true" indent="0" shrinkToFit="false"/>
      <protection locked="true" hidden="false"/>
    </xf>
    <xf numFmtId="164" fontId="0" fillId="0" borderId="1" xfId="20" applyFont="true" applyBorder="true" applyAlignment="true" applyProtection="false">
      <alignment horizontal="general" vertical="center" textRotation="0" wrapText="tru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20" applyFont="true" applyBorder="false" applyAlignment="true" applyProtection="false">
      <alignment horizontal="general" vertical="bottom" textRotation="0" wrapText="true" indent="0" shrinkToFit="false"/>
      <protection locked="true" hidden="false"/>
    </xf>
    <xf numFmtId="164" fontId="13" fillId="0" borderId="0" xfId="20" applyFont="true" applyBorder="false" applyAlignment="true" applyProtection="false">
      <alignment horizontal="general" vertical="bottom" textRotation="0" wrapText="true" indent="0" shrinkToFit="false"/>
      <protection locked="true" hidden="false"/>
    </xf>
    <xf numFmtId="164" fontId="13" fillId="0" borderId="0" xfId="20" applyFont="true" applyBorder="false" applyAlignment="false" applyProtection="false">
      <alignment horizontal="general" vertical="bottom" textRotation="0" wrapText="false" indent="0" shrinkToFit="false"/>
      <protection locked="true" hidden="false"/>
    </xf>
    <xf numFmtId="164" fontId="12" fillId="6" borderId="1" xfId="20" applyFont="true" applyBorder="true" applyAlignment="true" applyProtection="false">
      <alignment horizontal="left" vertical="top" textRotation="0" wrapText="true" indent="0" shrinkToFit="false"/>
      <protection locked="true" hidden="false"/>
    </xf>
    <xf numFmtId="164" fontId="0" fillId="0" borderId="1" xfId="20" applyFont="true" applyBorder="true" applyAlignment="true" applyProtection="false">
      <alignment horizontal="general" vertical="top" textRotation="0" wrapText="true" indent="0" shrinkToFit="false"/>
      <protection locked="true" hidden="false"/>
    </xf>
    <xf numFmtId="164" fontId="0" fillId="0" borderId="1" xfId="20" applyFont="true" applyBorder="true" applyAlignment="true" applyProtection="false">
      <alignment horizontal="general" vertical="top" textRotation="0" wrapText="false" indent="0" shrinkToFit="false"/>
      <protection locked="true" hidden="false"/>
    </xf>
    <xf numFmtId="164" fontId="14" fillId="7" borderId="1" xfId="20" applyFont="true" applyBorder="true" applyAlignment="true" applyProtection="false">
      <alignment horizontal="general" vertical="top" textRotation="0" wrapText="true" indent="0" shrinkToFit="false"/>
      <protection locked="true" hidden="false"/>
    </xf>
    <xf numFmtId="164" fontId="14" fillId="7" borderId="1" xfId="20" applyFont="true" applyBorder="true" applyAlignment="true" applyProtection="false">
      <alignment horizontal="general" vertical="bottom" textRotation="0" wrapText="true" indent="0" shrinkToFit="false"/>
      <protection locked="true" hidden="false"/>
    </xf>
    <xf numFmtId="164" fontId="14" fillId="7" borderId="1" xfId="20" applyFont="true" applyBorder="true" applyAlignment="false" applyProtection="false">
      <alignment horizontal="general" vertical="bottom" textRotation="0" wrapText="false" indent="0" shrinkToFit="false"/>
      <protection locked="true" hidden="false"/>
    </xf>
    <xf numFmtId="164" fontId="14" fillId="7" borderId="1" xfId="20" applyFont="true" applyBorder="true" applyAlignment="true" applyProtection="false">
      <alignment horizontal="left" vertical="center" textRotation="0" wrapText="true" indent="0" shrinkToFit="false"/>
      <protection locked="true" hidden="false"/>
    </xf>
    <xf numFmtId="164" fontId="13" fillId="6" borderId="1" xfId="20" applyFont="true" applyBorder="true" applyAlignment="true" applyProtection="false">
      <alignment horizontal="center" vertical="bottom" textRotation="0" wrapText="true" indent="0" shrinkToFit="false"/>
      <protection locked="true" hidden="false"/>
    </xf>
    <xf numFmtId="164" fontId="0" fillId="0" borderId="0" xfId="20" applyFont="true" applyBorder="false" applyAlignment="true" applyProtection="false">
      <alignment horizontal="general" vertical="bottom" textRotation="0" wrapText="true" indent="0" shrinkToFit="false"/>
      <protection locked="true" hidden="false"/>
    </xf>
    <xf numFmtId="164" fontId="13" fillId="0" borderId="1" xfId="20" applyFont="true" applyBorder="true" applyAlignment="true" applyProtection="false">
      <alignment horizontal="center" vertical="bottom" textRotation="0" wrapText="true" indent="0" shrinkToFit="false"/>
      <protection locked="true" hidden="false"/>
    </xf>
    <xf numFmtId="164" fontId="13" fillId="0" borderId="1" xfId="20" applyFont="true" applyBorder="true" applyAlignment="true" applyProtection="false">
      <alignment horizontal="center" vertical="bottom" textRotation="0" wrapText="false" indent="0" shrinkToFit="false"/>
      <protection locked="true" hidden="false"/>
    </xf>
    <xf numFmtId="164" fontId="13" fillId="0" borderId="1" xfId="20" applyFont="true" applyBorder="true" applyAlignment="true" applyProtection="false">
      <alignment horizontal="center" vertical="center" textRotation="0" wrapText="false" indent="0" shrinkToFit="false"/>
      <protection locked="true" hidden="false"/>
    </xf>
    <xf numFmtId="164" fontId="13" fillId="0" borderId="1" xfId="20" applyFont="true" applyBorder="true" applyAlignment="false" applyProtection="false">
      <alignment horizontal="general" vertical="bottom" textRotation="0" wrapText="false" indent="0" shrinkToFit="false"/>
      <protection locked="true" hidden="false"/>
    </xf>
    <xf numFmtId="164" fontId="15" fillId="0" borderId="1" xfId="20" applyFont="true" applyBorder="true" applyAlignment="true" applyProtection="false">
      <alignment horizontal="general" vertical="bottom" textRotation="0" wrapText="true" indent="0" shrinkToFit="false"/>
      <protection locked="true" hidden="false"/>
    </xf>
    <xf numFmtId="164" fontId="0" fillId="0" borderId="1" xfId="20" applyFont="true" applyBorder="true" applyAlignment="true" applyProtection="false">
      <alignment horizontal="general" vertical="bottom" textRotation="0" wrapText="true" indent="0" shrinkToFit="false"/>
      <protection locked="true" hidden="false"/>
    </xf>
    <xf numFmtId="164" fontId="0" fillId="0" borderId="1" xfId="20" applyFont="true" applyBorder="true" applyAlignment="false" applyProtection="false">
      <alignment horizontal="general" vertical="bottom" textRotation="0" wrapText="false" indent="0" shrinkToFit="false"/>
      <protection locked="true" hidden="false"/>
    </xf>
    <xf numFmtId="164" fontId="16" fillId="0" borderId="1" xfId="20" applyFont="true" applyBorder="true" applyAlignment="false" applyProtection="false">
      <alignment horizontal="general" vertical="bottom" textRotation="0" wrapText="false" indent="0" shrinkToFit="false"/>
      <protection locked="true" hidden="false"/>
    </xf>
    <xf numFmtId="164" fontId="16" fillId="0" borderId="3" xfId="20" applyFont="true" applyBorder="true" applyAlignment="true" applyProtection="false">
      <alignment horizontal="center" vertical="bottom" textRotation="0" wrapText="false" indent="0" shrinkToFit="false"/>
      <protection locked="true" hidden="false"/>
    </xf>
    <xf numFmtId="164" fontId="16" fillId="0" borderId="1" xfId="20" applyFont="true" applyBorder="true" applyAlignment="true" applyProtection="false">
      <alignment horizontal="center" vertical="bottom" textRotation="0" wrapText="false" indent="0" shrinkToFit="false"/>
      <protection locked="true" hidden="false"/>
    </xf>
    <xf numFmtId="169" fontId="16" fillId="0" borderId="1" xfId="20" applyFont="true" applyBorder="true" applyAlignment="true" applyProtection="false">
      <alignment horizontal="center" vertical="bottom" textRotation="0" wrapText="false" indent="0" shrinkToFit="false"/>
      <protection locked="true" hidden="false"/>
    </xf>
    <xf numFmtId="164" fontId="14" fillId="0" borderId="1" xfId="20" applyFont="true" applyBorder="true" applyAlignment="false" applyProtection="false">
      <alignment horizontal="general" vertical="bottom" textRotation="0" wrapText="false" indent="0" shrinkToFit="false"/>
      <protection locked="true" hidden="false"/>
    </xf>
    <xf numFmtId="169" fontId="14" fillId="0" borderId="1" xfId="20" applyFont="true" applyBorder="true" applyAlignment="true" applyProtection="false">
      <alignment horizontal="center" vertical="bottom" textRotation="0" wrapText="false" indent="0" shrinkToFit="false"/>
      <protection locked="true" hidden="false"/>
    </xf>
    <xf numFmtId="169" fontId="14" fillId="0" borderId="1" xfId="20" applyFont="true" applyBorder="true" applyAlignment="false" applyProtection="false">
      <alignment horizontal="general" vertical="bottom" textRotation="0" wrapText="false" indent="0" shrinkToFit="false"/>
      <protection locked="true" hidden="false"/>
    </xf>
    <xf numFmtId="164" fontId="13" fillId="0" borderId="0" xfId="20" applyFont="true" applyBorder="false" applyAlignment="true" applyProtection="false">
      <alignment horizontal="general" vertical="top" textRotation="0" wrapText="false" indent="0" shrinkToFit="false"/>
      <protection locked="true" hidden="false"/>
    </xf>
    <xf numFmtId="164" fontId="13" fillId="0" borderId="0" xfId="20" applyFont="true" applyBorder="false" applyAlignment="true" applyProtection="false">
      <alignment horizontal="general" vertical="top" textRotation="0" wrapText="true" indent="0" shrinkToFit="false"/>
      <protection locked="true" hidden="false"/>
    </xf>
    <xf numFmtId="164" fontId="12" fillId="0" borderId="1" xfId="20" applyFont="true" applyBorder="true" applyAlignment="true" applyProtection="false">
      <alignment horizontal="general" vertical="top" textRotation="0" wrapText="false" indent="0" shrinkToFit="false"/>
      <protection locked="true" hidden="false"/>
    </xf>
    <xf numFmtId="164" fontId="12" fillId="0" borderId="1" xfId="20" applyFont="true" applyBorder="true" applyAlignment="true" applyProtection="false">
      <alignment horizontal="center" vertical="top" textRotation="0" wrapText="true" indent="0" shrinkToFit="false"/>
      <protection locked="true" hidden="false"/>
    </xf>
    <xf numFmtId="164" fontId="12" fillId="0" borderId="1" xfId="20" applyFont="true" applyBorder="true" applyAlignment="true" applyProtection="false">
      <alignment horizontal="center" vertical="top" textRotation="0" wrapText="false" indent="0" shrinkToFit="false"/>
      <protection locked="true" hidden="false"/>
    </xf>
    <xf numFmtId="164" fontId="13" fillId="0" borderId="1" xfId="20" applyFont="true" applyBorder="true" applyAlignment="true" applyProtection="false">
      <alignment horizontal="center" vertical="top" textRotation="0" wrapText="true" indent="0" shrinkToFit="false"/>
      <protection locked="true" hidden="false"/>
    </xf>
    <xf numFmtId="164" fontId="13" fillId="0" borderId="1" xfId="20" applyFont="true" applyBorder="true" applyAlignment="true" applyProtection="false">
      <alignment horizontal="center" vertical="top" textRotation="0" wrapText="false" indent="0" shrinkToFit="false"/>
      <protection locked="true" hidden="false"/>
    </xf>
    <xf numFmtId="164" fontId="12" fillId="0" borderId="1" xfId="20" applyFont="true" applyBorder="true" applyAlignment="true" applyProtection="false">
      <alignment horizontal="general" vertical="top" textRotation="0" wrapText="true" indent="0" shrinkToFit="false"/>
      <protection locked="true" hidden="false"/>
    </xf>
    <xf numFmtId="164" fontId="17" fillId="7" borderId="1" xfId="20" applyFont="true" applyBorder="true" applyAlignment="true" applyProtection="false">
      <alignment horizontal="left" vertical="top" textRotation="0" wrapText="false" indent="0" shrinkToFit="false"/>
      <protection locked="true" hidden="false"/>
    </xf>
    <xf numFmtId="164" fontId="18" fillId="7" borderId="1" xfId="20" applyFont="true" applyBorder="true" applyAlignment="true" applyProtection="false">
      <alignment horizontal="left" vertical="top" textRotation="0" wrapText="false" indent="0" shrinkToFit="false"/>
      <protection locked="true" hidden="false"/>
    </xf>
    <xf numFmtId="164" fontId="18" fillId="7" borderId="1" xfId="20" applyFont="true" applyBorder="true" applyAlignment="true" applyProtection="false">
      <alignment horizontal="center" vertical="top" textRotation="0" wrapText="false" indent="0" shrinkToFit="false"/>
      <protection locked="true" hidden="false"/>
    </xf>
    <xf numFmtId="164" fontId="13" fillId="7" borderId="0" xfId="20" applyFont="true" applyBorder="false" applyAlignment="true" applyProtection="false">
      <alignment horizontal="general" vertical="top" textRotation="0" wrapText="false" indent="0" shrinkToFit="false"/>
      <protection locked="true" hidden="false"/>
    </xf>
    <xf numFmtId="164" fontId="19" fillId="7" borderId="1" xfId="20" applyFont="true" applyBorder="true" applyAlignment="true" applyProtection="false">
      <alignment horizontal="center" vertical="center" textRotation="0" wrapText="true" indent="0" shrinkToFit="false"/>
      <protection locked="true" hidden="false"/>
    </xf>
    <xf numFmtId="164" fontId="0" fillId="0" borderId="1" xfId="20" applyFont="true" applyBorder="true" applyAlignment="true" applyProtection="false">
      <alignment horizontal="center" vertical="top" textRotation="0" wrapText="false" indent="0" shrinkToFit="false"/>
      <protection locked="true" hidden="false"/>
    </xf>
    <xf numFmtId="170" fontId="0" fillId="0" borderId="1" xfId="20" applyFont="true" applyBorder="true" applyAlignment="true" applyProtection="false">
      <alignment horizontal="center" vertical="top" textRotation="0" wrapText="false" indent="0" shrinkToFit="false"/>
      <protection locked="true" hidden="false"/>
    </xf>
    <xf numFmtId="164" fontId="13" fillId="0" borderId="1" xfId="20" applyFont="true" applyBorder="true" applyAlignment="true" applyProtection="false">
      <alignment horizontal="general" vertical="top" textRotation="0" wrapText="false" indent="0" shrinkToFit="false"/>
      <protection locked="true" hidden="false"/>
    </xf>
    <xf numFmtId="164" fontId="0" fillId="0" borderId="1" xfId="20" applyFont="true" applyBorder="true" applyAlignment="true" applyProtection="false">
      <alignment horizontal="center" vertical="top" textRotation="0" wrapText="true" indent="0" shrinkToFit="false"/>
      <protection locked="true" hidden="false"/>
    </xf>
    <xf numFmtId="164" fontId="20" fillId="7" borderId="1" xfId="20" applyFont="true" applyBorder="true" applyAlignment="true" applyProtection="false">
      <alignment horizontal="general" vertical="bottom" textRotation="0" wrapText="true" indent="0" shrinkToFit="false"/>
      <protection locked="true" hidden="false"/>
    </xf>
    <xf numFmtId="164" fontId="21" fillId="7" borderId="1" xfId="20" applyFont="true" applyBorder="true" applyAlignment="true" applyProtection="false">
      <alignment horizontal="general" vertical="top" textRotation="0" wrapText="true" indent="0" shrinkToFit="false"/>
      <protection locked="true" hidden="false"/>
    </xf>
    <xf numFmtId="164" fontId="14" fillId="7" borderId="1" xfId="2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0" fillId="5" borderId="0" xfId="0" applyFont="true" applyBorder="false" applyAlignment="true" applyProtection="false">
      <alignment horizontal="center" vertical="center" textRotation="0" wrapText="tru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E6E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A5A5A5"/>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123840</xdr:colOff>
      <xdr:row>0</xdr:row>
      <xdr:rowOff>0</xdr:rowOff>
    </xdr:from>
    <xdr:to>
      <xdr:col>1</xdr:col>
      <xdr:colOff>49680</xdr:colOff>
      <xdr:row>3</xdr:row>
      <xdr:rowOff>151200</xdr:rowOff>
    </xdr:to>
    <xdr:pic>
      <xdr:nvPicPr>
        <xdr:cNvPr id="0" name="image1.png" descr=""/>
        <xdr:cNvPicPr/>
      </xdr:nvPicPr>
      <xdr:blipFill>
        <a:blip r:embed="rId1"/>
        <a:stretch/>
      </xdr:blipFill>
      <xdr:spPr>
        <a:xfrm>
          <a:off x="123840" y="0"/>
          <a:ext cx="970560" cy="694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9" activeCellId="0" sqref="B9"/>
    </sheetView>
  </sheetViews>
  <sheetFormatPr defaultColWidth="14.36328125" defaultRowHeight="14.25" zeroHeight="false" outlineLevelRow="0" outlineLevelCol="0"/>
  <cols>
    <col collapsed="false" customWidth="true" hidden="false" outlineLevel="0" max="1" min="1" style="1" width="14.82"/>
    <col collapsed="false" customWidth="true" hidden="false" outlineLevel="0" max="2" min="2" style="1" width="7.82"/>
    <col collapsed="false" customWidth="true" hidden="false" outlineLevel="0" max="3" min="3" style="1" width="18.36"/>
    <col collapsed="false" customWidth="true" hidden="false" outlineLevel="0" max="4" min="4" style="1" width="17.09"/>
    <col collapsed="false" customWidth="true" hidden="false" outlineLevel="0" max="5" min="5" style="1" width="26.27"/>
    <col collapsed="false" customWidth="true" hidden="false" outlineLevel="0" max="26" min="6" style="1" width="8.73"/>
    <col collapsed="false" customWidth="false" hidden="false" outlineLevel="0" max="16384" min="27" style="1" width="14.36"/>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row r="4" customFormat="false" ht="14.25" hidden="false" customHeight="true" outlineLevel="0" collapsed="false"/>
    <row r="5" customFormat="false" ht="14.25" hidden="false" customHeight="true" outlineLevel="0" collapsed="false">
      <c r="A5" s="2" t="s">
        <v>0</v>
      </c>
      <c r="B5" s="3" t="s">
        <v>1</v>
      </c>
      <c r="C5" s="2" t="s">
        <v>2</v>
      </c>
      <c r="D5" s="2" t="s">
        <v>3</v>
      </c>
      <c r="E5" s="3" t="s">
        <v>4</v>
      </c>
    </row>
    <row r="6" customFormat="false" ht="14.25" hidden="false" customHeight="true" outlineLevel="0" collapsed="false">
      <c r="A6" s="4" t="n">
        <v>45660</v>
      </c>
      <c r="B6" s="5" t="n">
        <v>1</v>
      </c>
      <c r="C6" s="6" t="s">
        <v>5</v>
      </c>
      <c r="D6" s="7" t="s">
        <v>6</v>
      </c>
      <c r="E6" s="7" t="s">
        <v>7</v>
      </c>
    </row>
    <row r="7" customFormat="false" ht="14.25" hidden="false" customHeight="true" outlineLevel="0" collapsed="false">
      <c r="A7" s="8" t="n">
        <v>46174</v>
      </c>
      <c r="B7" s="1" t="s">
        <v>8</v>
      </c>
      <c r="C7" s="1" t="s">
        <v>9</v>
      </c>
      <c r="D7" s="1" t="s">
        <v>10</v>
      </c>
      <c r="E7" s="1" t="s">
        <v>11</v>
      </c>
    </row>
    <row r="8" customFormat="false" ht="14.25" hidden="false" customHeight="true" outlineLevel="0" collapsed="false">
      <c r="A8" s="8" t="n">
        <v>46190</v>
      </c>
      <c r="B8" s="1" t="s">
        <v>12</v>
      </c>
      <c r="C8" s="1" t="s">
        <v>13</v>
      </c>
      <c r="D8" s="1" t="s">
        <v>10</v>
      </c>
      <c r="E8" s="1" t="s">
        <v>11</v>
      </c>
    </row>
    <row r="9" customFormat="false" ht="90" hidden="false" customHeight="true" outlineLevel="0" collapsed="false">
      <c r="A9" s="9" t="n">
        <v>46245</v>
      </c>
      <c r="B9" s="10" t="s">
        <v>14</v>
      </c>
      <c r="C9" s="10" t="s">
        <v>15</v>
      </c>
      <c r="D9" s="10" t="s">
        <v>16</v>
      </c>
      <c r="E9" s="10" t="s">
        <v>17</v>
      </c>
    </row>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0"/>
    <col collapsed="false" customWidth="true" hidden="false" outlineLevel="0" max="4" min="4" style="0" width="12"/>
    <col collapsed="false" customWidth="true" hidden="false" outlineLevel="0" max="5" min="5" style="0" width="15"/>
    <col collapsed="false" customWidth="true" hidden="false" outlineLevel="0" max="6" min="6" style="0" width="16"/>
    <col collapsed="false" customWidth="true" hidden="false" outlineLevel="0" max="7" min="7" style="0" width="12"/>
    <col collapsed="false" customWidth="true" hidden="false" outlineLevel="0" max="8" min="8" style="0" width="14"/>
  </cols>
  <sheetData>
    <row r="1" customFormat="false" ht="25.5" hidden="false" customHeight="true" outlineLevel="0" collapsed="false">
      <c r="A1" s="11" t="s">
        <v>18</v>
      </c>
      <c r="B1" s="11"/>
      <c r="C1" s="11"/>
      <c r="D1" s="11"/>
      <c r="E1" s="11"/>
      <c r="F1" s="11"/>
      <c r="G1" s="11"/>
      <c r="H1" s="11"/>
    </row>
    <row r="2" customFormat="false" ht="15" hidden="false" customHeight="false" outlineLevel="0" collapsed="false">
      <c r="A2" s="12" t="s">
        <v>19</v>
      </c>
      <c r="B2" s="12"/>
      <c r="C2" s="12"/>
      <c r="D2" s="12"/>
      <c r="E2" s="12"/>
      <c r="F2" s="12"/>
      <c r="G2" s="12"/>
      <c r="H2" s="12"/>
    </row>
    <row r="4" customFormat="false" ht="31.5" hidden="false" customHeight="true" outlineLevel="0" collapsed="false">
      <c r="A4" s="13" t="s">
        <v>20</v>
      </c>
      <c r="B4" s="13" t="s">
        <v>21</v>
      </c>
      <c r="C4" s="13" t="s">
        <v>22</v>
      </c>
      <c r="D4" s="13" t="s">
        <v>23</v>
      </c>
      <c r="E4" s="13" t="s">
        <v>24</v>
      </c>
      <c r="F4" s="13" t="s">
        <v>25</v>
      </c>
      <c r="G4" s="13" t="s">
        <v>26</v>
      </c>
      <c r="H4" s="13" t="s">
        <v>27</v>
      </c>
    </row>
    <row r="5" customFormat="false" ht="15" hidden="false" customHeight="false" outlineLevel="0" collapsed="false">
      <c r="A5" s="14" t="n">
        <v>1</v>
      </c>
      <c r="B5" s="14" t="s">
        <v>28</v>
      </c>
      <c r="C5" s="14" t="n">
        <v>17</v>
      </c>
      <c r="D5" s="14" t="n">
        <f aca="false">'OM Billing Est C5'!G25</f>
        <v>37</v>
      </c>
      <c r="E5" s="14" t="n">
        <f aca="false">'OM Billing Est C5'!C35</f>
        <v>238.752777777778</v>
      </c>
      <c r="F5" s="14" t="n">
        <f aca="false">'OM Billing Est C5'!C38</f>
        <v>325</v>
      </c>
      <c r="G5" s="14" t="n">
        <f aca="false">'OM Billing Est C5'!C39</f>
        <v>-86.2472222222222</v>
      </c>
      <c r="H5" s="14" t="n">
        <f aca="false">'OM Billing Est C5'!C40</f>
        <v>218</v>
      </c>
    </row>
    <row r="6" customFormat="false" ht="15" hidden="false" customHeight="false" outlineLevel="0" collapsed="false">
      <c r="A6" s="14" t="n">
        <v>2</v>
      </c>
      <c r="B6" s="14" t="s">
        <v>29</v>
      </c>
      <c r="C6" s="14" t="n">
        <v>11</v>
      </c>
      <c r="D6" s="14" t="n">
        <f aca="false">'Sahbhagita Est C5'!G19</f>
        <v>19</v>
      </c>
      <c r="E6" s="14" t="n">
        <f aca="false">'Sahbhagita Est C5'!C29</f>
        <v>122.602777777778</v>
      </c>
      <c r="F6" s="14" t="n">
        <f aca="false">'Sahbhagita Est C5'!C32</f>
        <v>271</v>
      </c>
      <c r="G6" s="14" t="n">
        <f aca="false">'Sahbhagita Est C5'!C33</f>
        <v>-148.397222222222</v>
      </c>
      <c r="H6" s="14" t="n">
        <f aca="false">'Sahbhagita Est C5'!C34</f>
        <v>104</v>
      </c>
    </row>
    <row r="7" customFormat="false" ht="15" hidden="false" customHeight="false" outlineLevel="0" collapsed="false">
      <c r="A7" s="14" t="n">
        <v>3</v>
      </c>
      <c r="B7" s="14" t="s">
        <v>30</v>
      </c>
      <c r="C7" s="14" t="n">
        <v>8</v>
      </c>
      <c r="D7" s="14" t="n">
        <f aca="false">'Dhara Est C5'!G16</f>
        <v>14</v>
      </c>
      <c r="E7" s="14" t="n">
        <f aca="false">'Dhara Est C5'!C26</f>
        <v>90.3388888888889</v>
      </c>
      <c r="F7" s="14" t="n">
        <f aca="false">'Dhara Est C5'!C29</f>
        <v>112</v>
      </c>
      <c r="G7" s="14" t="n">
        <f aca="false">'Dhara Est C5'!C30</f>
        <v>-21.6611111111111</v>
      </c>
      <c r="H7" s="14" t="n">
        <f aca="false">'Dhara Est C5'!C31</f>
        <v>82</v>
      </c>
    </row>
    <row r="8" customFormat="false" ht="15" hidden="false" customHeight="false" outlineLevel="0" collapsed="false">
      <c r="A8" s="14" t="n">
        <v>4</v>
      </c>
      <c r="B8" s="14" t="s">
        <v>31</v>
      </c>
      <c r="C8" s="14" t="n">
        <v>5</v>
      </c>
      <c r="D8" s="14" t="n">
        <f aca="false">'Vistrit Est C5'!G13</f>
        <v>5</v>
      </c>
      <c r="E8" s="14" t="n">
        <f aca="false">'Vistrit Est C5'!C23</f>
        <v>32.2638888888889</v>
      </c>
      <c r="F8" s="14" t="n">
        <f aca="false">'Vistrit Est C5'!C26</f>
        <v>0</v>
      </c>
      <c r="G8" s="14" t="n">
        <f aca="false">'Vistrit Est C5'!C27</f>
        <v>32.2638888888889</v>
      </c>
      <c r="H8" s="14" t="n">
        <f aca="false">'Vistrit Est C5'!C28</f>
        <v>34</v>
      </c>
    </row>
    <row r="9" customFormat="false" ht="15" hidden="false" customHeight="false" outlineLevel="0" collapsed="false">
      <c r="A9" s="14" t="n">
        <v>5</v>
      </c>
      <c r="B9" s="14" t="s">
        <v>32</v>
      </c>
      <c r="C9" s="14" t="n">
        <v>5</v>
      </c>
      <c r="D9" s="14" t="n">
        <f aca="false">'FHTC Parinam Est C5'!G13</f>
        <v>11</v>
      </c>
      <c r="E9" s="14" t="n">
        <f aca="false">'FHTC Parinam Est C5'!C23</f>
        <v>70.9805555555556</v>
      </c>
      <c r="F9" s="14" t="n">
        <f aca="false">'FHTC Parinam Est C5'!C26</f>
        <v>108</v>
      </c>
      <c r="G9" s="14" t="n">
        <f aca="false">'FHTC Parinam Est C5'!C27</f>
        <v>-37.0194444444444</v>
      </c>
      <c r="H9" s="14" t="n">
        <f aca="false">'FHTC Parinam Est C5'!C28</f>
        <v>56</v>
      </c>
    </row>
    <row r="10" customFormat="false" ht="15" hidden="false" customHeight="false" outlineLevel="0" collapsed="false">
      <c r="A10" s="14" t="n">
        <v>6</v>
      </c>
      <c r="B10" s="14" t="s">
        <v>33</v>
      </c>
      <c r="C10" s="14" t="n">
        <v>3</v>
      </c>
      <c r="D10" s="14" t="n">
        <f aca="false">'BISAC Integration Est C5'!G11</f>
        <v>11</v>
      </c>
      <c r="E10" s="14" t="n">
        <f aca="false">'BISAC Integration Est C5'!C21</f>
        <v>70.9805555555556</v>
      </c>
      <c r="F10" s="14" t="n">
        <f aca="false">'BISAC Integration Est C5'!C24</f>
        <v>0</v>
      </c>
      <c r="G10" s="14" t="n">
        <f aca="false">'BISAC Integration Est C5'!C25</f>
        <v>70.9805555555556</v>
      </c>
      <c r="H10" s="14" t="n">
        <f aca="false">'BISAC Integration Est C5'!C26</f>
        <v>52</v>
      </c>
    </row>
    <row r="11" customFormat="false" ht="15" hidden="false" customHeight="false" outlineLevel="0" collapsed="false">
      <c r="A11" s="14" t="n">
        <v>7</v>
      </c>
      <c r="B11" s="14" t="s">
        <v>34</v>
      </c>
      <c r="C11" s="14" t="n">
        <v>4</v>
      </c>
      <c r="D11" s="14" t="n">
        <f aca="false">'eSign CDAC Est C5'!G12</f>
        <v>16</v>
      </c>
      <c r="E11" s="14" t="n">
        <f aca="false">'eSign CDAC Est C5'!C22</f>
        <v>103.244444444444</v>
      </c>
      <c r="F11" s="14" t="n">
        <f aca="false">'eSign CDAC Est C5'!C25</f>
        <v>0</v>
      </c>
      <c r="G11" s="14" t="n">
        <f aca="false">'eSign CDAC Est C5'!C26</f>
        <v>103.244444444444</v>
      </c>
      <c r="H11" s="14" t="n">
        <f aca="false">'eSign CDAC Est C5'!C27</f>
        <v>82</v>
      </c>
    </row>
    <row r="12" customFormat="false" ht="15" hidden="false" customHeight="false" outlineLevel="0" collapsed="false">
      <c r="A12" s="14" t="n">
        <v>8</v>
      </c>
      <c r="B12" s="14" t="s">
        <v>35</v>
      </c>
      <c r="C12" s="14" t="n">
        <v>3</v>
      </c>
      <c r="D12" s="14" t="n">
        <f aca="false">'Anusharavan Est C5'!G11</f>
        <v>3</v>
      </c>
      <c r="E12" s="14" t="n">
        <f aca="false">'Anusharavan Est C5'!C21</f>
        <v>19.3583333333333</v>
      </c>
      <c r="F12" s="14" t="n">
        <f aca="false">'Anusharavan Est C5'!C24</f>
        <v>70</v>
      </c>
      <c r="G12" s="14" t="n">
        <f aca="false">'Anusharavan Est C5'!C25</f>
        <v>-50.6416666666667</v>
      </c>
      <c r="H12" s="14" t="n">
        <f aca="false">'Anusharavan Est C5'!C26</f>
        <v>18</v>
      </c>
    </row>
    <row r="13" customFormat="false" ht="15" hidden="false" customHeight="false" outlineLevel="0" collapsed="false">
      <c r="A13" s="14" t="n">
        <v>9</v>
      </c>
      <c r="B13" s="14" t="s">
        <v>36</v>
      </c>
      <c r="C13" s="14" t="n">
        <v>5</v>
      </c>
      <c r="D13" s="14" t="n">
        <f aca="false">'Cube Testing Est C5'!G13</f>
        <v>7</v>
      </c>
      <c r="E13" s="14" t="n">
        <f aca="false">'Cube Testing Est C5'!C23</f>
        <v>45.1694444444445</v>
      </c>
      <c r="F13" s="14" t="n">
        <f aca="false">'Cube Testing Est C5'!C26</f>
        <v>345</v>
      </c>
      <c r="G13" s="14" t="n">
        <f aca="false">'Cube Testing Est C5'!C27</f>
        <v>-299.830555555556</v>
      </c>
      <c r="H13" s="14" t="n">
        <f aca="false">'Cube Testing Est C5'!C28</f>
        <v>38</v>
      </c>
    </row>
    <row r="14" customFormat="false" ht="15" hidden="false" customHeight="false" outlineLevel="0" collapsed="false">
      <c r="A14" s="14" t="n">
        <v>10</v>
      </c>
      <c r="B14" s="14" t="s">
        <v>37</v>
      </c>
      <c r="C14" s="14" t="n">
        <v>4</v>
      </c>
      <c r="D14" s="14" t="n">
        <f aca="false">'SVS Est C5'!G12</f>
        <v>4</v>
      </c>
      <c r="E14" s="14" t="n">
        <f aca="false">'SVS Est C5'!C22</f>
        <v>25.8111111111111</v>
      </c>
      <c r="F14" s="14" t="n">
        <f aca="false">'SVS Est C5'!C25</f>
        <v>105</v>
      </c>
      <c r="G14" s="14" t="n">
        <f aca="false">'SVS Est C5'!C26</f>
        <v>-79.1888888888889</v>
      </c>
      <c r="H14" s="14" t="n">
        <f aca="false">'SVS Est C5'!C27</f>
        <v>20</v>
      </c>
    </row>
    <row r="15" customFormat="false" ht="15" hidden="false" customHeight="false" outlineLevel="0" collapsed="false">
      <c r="A15" s="14" t="n">
        <v>11</v>
      </c>
      <c r="B15" s="14" t="s">
        <v>38</v>
      </c>
      <c r="C15" s="14" t="n">
        <v>2</v>
      </c>
      <c r="D15" s="14" t="n">
        <f aca="false">'Vistrit OTP Est C5'!G10</f>
        <v>2</v>
      </c>
      <c r="E15" s="14" t="n">
        <f aca="false">'Vistrit OTP Est C5'!C20</f>
        <v>12.9055555555556</v>
      </c>
      <c r="F15" s="14" t="n">
        <f aca="false">'Vistrit OTP Est C5'!C23</f>
        <v>0</v>
      </c>
      <c r="G15" s="14" t="n">
        <f aca="false">'Vistrit OTP Est C5'!C24</f>
        <v>12.9055555555556</v>
      </c>
      <c r="H15" s="14" t="n">
        <f aca="false">'Vistrit OTP Est C5'!C25</f>
        <v>12</v>
      </c>
    </row>
    <row r="16" customFormat="false" ht="15" hidden="false" customHeight="false" outlineLevel="0" collapsed="false">
      <c r="A16" s="14" t="n">
        <v>12</v>
      </c>
      <c r="B16" s="14" t="s">
        <v>39</v>
      </c>
      <c r="C16" s="14" t="n">
        <v>2</v>
      </c>
      <c r="D16" s="14" t="n">
        <f aca="false">'CMMI Doc Est C5'!G10</f>
        <v>10</v>
      </c>
      <c r="E16" s="14" t="n">
        <f aca="false">'CMMI Doc Est C5'!C20</f>
        <v>64.5277777777778</v>
      </c>
      <c r="F16" s="14" t="n">
        <f aca="false">'CMMI Doc Est C5'!C23</f>
        <v>200</v>
      </c>
      <c r="G16" s="14" t="n">
        <f aca="false">'CMMI Doc Est C5'!C24</f>
        <v>-135.472222222222</v>
      </c>
      <c r="H16" s="14" t="n">
        <f aca="false">'CMMI Doc Est C5'!C25</f>
        <v>100</v>
      </c>
    </row>
    <row r="17" customFormat="false" ht="22.35" hidden="false" customHeight="false" outlineLevel="0" collapsed="false">
      <c r="A17" s="14" t="n">
        <v>13</v>
      </c>
      <c r="B17" s="14" t="s">
        <v>40</v>
      </c>
      <c r="C17" s="14" t="n">
        <v>16</v>
      </c>
      <c r="D17" s="14" t="n">
        <f aca="false">'OM Billing Workflow Est C5'!G24</f>
        <v>48</v>
      </c>
      <c r="E17" s="14" t="n">
        <f aca="false">'OM Billing Workflow Est C5'!C34</f>
        <v>309.733333333333</v>
      </c>
      <c r="F17" s="14" t="n">
        <f aca="false">'OM Billing Workflow Est C5'!C37</f>
        <v>30</v>
      </c>
      <c r="G17" s="14" t="n">
        <f aca="false">'OM Billing Workflow Est C5'!C38</f>
        <v>279.733333333333</v>
      </c>
      <c r="H17" s="14" t="n">
        <f aca="false">'OM Billing Workflow Est C5'!C39</f>
        <v>0</v>
      </c>
    </row>
    <row r="18" customFormat="false" ht="15" hidden="false" customHeight="false" outlineLevel="0" collapsed="false">
      <c r="A18" s="14" t="n">
        <v>14</v>
      </c>
      <c r="B18" s="14" t="s">
        <v>41</v>
      </c>
      <c r="C18" s="14" t="n">
        <v>3</v>
      </c>
      <c r="D18" s="14" t="n">
        <f aca="false">'Material Testing Est C5'!G11</f>
        <v>9</v>
      </c>
      <c r="E18" s="14" t="n">
        <f aca="false">'Material Testing Est C5'!C21</f>
        <v>58.075</v>
      </c>
      <c r="F18" s="14" t="n">
        <f aca="false">'Material Testing Est C5'!C24</f>
        <v>141</v>
      </c>
      <c r="G18" s="14" t="n">
        <f aca="false">'Material Testing Est C5'!C25</f>
        <v>-82.925</v>
      </c>
      <c r="H18" s="14" t="n">
        <f aca="false">'Material Testing Est C5'!C26</f>
        <v>42</v>
      </c>
    </row>
    <row r="19" customFormat="false" ht="15" hidden="false" customHeight="false" outlineLevel="0" collapsed="false">
      <c r="A19" s="14" t="n">
        <v>15</v>
      </c>
      <c r="B19" s="14" t="s">
        <v>42</v>
      </c>
      <c r="C19" s="14" t="n">
        <v>4</v>
      </c>
      <c r="D19" s="14" t="n">
        <f aca="false">'Nirmal Est C5'!G12</f>
        <v>4</v>
      </c>
      <c r="E19" s="14" t="n">
        <f aca="false">'Nirmal Est C5'!C22</f>
        <v>25.8111111111111</v>
      </c>
      <c r="F19" s="14" t="n">
        <f aca="false">'Nirmal Est C5'!C25</f>
        <v>32</v>
      </c>
      <c r="G19" s="14" t="n">
        <f aca="false">'Nirmal Est C5'!C26</f>
        <v>-6.18888888888889</v>
      </c>
      <c r="H19" s="14" t="n">
        <f aca="false">'Nirmal Est C5'!C27</f>
        <v>28</v>
      </c>
    </row>
    <row r="20" customFormat="false" ht="15" hidden="false" customHeight="false" outlineLevel="0" collapsed="false">
      <c r="A20" s="14" t="n">
        <v>16</v>
      </c>
      <c r="B20" s="14" t="s">
        <v>43</v>
      </c>
      <c r="C20" s="14" t="n">
        <v>3</v>
      </c>
      <c r="D20" s="14" t="n">
        <f aca="false">'AI Module FHTC Est C5'!G11</f>
        <v>15</v>
      </c>
      <c r="E20" s="14" t="n">
        <f aca="false">'AI Module FHTC Est C5'!C21</f>
        <v>96.7916666666667</v>
      </c>
      <c r="F20" s="14" t="n">
        <f aca="false">'AI Module FHTC Est C5'!C24</f>
        <v>147</v>
      </c>
      <c r="G20" s="14" t="n">
        <f aca="false">'AI Module FHTC Est C5'!C25</f>
        <v>-50.2083333333333</v>
      </c>
      <c r="H20" s="14" t="n">
        <f aca="false">'AI Module FHTC Est C5'!C26</f>
        <v>104</v>
      </c>
    </row>
    <row r="21" customFormat="false" ht="15" hidden="false" customHeight="false" outlineLevel="0" collapsed="false">
      <c r="A21" s="14" t="n">
        <v>17</v>
      </c>
      <c r="B21" s="14" t="s">
        <v>44</v>
      </c>
      <c r="C21" s="14" t="n">
        <v>3</v>
      </c>
      <c r="D21" s="14" t="n">
        <f aca="false">'Master Data Est C5'!G11</f>
        <v>5</v>
      </c>
      <c r="E21" s="14" t="n">
        <f aca="false">'Master Data Est C5'!C21</f>
        <v>32.2638888888889</v>
      </c>
      <c r="F21" s="14" t="n">
        <f aca="false">'Master Data Est C5'!C24</f>
        <v>16</v>
      </c>
      <c r="G21" s="14" t="n">
        <f aca="false">'Master Data Est C5'!C25</f>
        <v>16.2638888888889</v>
      </c>
      <c r="H21" s="14" t="n">
        <f aca="false">'Master Data Est C5'!C26</f>
        <v>30</v>
      </c>
    </row>
    <row r="22" customFormat="false" ht="15" hidden="false" customHeight="false" outlineLevel="0" collapsed="false">
      <c r="A22" s="14" t="n">
        <v>18</v>
      </c>
      <c r="B22" s="14" t="s">
        <v>45</v>
      </c>
      <c r="C22" s="14" t="n">
        <v>2</v>
      </c>
      <c r="D22" s="14" t="n">
        <f aca="false">'Asset Mapping Est C5'!G10</f>
        <v>6</v>
      </c>
      <c r="E22" s="14" t="n">
        <f aca="false">'Asset Mapping Est C5'!C20</f>
        <v>38.7166666666667</v>
      </c>
      <c r="F22" s="14" t="n">
        <f aca="false">'Asset Mapping Est C5'!C23</f>
        <v>16</v>
      </c>
      <c r="G22" s="14" t="n">
        <f aca="false">'Asset Mapping Est C5'!C24</f>
        <v>22.7166666666667</v>
      </c>
      <c r="H22" s="14" t="n">
        <f aca="false">'Asset Mapping Est C5'!C25</f>
        <v>22</v>
      </c>
    </row>
    <row r="23" customFormat="false" ht="15" hidden="false" customHeight="false" outlineLevel="0" collapsed="false">
      <c r="A23" s="14" t="n">
        <v>19</v>
      </c>
      <c r="B23" s="14" t="s">
        <v>46</v>
      </c>
      <c r="C23" s="14" t="n">
        <v>2</v>
      </c>
      <c r="D23" s="14" t="n">
        <f aca="false">'Bharosa Est C5'!G10</f>
        <v>2</v>
      </c>
      <c r="E23" s="14" t="n">
        <f aca="false">'Bharosa Est C5'!C20</f>
        <v>12.9055555555556</v>
      </c>
      <c r="F23" s="14" t="n">
        <f aca="false">'Bharosa Est C5'!C23</f>
        <v>7</v>
      </c>
      <c r="G23" s="14" t="n">
        <f aca="false">'Bharosa Est C5'!C24</f>
        <v>5.90555555555556</v>
      </c>
      <c r="H23" s="14" t="n">
        <f aca="false">'Bharosa Est C5'!C25</f>
        <v>14</v>
      </c>
    </row>
    <row r="24" customFormat="false" ht="15" hidden="false" customHeight="false" outlineLevel="0" collapsed="false">
      <c r="A24" s="14" t="n">
        <v>20</v>
      </c>
      <c r="B24" s="14" t="s">
        <v>47</v>
      </c>
      <c r="C24" s="14" t="n">
        <v>2</v>
      </c>
      <c r="D24" s="14" t="n">
        <f aca="false">'Daily Inspection Est C5'!G10</f>
        <v>4</v>
      </c>
      <c r="E24" s="14" t="n">
        <f aca="false">'Daily Inspection Est C5'!C20</f>
        <v>25.8111111111111</v>
      </c>
      <c r="F24" s="14" t="n">
        <f aca="false">'Daily Inspection Est C5'!C23</f>
        <v>20</v>
      </c>
      <c r="G24" s="14" t="n">
        <f aca="false">'Daily Inspection Est C5'!C24</f>
        <v>5.81111111111111</v>
      </c>
      <c r="H24" s="14" t="n">
        <f aca="false">'Daily Inspection Est C5'!C25</f>
        <v>18</v>
      </c>
    </row>
    <row r="25" customFormat="false" ht="15" hidden="false" customHeight="false" outlineLevel="0" collapsed="false">
      <c r="A25" s="14" t="n">
        <v>21</v>
      </c>
      <c r="B25" s="14" t="s">
        <v>48</v>
      </c>
      <c r="C25" s="14" t="n">
        <v>1</v>
      </c>
      <c r="D25" s="14" t="n">
        <f aca="false">'Sopan Est C5'!G9</f>
        <v>3</v>
      </c>
      <c r="E25" s="14" t="n">
        <f aca="false">'Sopan Est C5'!C19</f>
        <v>19.3583333333333</v>
      </c>
      <c r="F25" s="14" t="n">
        <f aca="false">'Sopan Est C5'!C22</f>
        <v>8</v>
      </c>
      <c r="G25" s="14" t="n">
        <f aca="false">'Sopan Est C5'!C23</f>
        <v>11.3583333333333</v>
      </c>
      <c r="H25" s="14" t="n">
        <f aca="false">'Sopan Est C5'!C24</f>
        <v>10</v>
      </c>
    </row>
    <row r="26" customFormat="false" ht="15" hidden="false" customHeight="false" outlineLevel="0" collapsed="false">
      <c r="A26" s="14" t="n">
        <v>22</v>
      </c>
      <c r="B26" s="14" t="s">
        <v>49</v>
      </c>
      <c r="C26" s="14" t="n">
        <v>2</v>
      </c>
      <c r="D26" s="14" t="n">
        <f aca="false">'QA Automation Est C5'!G10</f>
        <v>4</v>
      </c>
      <c r="E26" s="14" t="n">
        <f aca="false">'QA Automation Est C5'!C20</f>
        <v>25.8111111111111</v>
      </c>
      <c r="F26" s="14" t="n">
        <f aca="false">'QA Automation Est C5'!C23</f>
        <v>10</v>
      </c>
      <c r="G26" s="14" t="n">
        <f aca="false">'QA Automation Est C5'!C24</f>
        <v>15.8111111111111</v>
      </c>
      <c r="H26" s="14" t="n">
        <f aca="false">'QA Automation Est C5'!C25</f>
        <v>20</v>
      </c>
    </row>
    <row r="27" customFormat="false" ht="15" hidden="false" customHeight="false" outlineLevel="0" collapsed="false">
      <c r="A27" s="15"/>
      <c r="B27" s="15" t="s">
        <v>50</v>
      </c>
      <c r="C27" s="15" t="n">
        <f aca="false">SUM(C5:C26)</f>
        <v>107</v>
      </c>
      <c r="D27" s="15" t="n">
        <f aca="false">SUM(D5:D26)</f>
        <v>239</v>
      </c>
      <c r="E27" s="15" t="n">
        <f aca="false">SUM(E5:E26)</f>
        <v>1542.21388888889</v>
      </c>
      <c r="F27" s="15" t="n">
        <f aca="false">SUM(F5:F26)</f>
        <v>1963</v>
      </c>
      <c r="G27" s="15" t="n">
        <f aca="false">SUM(G5:G26)</f>
        <v>-420.786111111111</v>
      </c>
      <c r="H27" s="15" t="n">
        <f aca="false">SUM(H5:H26)</f>
        <v>1104</v>
      </c>
    </row>
    <row r="29" customFormat="false" ht="27.75" hidden="false" customHeight="true" outlineLevel="0" collapsed="false">
      <c r="A29" s="16" t="s">
        <v>51</v>
      </c>
      <c r="B29" s="16"/>
      <c r="C29" s="16"/>
      <c r="D29" s="16"/>
      <c r="E29" s="16"/>
      <c r="F29" s="16"/>
      <c r="G29" s="16"/>
      <c r="H29" s="16"/>
    </row>
    <row r="30" customFormat="false" ht="27.75" hidden="false" customHeight="true" outlineLevel="0" collapsed="false">
      <c r="A30" s="17" t="s">
        <v>52</v>
      </c>
      <c r="B30" s="17"/>
      <c r="C30" s="17"/>
      <c r="D30" s="17"/>
      <c r="E30" s="17"/>
      <c r="F30" s="17"/>
      <c r="G30" s="17"/>
      <c r="H30" s="17"/>
    </row>
    <row r="31" customFormat="false" ht="27.75" hidden="false" customHeight="true" outlineLevel="0" collapsed="false">
      <c r="A31" s="17" t="s">
        <v>53</v>
      </c>
      <c r="B31" s="17"/>
      <c r="C31" s="17"/>
      <c r="D31" s="17"/>
      <c r="E31" s="17"/>
      <c r="F31" s="17"/>
      <c r="G31" s="17"/>
      <c r="H31" s="17"/>
    </row>
    <row r="32" customFormat="false" ht="27.75" hidden="false" customHeight="true" outlineLevel="0" collapsed="false">
      <c r="A32" s="17" t="s">
        <v>54</v>
      </c>
      <c r="B32" s="17"/>
      <c r="C32" s="17"/>
      <c r="D32" s="17"/>
      <c r="E32" s="17"/>
      <c r="F32" s="17"/>
      <c r="G32" s="17"/>
      <c r="H32" s="17"/>
    </row>
    <row r="33" customFormat="false" ht="27.75" hidden="false" customHeight="true" outlineLevel="0" collapsed="false">
      <c r="A33" s="17" t="s">
        <v>55</v>
      </c>
      <c r="B33" s="17"/>
      <c r="C33" s="17"/>
      <c r="D33" s="17"/>
      <c r="E33" s="17"/>
      <c r="F33" s="17"/>
      <c r="G33" s="17"/>
      <c r="H33" s="17"/>
    </row>
    <row r="34" customFormat="false" ht="27.75" hidden="false" customHeight="true" outlineLevel="0" collapsed="false">
      <c r="A34" s="17" t="s">
        <v>56</v>
      </c>
      <c r="B34" s="17"/>
      <c r="C34" s="17"/>
      <c r="D34" s="17"/>
      <c r="E34" s="17"/>
      <c r="F34" s="17"/>
      <c r="G34" s="17"/>
      <c r="H34" s="17"/>
    </row>
    <row r="35" customFormat="false" ht="27.75" hidden="false" customHeight="true" outlineLevel="0" collapsed="false">
      <c r="A35" s="17" t="s">
        <v>57</v>
      </c>
      <c r="B35" s="17"/>
      <c r="C35" s="17"/>
      <c r="D35" s="17"/>
      <c r="E35" s="17"/>
      <c r="F35" s="17"/>
      <c r="G35" s="17"/>
      <c r="H35" s="17"/>
    </row>
    <row r="37" customFormat="false" ht="15" hidden="false" customHeight="false" outlineLevel="0" collapsed="false">
      <c r="B37" s="18" t="s">
        <v>58</v>
      </c>
      <c r="F37" s="19" t="n">
        <v>59</v>
      </c>
    </row>
    <row r="38" customFormat="false" ht="15" hidden="false" customHeight="false" outlineLevel="0" collapsed="false">
      <c r="B38" s="18" t="s">
        <v>59</v>
      </c>
      <c r="F38" s="18" t="n">
        <f aca="false">F27+F37</f>
        <v>2022</v>
      </c>
    </row>
  </sheetData>
  <mergeCells count="9">
    <mergeCell ref="A1:H1"/>
    <mergeCell ref="A2:H2"/>
    <mergeCell ref="A29:H29"/>
    <mergeCell ref="A30:H30"/>
    <mergeCell ref="A31:H31"/>
    <mergeCell ref="A32:H32"/>
    <mergeCell ref="A33:H33"/>
    <mergeCell ref="A34:H34"/>
    <mergeCell ref="A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36328125" defaultRowHeight="14.25" zeroHeight="false" outlineLevelRow="0" outlineLevelCol="0"/>
  <cols>
    <col collapsed="false" customWidth="true" hidden="false" outlineLevel="0" max="1" min="1" style="1" width="35.09"/>
    <col collapsed="false" customWidth="true" hidden="false" outlineLevel="0" max="2" min="2" style="1" width="33.09"/>
    <col collapsed="false" customWidth="true" hidden="false" outlineLevel="0" max="3" min="3" style="1" width="22.27"/>
    <col collapsed="false" customWidth="true" hidden="false" outlineLevel="0" max="4" min="4" style="1" width="26.36"/>
    <col collapsed="false" customWidth="true" hidden="false" outlineLevel="0" max="26" min="5" style="1" width="8.73"/>
    <col collapsed="false" customWidth="false" hidden="false" outlineLevel="0" max="16384" min="27" style="1" width="14.36"/>
  </cols>
  <sheetData>
    <row r="1" customFormat="false" ht="14.25" hidden="false" customHeight="true" outlineLevel="0" collapsed="false">
      <c r="A1" s="20" t="s">
        <v>60</v>
      </c>
      <c r="B1" s="21"/>
      <c r="C1" s="22"/>
      <c r="D1" s="22"/>
      <c r="E1" s="22"/>
      <c r="F1" s="22"/>
      <c r="G1" s="22"/>
      <c r="H1" s="22"/>
      <c r="I1" s="22"/>
      <c r="J1" s="22"/>
      <c r="K1" s="22"/>
      <c r="L1" s="22"/>
      <c r="M1" s="22"/>
      <c r="N1" s="22"/>
      <c r="O1" s="22"/>
      <c r="P1" s="22"/>
      <c r="Q1" s="22"/>
      <c r="R1" s="22"/>
      <c r="S1" s="22"/>
      <c r="T1" s="22"/>
      <c r="U1" s="22"/>
      <c r="V1" s="22"/>
      <c r="W1" s="22"/>
      <c r="X1" s="22"/>
      <c r="Y1" s="22"/>
      <c r="Z1" s="22"/>
    </row>
    <row r="2" customFormat="false" ht="14.25" hidden="false" customHeight="true" outlineLevel="0" collapsed="false">
      <c r="A2" s="23" t="s">
        <v>61</v>
      </c>
      <c r="B2" s="23" t="s">
        <v>62</v>
      </c>
      <c r="C2" s="22"/>
      <c r="D2" s="22"/>
      <c r="E2" s="22"/>
      <c r="F2" s="22"/>
      <c r="G2" s="22"/>
      <c r="H2" s="22"/>
      <c r="I2" s="22"/>
      <c r="J2" s="22"/>
      <c r="K2" s="22"/>
      <c r="L2" s="22"/>
      <c r="M2" s="22"/>
      <c r="N2" s="22"/>
      <c r="O2" s="22"/>
      <c r="P2" s="22"/>
      <c r="Q2" s="22"/>
      <c r="R2" s="22"/>
      <c r="S2" s="22"/>
      <c r="T2" s="22"/>
      <c r="U2" s="22"/>
      <c r="V2" s="22"/>
      <c r="W2" s="22"/>
      <c r="X2" s="22"/>
      <c r="Y2" s="22"/>
      <c r="Z2" s="22"/>
    </row>
    <row r="3" customFormat="false" ht="14.25" hidden="false" customHeight="true" outlineLevel="0" collapsed="false">
      <c r="A3" s="24" t="s">
        <v>63</v>
      </c>
      <c r="B3" s="24" t="s">
        <v>63</v>
      </c>
      <c r="C3" s="22"/>
      <c r="D3" s="22"/>
      <c r="E3" s="22"/>
      <c r="F3" s="22"/>
      <c r="G3" s="22"/>
      <c r="H3" s="22"/>
      <c r="I3" s="22"/>
      <c r="J3" s="22"/>
      <c r="K3" s="22"/>
      <c r="L3" s="22"/>
      <c r="M3" s="22"/>
      <c r="N3" s="22"/>
      <c r="O3" s="22"/>
      <c r="P3" s="22"/>
      <c r="Q3" s="22"/>
      <c r="R3" s="22"/>
      <c r="S3" s="22"/>
      <c r="T3" s="22"/>
      <c r="U3" s="22"/>
      <c r="V3" s="22"/>
      <c r="W3" s="22"/>
      <c r="X3" s="22"/>
      <c r="Y3" s="22"/>
      <c r="Z3" s="22"/>
    </row>
    <row r="4" customFormat="false" ht="14.25" hidden="false" customHeight="true" outlineLevel="0" collapsed="false">
      <c r="A4" s="25" t="s">
        <v>64</v>
      </c>
      <c r="B4" s="25" t="s">
        <v>64</v>
      </c>
      <c r="C4" s="22"/>
      <c r="D4" s="22"/>
      <c r="E4" s="22"/>
      <c r="F4" s="22"/>
      <c r="G4" s="22"/>
      <c r="H4" s="22"/>
      <c r="I4" s="22"/>
      <c r="J4" s="22"/>
      <c r="K4" s="22"/>
      <c r="L4" s="22"/>
      <c r="M4" s="22"/>
      <c r="N4" s="22"/>
      <c r="O4" s="22"/>
      <c r="P4" s="22"/>
      <c r="Q4" s="22"/>
      <c r="R4" s="22"/>
      <c r="S4" s="22"/>
      <c r="T4" s="22"/>
      <c r="U4" s="22"/>
      <c r="V4" s="22"/>
      <c r="W4" s="22"/>
      <c r="X4" s="22"/>
      <c r="Y4" s="22"/>
      <c r="Z4" s="22"/>
    </row>
    <row r="5" customFormat="false" ht="14.25" hidden="false" customHeight="true" outlineLevel="0" collapsed="false">
      <c r="A5" s="25" t="s">
        <v>65</v>
      </c>
      <c r="B5" s="25" t="s">
        <v>65</v>
      </c>
      <c r="C5" s="22"/>
      <c r="D5" s="22"/>
      <c r="E5" s="22"/>
      <c r="F5" s="22"/>
      <c r="G5" s="22"/>
      <c r="H5" s="22"/>
      <c r="I5" s="22"/>
      <c r="J5" s="22"/>
      <c r="K5" s="22"/>
      <c r="L5" s="22"/>
      <c r="M5" s="22"/>
      <c r="N5" s="22"/>
      <c r="O5" s="22"/>
      <c r="P5" s="22"/>
      <c r="Q5" s="22"/>
      <c r="R5" s="22"/>
      <c r="S5" s="22"/>
      <c r="T5" s="22"/>
      <c r="U5" s="22"/>
      <c r="V5" s="22"/>
      <c r="W5" s="22"/>
      <c r="X5" s="22"/>
      <c r="Y5" s="22"/>
      <c r="Z5" s="22"/>
    </row>
    <row r="6" customFormat="false" ht="14.25" hidden="false" customHeight="true" outlineLevel="0" collapsed="false">
      <c r="A6" s="25" t="s">
        <v>66</v>
      </c>
      <c r="B6" s="25" t="s">
        <v>66</v>
      </c>
      <c r="C6" s="22"/>
      <c r="D6" s="22"/>
      <c r="E6" s="22"/>
      <c r="F6" s="22"/>
      <c r="G6" s="22"/>
      <c r="H6" s="22"/>
      <c r="I6" s="22"/>
      <c r="J6" s="22"/>
      <c r="K6" s="22"/>
      <c r="L6" s="22"/>
      <c r="M6" s="22"/>
      <c r="N6" s="22"/>
      <c r="O6" s="22"/>
      <c r="P6" s="22"/>
      <c r="Q6" s="22"/>
      <c r="R6" s="22"/>
      <c r="S6" s="22"/>
      <c r="T6" s="22"/>
      <c r="U6" s="22"/>
      <c r="V6" s="22"/>
      <c r="W6" s="22"/>
      <c r="X6" s="22"/>
      <c r="Y6" s="22"/>
      <c r="Z6" s="22"/>
    </row>
    <row r="7" customFormat="false" ht="14.25" hidden="false" customHeight="true" outlineLevel="0" collapsed="false">
      <c r="A7" s="25" t="s">
        <v>67</v>
      </c>
      <c r="B7" s="25" t="s">
        <v>67</v>
      </c>
      <c r="C7" s="22"/>
      <c r="D7" s="22"/>
      <c r="E7" s="22"/>
      <c r="F7" s="22"/>
      <c r="G7" s="22"/>
      <c r="H7" s="22"/>
      <c r="I7" s="22"/>
      <c r="J7" s="22"/>
      <c r="K7" s="22"/>
      <c r="L7" s="22"/>
      <c r="M7" s="22"/>
      <c r="N7" s="22"/>
      <c r="O7" s="22"/>
      <c r="P7" s="22"/>
      <c r="Q7" s="22"/>
      <c r="R7" s="22"/>
      <c r="S7" s="22"/>
      <c r="T7" s="22"/>
      <c r="U7" s="22"/>
      <c r="V7" s="22"/>
      <c r="W7" s="22"/>
      <c r="X7" s="22"/>
      <c r="Y7" s="22"/>
      <c r="Z7" s="22"/>
    </row>
    <row r="8" customFormat="false" ht="14.25" hidden="false" customHeight="true" outlineLevel="0" collapsed="false">
      <c r="A8" s="25" t="s">
        <v>68</v>
      </c>
      <c r="B8" s="25" t="s">
        <v>68</v>
      </c>
      <c r="C8" s="22"/>
      <c r="D8" s="22"/>
      <c r="E8" s="22"/>
      <c r="F8" s="22"/>
      <c r="G8" s="22"/>
      <c r="H8" s="22"/>
      <c r="I8" s="22"/>
      <c r="J8" s="22"/>
      <c r="K8" s="22"/>
      <c r="L8" s="22"/>
      <c r="M8" s="22"/>
      <c r="N8" s="22"/>
      <c r="O8" s="22"/>
      <c r="P8" s="22"/>
      <c r="Q8" s="22"/>
      <c r="R8" s="22"/>
      <c r="S8" s="22"/>
      <c r="T8" s="22"/>
      <c r="U8" s="22"/>
      <c r="V8" s="22"/>
      <c r="W8" s="22"/>
      <c r="X8" s="22"/>
      <c r="Y8" s="22"/>
      <c r="Z8" s="22"/>
    </row>
    <row r="9" customFormat="false" ht="14.25" hidden="false" customHeight="true" outlineLevel="0" collapsed="false">
      <c r="A9" s="24" t="s">
        <v>69</v>
      </c>
      <c r="B9" s="24" t="s">
        <v>69</v>
      </c>
      <c r="C9" s="22"/>
      <c r="D9" s="22"/>
      <c r="E9" s="22"/>
      <c r="F9" s="22"/>
      <c r="G9" s="22"/>
      <c r="H9" s="22"/>
      <c r="I9" s="22"/>
      <c r="J9" s="22"/>
      <c r="K9" s="22"/>
      <c r="L9" s="22"/>
      <c r="M9" s="22"/>
      <c r="N9" s="22"/>
      <c r="O9" s="22"/>
      <c r="P9" s="22"/>
      <c r="Q9" s="22"/>
      <c r="R9" s="22"/>
      <c r="S9" s="22"/>
      <c r="T9" s="22"/>
      <c r="U9" s="22"/>
      <c r="V9" s="22"/>
      <c r="W9" s="22"/>
      <c r="X9" s="22"/>
      <c r="Y9" s="22"/>
      <c r="Z9" s="22"/>
    </row>
    <row r="10" customFormat="false" ht="14.25" hidden="false" customHeight="true" outlineLevel="0" collapsed="false">
      <c r="A10" s="25" t="s">
        <v>70</v>
      </c>
      <c r="B10" s="25" t="s">
        <v>70</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customFormat="false" ht="14.25" hidden="false" customHeight="true" outlineLevel="0" collapsed="false">
      <c r="A11" s="26" t="s">
        <v>71</v>
      </c>
      <c r="B11" s="26" t="s">
        <v>71</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customFormat="false" ht="14.25" hidden="false" customHeight="true" outlineLevel="0" collapsed="false">
      <c r="A12" s="26" t="s">
        <v>72</v>
      </c>
      <c r="B12" s="26" t="s">
        <v>72</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customFormat="false" ht="14.25" hidden="false" customHeight="true" outlineLevel="0" collapsed="false">
      <c r="A13" s="27" t="s">
        <v>73</v>
      </c>
      <c r="B13" s="27" t="s">
        <v>73</v>
      </c>
      <c r="C13" s="22"/>
      <c r="D13" s="22"/>
      <c r="E13" s="22"/>
      <c r="F13" s="22"/>
      <c r="G13" s="22"/>
      <c r="H13" s="22"/>
      <c r="I13" s="22"/>
      <c r="J13" s="22"/>
      <c r="K13" s="22"/>
      <c r="L13" s="22"/>
      <c r="M13" s="22"/>
      <c r="N13" s="22"/>
      <c r="O13" s="22"/>
      <c r="P13" s="22"/>
      <c r="Q13" s="22"/>
      <c r="R13" s="22"/>
      <c r="S13" s="22"/>
      <c r="T13" s="22"/>
      <c r="U13" s="22"/>
      <c r="V13" s="22"/>
      <c r="W13" s="22"/>
      <c r="X13" s="22"/>
      <c r="Y13" s="22"/>
      <c r="Z13" s="22"/>
    </row>
    <row r="14" customFormat="false" ht="14.25" hidden="false" customHeight="true" outlineLevel="0" collapsed="false">
      <c r="A14" s="27"/>
      <c r="B14" s="27"/>
      <c r="C14" s="22"/>
      <c r="D14" s="22"/>
      <c r="E14" s="22"/>
      <c r="F14" s="22"/>
      <c r="G14" s="22"/>
      <c r="H14" s="22"/>
      <c r="I14" s="22"/>
      <c r="J14" s="22"/>
      <c r="K14" s="22"/>
      <c r="L14" s="22"/>
      <c r="M14" s="22"/>
      <c r="N14" s="22"/>
      <c r="O14" s="22"/>
      <c r="P14" s="22"/>
      <c r="Q14" s="22"/>
      <c r="R14" s="22"/>
      <c r="S14" s="22"/>
      <c r="T14" s="22"/>
      <c r="U14" s="22"/>
      <c r="V14" s="22"/>
      <c r="W14" s="22"/>
      <c r="X14" s="22"/>
      <c r="Y14" s="22"/>
      <c r="Z14" s="22"/>
    </row>
    <row r="15" customFormat="false" ht="14.25" hidden="false" customHeight="true" outlineLevel="0" collapsed="false">
      <c r="A15" s="27"/>
      <c r="B15" s="27"/>
      <c r="C15" s="22"/>
      <c r="D15" s="22"/>
      <c r="E15" s="22"/>
      <c r="F15" s="22"/>
      <c r="G15" s="22"/>
      <c r="H15" s="22"/>
      <c r="I15" s="22"/>
      <c r="J15" s="22"/>
      <c r="K15" s="22"/>
      <c r="L15" s="22"/>
      <c r="M15" s="22"/>
      <c r="N15" s="22"/>
      <c r="O15" s="22"/>
      <c r="P15" s="22"/>
      <c r="Q15" s="22"/>
      <c r="R15" s="22"/>
      <c r="S15" s="22"/>
      <c r="T15" s="22"/>
      <c r="U15" s="22"/>
      <c r="V15" s="22"/>
      <c r="W15" s="22"/>
      <c r="X15" s="22"/>
      <c r="Y15" s="22"/>
      <c r="Z15" s="22"/>
    </row>
    <row r="16" customFormat="false" ht="14.25" hidden="false" customHeight="true" outlineLevel="0" collapsed="false">
      <c r="A16" s="28"/>
      <c r="B16" s="28"/>
      <c r="C16" s="22"/>
      <c r="D16" s="22"/>
      <c r="E16" s="22"/>
      <c r="F16" s="22"/>
      <c r="G16" s="22"/>
      <c r="H16" s="22"/>
      <c r="I16" s="22"/>
      <c r="J16" s="22"/>
      <c r="K16" s="22"/>
      <c r="L16" s="22"/>
      <c r="M16" s="22"/>
      <c r="N16" s="22"/>
      <c r="O16" s="22"/>
      <c r="P16" s="22"/>
      <c r="Q16" s="22"/>
      <c r="R16" s="22"/>
      <c r="S16" s="22"/>
      <c r="T16" s="22"/>
      <c r="U16" s="22"/>
      <c r="V16" s="22"/>
      <c r="W16" s="22"/>
      <c r="X16" s="22"/>
      <c r="Y16" s="22"/>
      <c r="Z16" s="22"/>
    </row>
    <row r="17" customFormat="false" ht="14.25" hidden="false" customHeight="true" outlineLevel="0" collapsed="false">
      <c r="A17" s="27"/>
      <c r="B17" s="27"/>
      <c r="C17" s="22"/>
      <c r="D17" s="22"/>
      <c r="E17" s="22"/>
      <c r="F17" s="22"/>
      <c r="G17" s="22"/>
      <c r="H17" s="22"/>
      <c r="I17" s="22"/>
      <c r="J17" s="22"/>
      <c r="K17" s="22"/>
      <c r="L17" s="22"/>
      <c r="M17" s="22"/>
      <c r="N17" s="22"/>
      <c r="O17" s="22"/>
      <c r="P17" s="22"/>
      <c r="Q17" s="22"/>
      <c r="R17" s="22"/>
      <c r="S17" s="22"/>
      <c r="T17" s="22"/>
      <c r="U17" s="22"/>
      <c r="V17" s="22"/>
      <c r="W17" s="22"/>
      <c r="X17" s="22"/>
      <c r="Y17" s="22"/>
      <c r="Z17" s="22"/>
    </row>
    <row r="18" customFormat="false" ht="14.25" hidden="false" customHeight="true" outlineLevel="0" collapsed="false">
      <c r="A18" s="27"/>
      <c r="B18" s="27"/>
      <c r="C18" s="22"/>
      <c r="D18" s="22"/>
      <c r="E18" s="22"/>
      <c r="F18" s="22"/>
      <c r="G18" s="22"/>
      <c r="H18" s="22"/>
      <c r="I18" s="22"/>
      <c r="J18" s="22"/>
      <c r="K18" s="22"/>
      <c r="L18" s="22"/>
      <c r="M18" s="22"/>
      <c r="N18" s="22"/>
      <c r="O18" s="22"/>
      <c r="P18" s="22"/>
      <c r="Q18" s="22"/>
      <c r="R18" s="22"/>
      <c r="S18" s="22"/>
      <c r="T18" s="22"/>
      <c r="U18" s="22"/>
      <c r="V18" s="22"/>
      <c r="W18" s="22"/>
      <c r="X18" s="22"/>
      <c r="Y18" s="22"/>
      <c r="Z18" s="22"/>
    </row>
    <row r="19" customFormat="false" ht="14.25" hidden="false" customHeight="true" outlineLevel="0" collapsed="false">
      <c r="A19" s="27"/>
      <c r="B19" s="27"/>
      <c r="C19" s="22"/>
      <c r="D19" s="22"/>
      <c r="E19" s="22"/>
      <c r="F19" s="22"/>
      <c r="G19" s="22"/>
      <c r="H19" s="22"/>
      <c r="I19" s="22"/>
      <c r="J19" s="22"/>
      <c r="K19" s="22"/>
      <c r="L19" s="22"/>
      <c r="M19" s="22"/>
      <c r="N19" s="22"/>
      <c r="O19" s="22"/>
      <c r="P19" s="22"/>
      <c r="Q19" s="22"/>
      <c r="R19" s="22"/>
      <c r="S19" s="22"/>
      <c r="T19" s="22"/>
      <c r="U19" s="22"/>
      <c r="V19" s="22"/>
      <c r="W19" s="22"/>
      <c r="X19" s="22"/>
      <c r="Y19" s="22"/>
      <c r="Z19" s="22"/>
    </row>
    <row r="20" customFormat="false" ht="14.25" hidden="false" customHeight="true" outlineLevel="0" collapsed="false">
      <c r="A20" s="27"/>
      <c r="B20" s="27"/>
      <c r="C20" s="22"/>
      <c r="D20" s="22"/>
      <c r="E20" s="22"/>
      <c r="F20" s="22"/>
      <c r="G20" s="22"/>
      <c r="H20" s="22"/>
      <c r="I20" s="22"/>
      <c r="J20" s="22"/>
      <c r="K20" s="22"/>
      <c r="L20" s="22"/>
      <c r="M20" s="22"/>
      <c r="N20" s="22"/>
      <c r="O20" s="22"/>
      <c r="P20" s="22"/>
      <c r="Q20" s="22"/>
      <c r="R20" s="22"/>
      <c r="S20" s="22"/>
      <c r="T20" s="22"/>
      <c r="U20" s="22"/>
      <c r="V20" s="22"/>
      <c r="W20" s="22"/>
      <c r="X20" s="22"/>
      <c r="Y20" s="22"/>
      <c r="Z20" s="22"/>
    </row>
    <row r="21" customFormat="false" ht="14.25" hidden="false" customHeight="true" outlineLevel="0" collapsed="false">
      <c r="A21" s="27"/>
      <c r="B21" s="27"/>
      <c r="C21" s="22"/>
      <c r="D21" s="22"/>
      <c r="E21" s="22"/>
      <c r="F21" s="22"/>
      <c r="G21" s="22"/>
      <c r="H21" s="22"/>
      <c r="I21" s="22"/>
      <c r="J21" s="22"/>
      <c r="K21" s="22"/>
      <c r="L21" s="22"/>
      <c r="M21" s="22"/>
      <c r="N21" s="22"/>
      <c r="O21" s="22"/>
      <c r="P21" s="22"/>
      <c r="Q21" s="22"/>
      <c r="R21" s="22"/>
      <c r="S21" s="22"/>
      <c r="T21" s="22"/>
      <c r="U21" s="22"/>
      <c r="V21" s="22"/>
      <c r="W21" s="22"/>
      <c r="X21" s="22"/>
      <c r="Y21" s="22"/>
      <c r="Z21" s="22"/>
    </row>
    <row r="22" customFormat="false" ht="14.25" hidden="false" customHeight="true" outlineLevel="0" collapsed="false">
      <c r="A22" s="29"/>
      <c r="B22" s="29"/>
      <c r="C22" s="22"/>
      <c r="D22" s="22"/>
      <c r="E22" s="22"/>
      <c r="F22" s="22"/>
      <c r="G22" s="22"/>
      <c r="H22" s="22"/>
      <c r="I22" s="22"/>
      <c r="J22" s="22"/>
      <c r="K22" s="22"/>
      <c r="L22" s="22"/>
      <c r="M22" s="22"/>
      <c r="N22" s="22"/>
      <c r="O22" s="22"/>
      <c r="P22" s="22"/>
      <c r="Q22" s="22"/>
      <c r="R22" s="22"/>
      <c r="S22" s="22"/>
      <c r="T22" s="22"/>
      <c r="U22" s="22"/>
      <c r="V22" s="22"/>
      <c r="W22" s="22"/>
      <c r="X22" s="22"/>
      <c r="Y22" s="22"/>
      <c r="Z22" s="22"/>
    </row>
    <row r="23" customFormat="false" ht="14.25" hidden="false" customHeight="true" outlineLevel="0" collapsed="false">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ustomFormat="false" ht="14.25" hidden="false" customHeight="true" outlineLevel="0" collapsed="false">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ustomFormat="false" ht="14.25" hidden="false" customHeight="true" outlineLevel="0" collapsed="false">
      <c r="A25" s="30" t="s">
        <v>74</v>
      </c>
      <c r="B25" s="30" t="s">
        <v>75</v>
      </c>
      <c r="C25" s="30" t="s">
        <v>76</v>
      </c>
      <c r="D25" s="31"/>
      <c r="E25" s="22"/>
      <c r="F25" s="22"/>
      <c r="G25" s="22"/>
      <c r="H25" s="22"/>
      <c r="I25" s="22"/>
      <c r="J25" s="22"/>
      <c r="K25" s="22"/>
      <c r="L25" s="22"/>
      <c r="M25" s="22"/>
      <c r="N25" s="22"/>
      <c r="O25" s="22"/>
      <c r="P25" s="22"/>
      <c r="Q25" s="22"/>
      <c r="R25" s="22"/>
      <c r="S25" s="22"/>
      <c r="T25" s="22"/>
      <c r="U25" s="22"/>
      <c r="V25" s="22"/>
      <c r="W25" s="22"/>
      <c r="X25" s="22"/>
      <c r="Y25" s="22"/>
      <c r="Z25" s="22"/>
    </row>
    <row r="26" customFormat="false" ht="14.25" hidden="false" customHeight="true" outlineLevel="0" collapsed="false">
      <c r="A26" s="32" t="s">
        <v>77</v>
      </c>
      <c r="B26" s="33" t="s">
        <v>61</v>
      </c>
      <c r="C26" s="34" t="n">
        <v>5</v>
      </c>
      <c r="D26" s="32" t="s">
        <v>78</v>
      </c>
      <c r="E26" s="22"/>
      <c r="F26" s="22"/>
      <c r="G26" s="22"/>
      <c r="H26" s="22"/>
      <c r="I26" s="22"/>
      <c r="J26" s="22"/>
      <c r="K26" s="22"/>
      <c r="L26" s="22"/>
      <c r="M26" s="22"/>
      <c r="N26" s="22"/>
      <c r="O26" s="22"/>
      <c r="P26" s="22"/>
      <c r="Q26" s="22"/>
      <c r="R26" s="22"/>
      <c r="S26" s="22"/>
      <c r="T26" s="22"/>
      <c r="U26" s="22"/>
      <c r="V26" s="22"/>
      <c r="W26" s="22"/>
      <c r="X26" s="22"/>
      <c r="Y26" s="22"/>
      <c r="Z26" s="22"/>
    </row>
    <row r="27" customFormat="false" ht="14.25" hidden="false" customHeight="true" outlineLevel="0" collapsed="false">
      <c r="A27" s="32" t="s">
        <v>79</v>
      </c>
      <c r="B27" s="33" t="s">
        <v>62</v>
      </c>
      <c r="C27" s="34" t="n">
        <v>4</v>
      </c>
      <c r="D27" s="32" t="s">
        <v>80</v>
      </c>
      <c r="E27" s="22"/>
      <c r="F27" s="22"/>
      <c r="G27" s="22"/>
      <c r="H27" s="22"/>
      <c r="I27" s="22"/>
      <c r="J27" s="22"/>
      <c r="K27" s="22"/>
      <c r="L27" s="22"/>
      <c r="M27" s="22"/>
      <c r="N27" s="22"/>
      <c r="O27" s="22"/>
      <c r="P27" s="22"/>
      <c r="Q27" s="22"/>
      <c r="R27" s="22"/>
      <c r="S27" s="22"/>
      <c r="T27" s="22"/>
      <c r="U27" s="22"/>
      <c r="V27" s="22"/>
      <c r="W27" s="22"/>
      <c r="X27" s="22"/>
      <c r="Y27" s="22"/>
      <c r="Z27" s="22"/>
    </row>
    <row r="28" customFormat="false" ht="14.25" hidden="false" customHeight="true" outlineLevel="0" collapsed="false">
      <c r="A28" s="32" t="s">
        <v>81</v>
      </c>
      <c r="B28" s="33"/>
      <c r="C28" s="34" t="n">
        <v>3</v>
      </c>
      <c r="D28" s="32" t="s">
        <v>82</v>
      </c>
      <c r="E28" s="22"/>
      <c r="F28" s="22"/>
      <c r="G28" s="22"/>
      <c r="H28" s="22"/>
      <c r="I28" s="22"/>
      <c r="J28" s="22"/>
      <c r="K28" s="22"/>
      <c r="L28" s="22"/>
      <c r="M28" s="22"/>
      <c r="N28" s="22"/>
      <c r="O28" s="22"/>
      <c r="P28" s="22"/>
      <c r="Q28" s="22"/>
      <c r="R28" s="22"/>
      <c r="S28" s="22"/>
      <c r="T28" s="22"/>
      <c r="U28" s="22"/>
      <c r="V28" s="22"/>
      <c r="W28" s="22"/>
      <c r="X28" s="22"/>
      <c r="Y28" s="22"/>
      <c r="Z28" s="22"/>
    </row>
    <row r="29" customFormat="false" ht="14.25" hidden="false" customHeight="true" outlineLevel="0" collapsed="false">
      <c r="A29" s="32" t="s">
        <v>83</v>
      </c>
      <c r="B29" s="33"/>
      <c r="C29" s="34" t="n">
        <v>2</v>
      </c>
      <c r="D29" s="32" t="s">
        <v>84</v>
      </c>
      <c r="E29" s="22"/>
      <c r="F29" s="22"/>
      <c r="G29" s="22"/>
      <c r="H29" s="22"/>
      <c r="I29" s="22"/>
      <c r="J29" s="22"/>
      <c r="K29" s="22"/>
      <c r="L29" s="22"/>
      <c r="M29" s="22"/>
      <c r="N29" s="22"/>
      <c r="O29" s="22"/>
      <c r="P29" s="22"/>
      <c r="Q29" s="22"/>
      <c r="R29" s="22"/>
      <c r="S29" s="22"/>
      <c r="T29" s="22"/>
      <c r="U29" s="22"/>
      <c r="V29" s="22"/>
      <c r="W29" s="22"/>
      <c r="X29" s="22"/>
      <c r="Y29" s="22"/>
      <c r="Z29" s="22"/>
    </row>
    <row r="30" customFormat="false" ht="14.25" hidden="false" customHeight="true" outlineLevel="0" collapsed="false">
      <c r="A30" s="32"/>
      <c r="B30" s="33"/>
      <c r="C30" s="34" t="n">
        <v>1</v>
      </c>
      <c r="D30" s="32" t="s">
        <v>85</v>
      </c>
      <c r="E30" s="22"/>
      <c r="F30" s="22"/>
      <c r="G30" s="22"/>
      <c r="H30" s="22"/>
      <c r="I30" s="22"/>
      <c r="J30" s="22"/>
      <c r="K30" s="22"/>
      <c r="L30" s="22"/>
      <c r="M30" s="22"/>
      <c r="N30" s="22"/>
      <c r="O30" s="22"/>
      <c r="P30" s="22"/>
      <c r="Q30" s="22"/>
      <c r="R30" s="22"/>
      <c r="S30" s="22"/>
      <c r="T30" s="22"/>
      <c r="U30" s="22"/>
      <c r="V30" s="22"/>
      <c r="W30" s="22"/>
      <c r="X30" s="22"/>
      <c r="Y30" s="22"/>
      <c r="Z30" s="22"/>
    </row>
    <row r="31" customFormat="false" ht="14.25" hidden="false" customHeight="true" outlineLevel="0" collapsed="false">
      <c r="A31" s="35"/>
      <c r="B31" s="35"/>
      <c r="C31" s="34" t="n">
        <v>0</v>
      </c>
      <c r="D31" s="32" t="s">
        <v>86</v>
      </c>
      <c r="E31" s="22"/>
      <c r="F31" s="22"/>
      <c r="G31" s="22"/>
      <c r="H31" s="22"/>
      <c r="I31" s="22"/>
      <c r="J31" s="22"/>
      <c r="K31" s="22"/>
      <c r="L31" s="22"/>
      <c r="M31" s="22"/>
      <c r="N31" s="22"/>
      <c r="O31" s="22"/>
      <c r="P31" s="22"/>
      <c r="Q31" s="22"/>
      <c r="R31" s="22"/>
      <c r="S31" s="22"/>
      <c r="T31" s="22"/>
      <c r="U31" s="22"/>
      <c r="V31" s="22"/>
      <c r="W31" s="22"/>
      <c r="X31" s="22"/>
      <c r="Y31" s="22"/>
      <c r="Z31" s="22"/>
    </row>
    <row r="32" customFormat="false" ht="14.25" hidden="false" customHeight="true" outlineLevel="0" collapsed="false">
      <c r="D32" s="31"/>
      <c r="E32" s="22"/>
      <c r="F32" s="22"/>
      <c r="G32" s="22"/>
      <c r="H32" s="22"/>
      <c r="I32" s="22"/>
      <c r="J32" s="22"/>
      <c r="K32" s="22"/>
      <c r="L32" s="22"/>
      <c r="M32" s="22"/>
      <c r="N32" s="22"/>
      <c r="O32" s="22"/>
      <c r="P32" s="22"/>
      <c r="Q32" s="22"/>
      <c r="R32" s="22"/>
      <c r="S32" s="22"/>
      <c r="T32" s="22"/>
      <c r="U32" s="22"/>
      <c r="V32" s="22"/>
      <c r="W32" s="22"/>
      <c r="X32" s="22"/>
      <c r="Y32" s="22"/>
      <c r="Z32" s="22"/>
    </row>
    <row r="33" customFormat="false" ht="14.25" hidden="false" customHeight="true" outlineLevel="0" collapsed="false">
      <c r="D33" s="31"/>
      <c r="E33" s="22"/>
      <c r="F33" s="22"/>
      <c r="G33" s="22"/>
      <c r="H33" s="22"/>
      <c r="I33" s="22"/>
      <c r="J33" s="22"/>
      <c r="K33" s="22"/>
      <c r="L33" s="22"/>
      <c r="M33" s="22"/>
      <c r="N33" s="22"/>
      <c r="O33" s="22"/>
      <c r="P33" s="22"/>
      <c r="Q33" s="22"/>
      <c r="R33" s="22"/>
      <c r="S33" s="22"/>
      <c r="T33" s="22"/>
      <c r="U33" s="22"/>
      <c r="V33" s="22"/>
      <c r="W33" s="22"/>
      <c r="X33" s="22"/>
      <c r="Y33" s="22"/>
      <c r="Z33" s="22"/>
    </row>
    <row r="34" customFormat="false" ht="14.25" hidden="false" customHeight="true" outlineLevel="0" collapsed="false">
      <c r="D34" s="31"/>
      <c r="E34" s="22"/>
      <c r="F34" s="22"/>
      <c r="G34" s="22"/>
      <c r="H34" s="22"/>
      <c r="I34" s="22"/>
      <c r="J34" s="22"/>
      <c r="K34" s="22"/>
      <c r="L34" s="22"/>
      <c r="M34" s="22"/>
      <c r="N34" s="22"/>
      <c r="O34" s="22"/>
      <c r="P34" s="22"/>
      <c r="Q34" s="22"/>
      <c r="R34" s="22"/>
      <c r="S34" s="22"/>
      <c r="T34" s="22"/>
      <c r="U34" s="22"/>
      <c r="V34" s="22"/>
      <c r="W34" s="22"/>
      <c r="X34" s="22"/>
      <c r="Y34" s="22"/>
      <c r="Z34" s="22"/>
    </row>
    <row r="35" customFormat="false" ht="14.25" hidden="false" customHeight="true" outlineLevel="0" collapsed="false">
      <c r="D35" s="31"/>
      <c r="E35" s="22"/>
      <c r="F35" s="22"/>
      <c r="G35" s="22"/>
      <c r="H35" s="22"/>
      <c r="I35" s="22"/>
      <c r="J35" s="22"/>
      <c r="K35" s="22"/>
      <c r="L35" s="22"/>
      <c r="M35" s="22"/>
      <c r="N35" s="22"/>
      <c r="O35" s="22"/>
      <c r="P35" s="22"/>
      <c r="Q35" s="22"/>
      <c r="R35" s="22"/>
      <c r="S35" s="22"/>
      <c r="T35" s="22"/>
      <c r="U35" s="22"/>
      <c r="V35" s="22"/>
      <c r="W35" s="22"/>
      <c r="X35" s="22"/>
      <c r="Y35" s="22"/>
      <c r="Z35" s="22"/>
    </row>
    <row r="36" customFormat="false" ht="14.25" hidden="false" customHeight="true" outlineLevel="0" collapsed="false">
      <c r="A36" s="31"/>
      <c r="C36" s="31"/>
      <c r="D36" s="31"/>
      <c r="E36" s="22"/>
      <c r="F36" s="22"/>
      <c r="G36" s="22"/>
      <c r="H36" s="22"/>
      <c r="I36" s="22"/>
      <c r="J36" s="22"/>
      <c r="K36" s="22"/>
      <c r="L36" s="22"/>
      <c r="M36" s="22"/>
      <c r="N36" s="22"/>
      <c r="O36" s="22"/>
      <c r="P36" s="22"/>
      <c r="Q36" s="22"/>
      <c r="R36" s="22"/>
      <c r="S36" s="22"/>
      <c r="T36" s="22"/>
      <c r="U36" s="22"/>
      <c r="V36" s="22"/>
      <c r="W36" s="22"/>
      <c r="X36" s="22"/>
      <c r="Y36" s="22"/>
      <c r="Z36" s="22"/>
    </row>
    <row r="37" customFormat="false" ht="14.25" hidden="false" customHeight="true" outlineLevel="0" collapsed="false">
      <c r="A37" s="36" t="s">
        <v>87</v>
      </c>
      <c r="B37" s="37"/>
      <c r="C37" s="37"/>
      <c r="D37" s="38"/>
      <c r="E37" s="22"/>
      <c r="F37" s="22"/>
      <c r="G37" s="22"/>
      <c r="H37" s="22"/>
      <c r="I37" s="22"/>
      <c r="J37" s="22"/>
      <c r="K37" s="22"/>
      <c r="L37" s="22"/>
      <c r="M37" s="22"/>
      <c r="N37" s="22"/>
      <c r="O37" s="22"/>
      <c r="P37" s="22"/>
      <c r="Q37" s="22"/>
      <c r="R37" s="22"/>
      <c r="S37" s="22"/>
      <c r="T37" s="22"/>
      <c r="U37" s="22"/>
      <c r="V37" s="22"/>
      <c r="W37" s="22"/>
      <c r="X37" s="22"/>
      <c r="Y37" s="22"/>
      <c r="Z37" s="22"/>
    </row>
    <row r="38" customFormat="false" ht="14.25" hidden="false" customHeight="true" outlineLevel="0" collapsed="false">
      <c r="A38" s="39"/>
      <c r="B38" s="40" t="s">
        <v>88</v>
      </c>
      <c r="C38" s="41" t="s">
        <v>89</v>
      </c>
      <c r="D38" s="41"/>
      <c r="E38" s="22"/>
      <c r="F38" s="22"/>
      <c r="G38" s="22"/>
      <c r="H38" s="22"/>
      <c r="I38" s="22"/>
      <c r="J38" s="22"/>
      <c r="K38" s="22"/>
      <c r="L38" s="22"/>
      <c r="M38" s="22"/>
      <c r="N38" s="22"/>
      <c r="O38" s="22"/>
      <c r="P38" s="22"/>
      <c r="Q38" s="22"/>
      <c r="R38" s="22"/>
      <c r="S38" s="22"/>
      <c r="T38" s="22"/>
      <c r="U38" s="22"/>
      <c r="V38" s="22"/>
      <c r="W38" s="22"/>
      <c r="X38" s="22"/>
      <c r="Y38" s="22"/>
      <c r="Z38" s="22"/>
    </row>
    <row r="39" customFormat="false" ht="14.25" hidden="false" customHeight="true" outlineLevel="0" collapsed="false">
      <c r="A39" s="39"/>
      <c r="B39" s="41"/>
      <c r="C39" s="41" t="s">
        <v>90</v>
      </c>
      <c r="D39" s="41" t="s">
        <v>91</v>
      </c>
      <c r="E39" s="22"/>
      <c r="F39" s="22"/>
      <c r="G39" s="22"/>
      <c r="H39" s="22"/>
      <c r="I39" s="22"/>
      <c r="J39" s="22"/>
      <c r="K39" s="22"/>
      <c r="L39" s="22"/>
      <c r="M39" s="22"/>
      <c r="N39" s="22"/>
      <c r="O39" s="22"/>
      <c r="P39" s="22"/>
      <c r="Q39" s="22"/>
      <c r="R39" s="22"/>
      <c r="S39" s="22"/>
      <c r="T39" s="22"/>
      <c r="U39" s="22"/>
      <c r="V39" s="22"/>
      <c r="W39" s="22"/>
      <c r="X39" s="22"/>
      <c r="Y39" s="22"/>
      <c r="Z39" s="22"/>
    </row>
    <row r="40" customFormat="false" ht="14.25" hidden="false" customHeight="true" outlineLevel="0" collapsed="false">
      <c r="A40" s="39" t="s">
        <v>92</v>
      </c>
      <c r="B40" s="42" t="n">
        <v>0.15</v>
      </c>
      <c r="C40" s="41" t="n">
        <v>4000</v>
      </c>
      <c r="D40" s="41" t="n">
        <v>6000</v>
      </c>
      <c r="E40" s="22"/>
      <c r="F40" s="22"/>
      <c r="G40" s="22"/>
      <c r="H40" s="22"/>
      <c r="I40" s="22"/>
      <c r="J40" s="22"/>
      <c r="K40" s="22"/>
      <c r="L40" s="22"/>
      <c r="M40" s="22"/>
      <c r="N40" s="22"/>
      <c r="O40" s="22"/>
      <c r="P40" s="22"/>
      <c r="Q40" s="22"/>
      <c r="R40" s="22"/>
      <c r="S40" s="22"/>
      <c r="T40" s="22"/>
      <c r="U40" s="22"/>
      <c r="V40" s="22"/>
      <c r="W40" s="22"/>
      <c r="X40" s="22"/>
      <c r="Y40" s="22"/>
      <c r="Z40" s="22"/>
    </row>
    <row r="41" customFormat="false" ht="14.25" hidden="false" customHeight="true" outlineLevel="0" collapsed="false">
      <c r="A41" s="39" t="s">
        <v>93</v>
      </c>
      <c r="B41" s="42" t="n">
        <v>0.1</v>
      </c>
      <c r="C41" s="41" t="n">
        <v>6000</v>
      </c>
      <c r="D41" s="41" t="n">
        <v>8000</v>
      </c>
      <c r="E41" s="22"/>
      <c r="F41" s="22"/>
      <c r="G41" s="22"/>
      <c r="H41" s="22"/>
      <c r="I41" s="22"/>
      <c r="J41" s="22"/>
      <c r="K41" s="22"/>
      <c r="L41" s="22"/>
      <c r="M41" s="22"/>
      <c r="N41" s="22"/>
      <c r="O41" s="22"/>
      <c r="P41" s="22"/>
      <c r="Q41" s="22"/>
      <c r="R41" s="22"/>
      <c r="S41" s="22"/>
      <c r="T41" s="22"/>
      <c r="U41" s="22"/>
      <c r="V41" s="22"/>
      <c r="W41" s="22"/>
      <c r="X41" s="22"/>
      <c r="Y41" s="22"/>
      <c r="Z41" s="22"/>
    </row>
    <row r="42" customFormat="false" ht="14.25" hidden="false" customHeight="true" outlineLevel="0" collapsed="false">
      <c r="A42" s="39" t="s">
        <v>94</v>
      </c>
      <c r="B42" s="42" t="n">
        <v>0.4</v>
      </c>
      <c r="C42" s="41" t="n">
        <v>3000</v>
      </c>
      <c r="D42" s="41" t="n">
        <v>5000</v>
      </c>
      <c r="E42" s="22"/>
      <c r="F42" s="22"/>
      <c r="G42" s="22"/>
      <c r="H42" s="22"/>
      <c r="I42" s="22"/>
      <c r="J42" s="22"/>
      <c r="K42" s="22"/>
      <c r="L42" s="22"/>
      <c r="M42" s="22"/>
      <c r="N42" s="22"/>
      <c r="O42" s="22"/>
      <c r="P42" s="22"/>
      <c r="Q42" s="22"/>
      <c r="R42" s="22"/>
      <c r="S42" s="22"/>
      <c r="T42" s="22"/>
      <c r="U42" s="22"/>
      <c r="V42" s="22"/>
      <c r="W42" s="22"/>
      <c r="X42" s="22"/>
      <c r="Y42" s="22"/>
      <c r="Z42" s="22"/>
    </row>
    <row r="43" customFormat="false" ht="14.25" hidden="false" customHeight="true" outlineLevel="0" collapsed="false">
      <c r="A43" s="39" t="s">
        <v>95</v>
      </c>
      <c r="B43" s="42" t="n">
        <v>0.2</v>
      </c>
      <c r="C43" s="41" t="n">
        <v>2500</v>
      </c>
      <c r="D43" s="41" t="n">
        <v>5000</v>
      </c>
      <c r="E43" s="22"/>
      <c r="F43" s="22"/>
      <c r="G43" s="22"/>
      <c r="H43" s="22"/>
      <c r="I43" s="22"/>
      <c r="J43" s="22"/>
      <c r="K43" s="22"/>
      <c r="L43" s="22"/>
      <c r="M43" s="22"/>
      <c r="N43" s="22"/>
      <c r="O43" s="22"/>
      <c r="P43" s="22"/>
      <c r="Q43" s="22"/>
      <c r="R43" s="22"/>
      <c r="S43" s="22"/>
      <c r="T43" s="22"/>
      <c r="U43" s="22"/>
      <c r="V43" s="22"/>
      <c r="W43" s="22"/>
      <c r="X43" s="22"/>
      <c r="Y43" s="22"/>
      <c r="Z43" s="22"/>
    </row>
    <row r="44" customFormat="false" ht="14.25" hidden="false" customHeight="true" outlineLevel="0" collapsed="false">
      <c r="A44" s="39" t="s">
        <v>96</v>
      </c>
      <c r="B44" s="42" t="n">
        <v>0.1</v>
      </c>
      <c r="C44" s="41" t="n">
        <v>8000</v>
      </c>
      <c r="D44" s="41" t="n">
        <v>10000</v>
      </c>
      <c r="E44" s="22"/>
      <c r="F44" s="22"/>
      <c r="G44" s="22"/>
      <c r="H44" s="22"/>
      <c r="I44" s="22"/>
      <c r="J44" s="22"/>
      <c r="K44" s="22"/>
      <c r="L44" s="22"/>
      <c r="M44" s="22"/>
      <c r="N44" s="22"/>
      <c r="O44" s="22"/>
      <c r="P44" s="22"/>
      <c r="Q44" s="22"/>
      <c r="R44" s="22"/>
      <c r="S44" s="22"/>
      <c r="T44" s="22"/>
      <c r="U44" s="22"/>
      <c r="V44" s="22"/>
      <c r="W44" s="22"/>
      <c r="X44" s="22"/>
      <c r="Y44" s="22"/>
      <c r="Z44" s="22"/>
    </row>
    <row r="45" customFormat="false" ht="14.25" hidden="false" customHeight="true" outlineLevel="0" collapsed="false">
      <c r="A45" s="39" t="s">
        <v>97</v>
      </c>
      <c r="B45" s="42" t="n">
        <v>0.05</v>
      </c>
      <c r="C45" s="41" t="n">
        <v>3000</v>
      </c>
      <c r="D45" s="41" t="n">
        <v>5000</v>
      </c>
      <c r="E45" s="22"/>
      <c r="F45" s="22"/>
      <c r="G45" s="22"/>
      <c r="H45" s="22"/>
      <c r="I45" s="22"/>
      <c r="J45" s="22"/>
      <c r="K45" s="22"/>
      <c r="L45" s="22"/>
      <c r="M45" s="22"/>
      <c r="N45" s="22"/>
      <c r="O45" s="22"/>
      <c r="P45" s="22"/>
      <c r="Q45" s="22"/>
      <c r="R45" s="22"/>
      <c r="S45" s="22"/>
      <c r="T45" s="22"/>
      <c r="U45" s="22"/>
      <c r="V45" s="22"/>
      <c r="W45" s="22"/>
      <c r="X45" s="22"/>
      <c r="Y45" s="22"/>
      <c r="Z45" s="22"/>
    </row>
    <row r="46" customFormat="false" ht="14.25" hidden="false" customHeight="true" outlineLevel="0" collapsed="false">
      <c r="A46" s="43" t="s">
        <v>92</v>
      </c>
      <c r="B46" s="44" t="n">
        <v>0.15</v>
      </c>
      <c r="C46" s="22"/>
      <c r="D46" s="22"/>
      <c r="E46" s="22"/>
      <c r="F46" s="22"/>
      <c r="G46" s="22"/>
      <c r="H46" s="22"/>
      <c r="I46" s="22"/>
      <c r="J46" s="22"/>
      <c r="K46" s="22"/>
      <c r="L46" s="22"/>
      <c r="M46" s="22"/>
      <c r="N46" s="22"/>
      <c r="O46" s="22"/>
      <c r="P46" s="22"/>
      <c r="Q46" s="22"/>
      <c r="R46" s="22"/>
      <c r="S46" s="22"/>
      <c r="T46" s="22"/>
      <c r="U46" s="22"/>
      <c r="V46" s="22"/>
      <c r="W46" s="22"/>
      <c r="X46" s="22"/>
      <c r="Y46" s="22"/>
      <c r="Z46" s="22"/>
    </row>
    <row r="47" customFormat="false" ht="14.25" hidden="false" customHeight="true" outlineLevel="0" collapsed="false">
      <c r="A47" s="43" t="s">
        <v>93</v>
      </c>
      <c r="B47" s="44" t="n">
        <v>0.1</v>
      </c>
      <c r="C47" s="22"/>
      <c r="D47" s="22"/>
      <c r="E47" s="22"/>
      <c r="F47" s="22"/>
      <c r="G47" s="22"/>
      <c r="H47" s="22"/>
      <c r="I47" s="22"/>
      <c r="J47" s="22"/>
      <c r="K47" s="22"/>
      <c r="L47" s="22"/>
      <c r="M47" s="22"/>
      <c r="N47" s="22"/>
      <c r="O47" s="22"/>
      <c r="P47" s="22"/>
      <c r="Q47" s="22"/>
      <c r="R47" s="22"/>
      <c r="S47" s="22"/>
      <c r="T47" s="22"/>
      <c r="U47" s="22"/>
      <c r="V47" s="22"/>
      <c r="W47" s="22"/>
      <c r="X47" s="22"/>
      <c r="Y47" s="22"/>
      <c r="Z47" s="22"/>
    </row>
    <row r="48" customFormat="false" ht="14.25" hidden="false" customHeight="true" outlineLevel="0" collapsed="false">
      <c r="A48" s="43" t="s">
        <v>94</v>
      </c>
      <c r="B48" s="44" t="n">
        <v>0.4</v>
      </c>
      <c r="C48" s="22"/>
      <c r="D48" s="22"/>
      <c r="E48" s="22"/>
      <c r="F48" s="22"/>
      <c r="G48" s="22"/>
      <c r="H48" s="22"/>
      <c r="I48" s="22"/>
      <c r="J48" s="22"/>
      <c r="K48" s="22"/>
      <c r="L48" s="22"/>
      <c r="M48" s="22"/>
      <c r="N48" s="22"/>
      <c r="O48" s="22"/>
      <c r="P48" s="22"/>
      <c r="Q48" s="22"/>
      <c r="R48" s="22"/>
      <c r="S48" s="22"/>
      <c r="T48" s="22"/>
      <c r="U48" s="22"/>
      <c r="V48" s="22"/>
      <c r="W48" s="22"/>
      <c r="X48" s="22"/>
      <c r="Y48" s="22"/>
      <c r="Z48" s="22"/>
    </row>
    <row r="49" customFormat="false" ht="14.25" hidden="false" customHeight="true" outlineLevel="0" collapsed="false">
      <c r="A49" s="43" t="s">
        <v>95</v>
      </c>
      <c r="B49" s="44" t="n">
        <v>0.2</v>
      </c>
      <c r="C49" s="22"/>
      <c r="D49" s="22"/>
      <c r="E49" s="22"/>
      <c r="F49" s="22"/>
      <c r="G49" s="22"/>
      <c r="H49" s="22"/>
      <c r="I49" s="22"/>
      <c r="J49" s="22"/>
      <c r="K49" s="22"/>
      <c r="L49" s="22"/>
      <c r="M49" s="22"/>
      <c r="N49" s="22"/>
      <c r="O49" s="22"/>
      <c r="P49" s="22"/>
      <c r="Q49" s="22"/>
      <c r="R49" s="22"/>
      <c r="S49" s="22"/>
      <c r="T49" s="22"/>
      <c r="U49" s="22"/>
      <c r="V49" s="22"/>
      <c r="W49" s="22"/>
      <c r="X49" s="22"/>
      <c r="Y49" s="22"/>
      <c r="Z49" s="22"/>
    </row>
    <row r="50" customFormat="false" ht="14.25" hidden="false" customHeight="true" outlineLevel="0" collapsed="false">
      <c r="A50" s="43" t="s">
        <v>96</v>
      </c>
      <c r="B50" s="44" t="n">
        <v>0.1</v>
      </c>
      <c r="C50" s="22"/>
      <c r="D50" s="22"/>
      <c r="E50" s="22"/>
      <c r="F50" s="22"/>
      <c r="G50" s="22"/>
      <c r="H50" s="22"/>
      <c r="I50" s="22"/>
      <c r="J50" s="22"/>
      <c r="K50" s="22"/>
      <c r="L50" s="22"/>
      <c r="M50" s="22"/>
      <c r="N50" s="22"/>
      <c r="O50" s="22"/>
      <c r="P50" s="22"/>
      <c r="Q50" s="22"/>
      <c r="R50" s="22"/>
      <c r="S50" s="22"/>
      <c r="T50" s="22"/>
      <c r="U50" s="22"/>
      <c r="V50" s="22"/>
      <c r="W50" s="22"/>
      <c r="X50" s="22"/>
      <c r="Y50" s="22"/>
      <c r="Z50" s="22"/>
    </row>
    <row r="51" customFormat="false" ht="14.25" hidden="false" customHeight="true" outlineLevel="0" collapsed="false">
      <c r="A51" s="43" t="s">
        <v>97</v>
      </c>
      <c r="B51" s="44" t="n">
        <v>0.05</v>
      </c>
      <c r="C51" s="22"/>
      <c r="D51" s="22"/>
      <c r="E51" s="22"/>
      <c r="F51" s="22"/>
      <c r="G51" s="22"/>
      <c r="H51" s="22"/>
      <c r="I51" s="22"/>
      <c r="J51" s="22"/>
      <c r="K51" s="22"/>
      <c r="L51" s="22"/>
      <c r="M51" s="22"/>
      <c r="N51" s="22"/>
      <c r="O51" s="22"/>
      <c r="P51" s="22"/>
      <c r="Q51" s="22"/>
      <c r="R51" s="22"/>
      <c r="S51" s="22"/>
      <c r="T51" s="22"/>
      <c r="U51" s="22"/>
      <c r="V51" s="22"/>
      <c r="W51" s="22"/>
      <c r="X51" s="22"/>
      <c r="Y51" s="22"/>
      <c r="Z51" s="22"/>
    </row>
    <row r="52" customFormat="false" ht="14.25" hidden="false" customHeight="true" outlineLevel="0" collapsed="false">
      <c r="A52" s="43"/>
      <c r="B52" s="45"/>
      <c r="C52" s="22"/>
      <c r="D52" s="22"/>
      <c r="E52" s="22"/>
      <c r="F52" s="22"/>
      <c r="G52" s="22"/>
      <c r="H52" s="22"/>
      <c r="I52" s="22"/>
      <c r="J52" s="22"/>
      <c r="K52" s="22"/>
      <c r="L52" s="22"/>
      <c r="M52" s="22"/>
      <c r="N52" s="22"/>
      <c r="O52" s="22"/>
      <c r="P52" s="22"/>
      <c r="Q52" s="22"/>
      <c r="R52" s="22"/>
      <c r="S52" s="22"/>
      <c r="T52" s="22"/>
      <c r="U52" s="22"/>
      <c r="V52" s="22"/>
      <c r="W52" s="22"/>
      <c r="X52" s="22"/>
      <c r="Y52" s="22"/>
      <c r="Z52" s="22"/>
    </row>
    <row r="53" customFormat="false" ht="14.25" hidden="false" customHeight="true" outlineLevel="0" collapsed="false">
      <c r="A53" s="21"/>
      <c r="B53" s="21"/>
      <c r="C53" s="22"/>
      <c r="D53" s="22"/>
      <c r="E53" s="22"/>
      <c r="F53" s="22"/>
      <c r="G53" s="22"/>
      <c r="H53" s="22"/>
      <c r="I53" s="22"/>
      <c r="J53" s="22"/>
      <c r="K53" s="22"/>
      <c r="L53" s="22"/>
      <c r="M53" s="22"/>
      <c r="N53" s="22"/>
      <c r="O53" s="22"/>
      <c r="P53" s="22"/>
      <c r="Q53" s="22"/>
      <c r="R53" s="22"/>
      <c r="S53" s="22"/>
      <c r="T53" s="22"/>
      <c r="U53" s="22"/>
      <c r="V53" s="22"/>
      <c r="W53" s="22"/>
      <c r="X53" s="22"/>
      <c r="Y53" s="22"/>
      <c r="Z53" s="22"/>
    </row>
    <row r="54" customFormat="false" ht="14.25" hidden="false" customHeight="true" outlineLevel="0" collapsed="false">
      <c r="A54" s="21"/>
      <c r="B54" s="21"/>
      <c r="C54" s="22"/>
      <c r="D54" s="22"/>
      <c r="E54" s="22"/>
      <c r="F54" s="22"/>
      <c r="G54" s="22"/>
      <c r="H54" s="22"/>
      <c r="I54" s="22"/>
      <c r="J54" s="22"/>
      <c r="K54" s="22"/>
      <c r="L54" s="22"/>
      <c r="M54" s="22"/>
      <c r="N54" s="22"/>
      <c r="O54" s="22"/>
      <c r="P54" s="22"/>
      <c r="Q54" s="22"/>
      <c r="R54" s="22"/>
      <c r="S54" s="22"/>
      <c r="T54" s="22"/>
      <c r="U54" s="22"/>
      <c r="V54" s="22"/>
      <c r="W54" s="22"/>
      <c r="X54" s="22"/>
      <c r="Y54" s="22"/>
      <c r="Z54" s="22"/>
    </row>
    <row r="55" customFormat="false" ht="14.25" hidden="false" customHeight="true" outlineLevel="0" collapsed="false">
      <c r="A55" s="21"/>
      <c r="B55" s="21"/>
      <c r="C55" s="22"/>
      <c r="D55" s="22"/>
      <c r="E55" s="22"/>
      <c r="F55" s="22"/>
      <c r="G55" s="22"/>
      <c r="H55" s="22"/>
      <c r="I55" s="22"/>
      <c r="J55" s="22"/>
      <c r="K55" s="22"/>
      <c r="L55" s="22"/>
      <c r="M55" s="22"/>
      <c r="N55" s="22"/>
      <c r="O55" s="22"/>
      <c r="P55" s="22"/>
      <c r="Q55" s="22"/>
      <c r="R55" s="22"/>
      <c r="S55" s="22"/>
      <c r="T55" s="22"/>
      <c r="U55" s="22"/>
      <c r="V55" s="22"/>
      <c r="W55" s="22"/>
      <c r="X55" s="22"/>
      <c r="Y55" s="22"/>
      <c r="Z55" s="22"/>
    </row>
    <row r="56" customFormat="false" ht="14.25" hidden="false" customHeight="true" outlineLevel="0" collapsed="false">
      <c r="A56" s="21"/>
      <c r="B56" s="21"/>
      <c r="C56" s="22"/>
      <c r="D56" s="22"/>
      <c r="E56" s="22"/>
      <c r="F56" s="22"/>
      <c r="G56" s="22"/>
      <c r="H56" s="22"/>
      <c r="I56" s="22"/>
      <c r="J56" s="22"/>
      <c r="K56" s="22"/>
      <c r="L56" s="22"/>
      <c r="M56" s="22"/>
      <c r="N56" s="22"/>
      <c r="O56" s="22"/>
      <c r="P56" s="22"/>
      <c r="Q56" s="22"/>
      <c r="R56" s="22"/>
      <c r="S56" s="22"/>
      <c r="T56" s="22"/>
      <c r="U56" s="22"/>
      <c r="V56" s="22"/>
      <c r="W56" s="22"/>
      <c r="X56" s="22"/>
      <c r="Y56" s="22"/>
      <c r="Z56" s="22"/>
    </row>
    <row r="57" customFormat="false" ht="14.25" hidden="false" customHeight="true" outlineLevel="0" collapsed="false">
      <c r="A57" s="21"/>
      <c r="B57" s="21"/>
      <c r="C57" s="22"/>
      <c r="D57" s="22"/>
      <c r="E57" s="22"/>
      <c r="F57" s="22"/>
      <c r="G57" s="22"/>
      <c r="H57" s="22"/>
      <c r="I57" s="22"/>
      <c r="J57" s="22"/>
      <c r="K57" s="22"/>
      <c r="L57" s="22"/>
      <c r="M57" s="22"/>
      <c r="N57" s="22"/>
      <c r="O57" s="22"/>
      <c r="P57" s="22"/>
      <c r="Q57" s="22"/>
      <c r="R57" s="22"/>
      <c r="S57" s="22"/>
      <c r="T57" s="22"/>
      <c r="U57" s="22"/>
      <c r="V57" s="22"/>
      <c r="W57" s="22"/>
      <c r="X57" s="22"/>
      <c r="Y57" s="22"/>
      <c r="Z57" s="22"/>
    </row>
    <row r="58" customFormat="false" ht="14.25" hidden="false" customHeight="true" outlineLevel="0" collapsed="false">
      <c r="A58" s="21"/>
      <c r="B58" s="21"/>
      <c r="C58" s="22"/>
      <c r="D58" s="22"/>
      <c r="E58" s="22"/>
      <c r="F58" s="22"/>
      <c r="G58" s="22"/>
      <c r="H58" s="22"/>
      <c r="I58" s="22"/>
      <c r="J58" s="22"/>
      <c r="K58" s="22"/>
      <c r="L58" s="22"/>
      <c r="M58" s="22"/>
      <c r="N58" s="22"/>
      <c r="O58" s="22"/>
      <c r="P58" s="22"/>
      <c r="Q58" s="22"/>
      <c r="R58" s="22"/>
      <c r="S58" s="22"/>
      <c r="T58" s="22"/>
      <c r="U58" s="22"/>
      <c r="V58" s="22"/>
      <c r="W58" s="22"/>
      <c r="X58" s="22"/>
      <c r="Y58" s="22"/>
      <c r="Z58" s="22"/>
    </row>
    <row r="59" customFormat="false" ht="14.25" hidden="false" customHeight="true" outlineLevel="0" collapsed="false">
      <c r="A59" s="21"/>
      <c r="B59" s="21"/>
      <c r="C59" s="22"/>
      <c r="D59" s="22"/>
      <c r="E59" s="22"/>
      <c r="F59" s="22"/>
      <c r="G59" s="22"/>
      <c r="H59" s="22"/>
      <c r="I59" s="22"/>
      <c r="J59" s="22"/>
      <c r="K59" s="22"/>
      <c r="L59" s="22"/>
      <c r="M59" s="22"/>
      <c r="N59" s="22"/>
      <c r="O59" s="22"/>
      <c r="P59" s="22"/>
      <c r="Q59" s="22"/>
      <c r="R59" s="22"/>
      <c r="S59" s="22"/>
      <c r="T59" s="22"/>
      <c r="U59" s="22"/>
      <c r="V59" s="22"/>
      <c r="W59" s="22"/>
      <c r="X59" s="22"/>
      <c r="Y59" s="22"/>
      <c r="Z59" s="22"/>
    </row>
    <row r="60" customFormat="false" ht="14.25" hidden="false" customHeight="true" outlineLevel="0" collapsed="false">
      <c r="A60" s="21"/>
      <c r="B60" s="21"/>
      <c r="C60" s="22"/>
      <c r="D60" s="22"/>
      <c r="E60" s="22"/>
      <c r="F60" s="22"/>
      <c r="G60" s="22"/>
      <c r="H60" s="22"/>
      <c r="I60" s="22"/>
      <c r="J60" s="22"/>
      <c r="K60" s="22"/>
      <c r="L60" s="22"/>
      <c r="M60" s="22"/>
      <c r="N60" s="22"/>
      <c r="O60" s="22"/>
      <c r="P60" s="22"/>
      <c r="Q60" s="22"/>
      <c r="R60" s="22"/>
      <c r="S60" s="22"/>
      <c r="T60" s="22"/>
      <c r="U60" s="22"/>
      <c r="V60" s="22"/>
      <c r="W60" s="22"/>
      <c r="X60" s="22"/>
      <c r="Y60" s="22"/>
      <c r="Z60" s="22"/>
    </row>
    <row r="61" customFormat="false" ht="14.25" hidden="false" customHeight="true" outlineLevel="0" collapsed="false">
      <c r="A61" s="21"/>
      <c r="B61" s="21"/>
      <c r="C61" s="22"/>
      <c r="D61" s="22"/>
      <c r="E61" s="22"/>
      <c r="F61" s="22"/>
      <c r="G61" s="22"/>
      <c r="H61" s="22"/>
      <c r="I61" s="22"/>
      <c r="J61" s="22"/>
      <c r="K61" s="22"/>
      <c r="L61" s="22"/>
      <c r="M61" s="22"/>
      <c r="N61" s="22"/>
      <c r="O61" s="22"/>
      <c r="P61" s="22"/>
      <c r="Q61" s="22"/>
      <c r="R61" s="22"/>
      <c r="S61" s="22"/>
      <c r="T61" s="22"/>
      <c r="U61" s="22"/>
      <c r="V61" s="22"/>
      <c r="W61" s="22"/>
      <c r="X61" s="22"/>
      <c r="Y61" s="22"/>
      <c r="Z61" s="22"/>
    </row>
    <row r="62" customFormat="false" ht="14.25" hidden="false" customHeight="true" outlineLevel="0" collapsed="false">
      <c r="A62" s="21"/>
      <c r="B62" s="21"/>
      <c r="C62" s="22"/>
      <c r="D62" s="22"/>
      <c r="E62" s="22"/>
      <c r="F62" s="22"/>
      <c r="G62" s="22"/>
      <c r="H62" s="22"/>
      <c r="I62" s="22"/>
      <c r="J62" s="22"/>
      <c r="K62" s="22"/>
      <c r="L62" s="22"/>
      <c r="M62" s="22"/>
      <c r="N62" s="22"/>
      <c r="O62" s="22"/>
      <c r="P62" s="22"/>
      <c r="Q62" s="22"/>
      <c r="R62" s="22"/>
      <c r="S62" s="22"/>
      <c r="T62" s="22"/>
      <c r="U62" s="22"/>
      <c r="V62" s="22"/>
      <c r="W62" s="22"/>
      <c r="X62" s="22"/>
      <c r="Y62" s="22"/>
      <c r="Z62" s="22"/>
    </row>
    <row r="63" customFormat="false" ht="14.25" hidden="false" customHeight="true" outlineLevel="0" collapsed="false">
      <c r="A63" s="21"/>
      <c r="B63" s="21"/>
      <c r="C63" s="22"/>
      <c r="D63" s="22"/>
      <c r="E63" s="22"/>
      <c r="F63" s="22"/>
      <c r="G63" s="22"/>
      <c r="H63" s="22"/>
      <c r="I63" s="22"/>
      <c r="J63" s="22"/>
      <c r="K63" s="22"/>
      <c r="L63" s="22"/>
      <c r="M63" s="22"/>
      <c r="N63" s="22"/>
      <c r="O63" s="22"/>
      <c r="P63" s="22"/>
      <c r="Q63" s="22"/>
      <c r="R63" s="22"/>
      <c r="S63" s="22"/>
      <c r="T63" s="22"/>
      <c r="U63" s="22"/>
      <c r="V63" s="22"/>
      <c r="W63" s="22"/>
      <c r="X63" s="22"/>
      <c r="Y63" s="22"/>
      <c r="Z63" s="22"/>
    </row>
    <row r="64" customFormat="false" ht="14.25" hidden="false" customHeight="true" outlineLevel="0" collapsed="false">
      <c r="A64" s="21"/>
      <c r="B64" s="21"/>
      <c r="C64" s="22"/>
      <c r="D64" s="22"/>
      <c r="E64" s="22"/>
      <c r="F64" s="22"/>
      <c r="G64" s="22"/>
      <c r="H64" s="22"/>
      <c r="I64" s="22"/>
      <c r="J64" s="22"/>
      <c r="K64" s="22"/>
      <c r="L64" s="22"/>
      <c r="M64" s="22"/>
      <c r="N64" s="22"/>
      <c r="O64" s="22"/>
      <c r="P64" s="22"/>
      <c r="Q64" s="22"/>
      <c r="R64" s="22"/>
      <c r="S64" s="22"/>
      <c r="T64" s="22"/>
      <c r="U64" s="22"/>
      <c r="V64" s="22"/>
      <c r="W64" s="22"/>
      <c r="X64" s="22"/>
      <c r="Y64" s="22"/>
      <c r="Z64" s="22"/>
    </row>
    <row r="65" customFormat="false" ht="14.25" hidden="false" customHeight="true" outlineLevel="0" collapsed="false">
      <c r="A65" s="21"/>
      <c r="B65" s="21"/>
      <c r="C65" s="22"/>
      <c r="D65" s="22"/>
      <c r="E65" s="22"/>
      <c r="F65" s="22"/>
      <c r="G65" s="22"/>
      <c r="H65" s="22"/>
      <c r="I65" s="22"/>
      <c r="J65" s="22"/>
      <c r="K65" s="22"/>
      <c r="L65" s="22"/>
      <c r="M65" s="22"/>
      <c r="N65" s="22"/>
      <c r="O65" s="22"/>
      <c r="P65" s="22"/>
      <c r="Q65" s="22"/>
      <c r="R65" s="22"/>
      <c r="S65" s="22"/>
      <c r="T65" s="22"/>
      <c r="U65" s="22"/>
      <c r="V65" s="22"/>
      <c r="W65" s="22"/>
      <c r="X65" s="22"/>
      <c r="Y65" s="22"/>
      <c r="Z65" s="22"/>
    </row>
    <row r="66" customFormat="false" ht="14.25" hidden="false" customHeight="true" outlineLevel="0" collapsed="false">
      <c r="A66" s="21"/>
      <c r="B66" s="21"/>
      <c r="C66" s="22"/>
      <c r="D66" s="22"/>
      <c r="E66" s="22"/>
      <c r="F66" s="22"/>
      <c r="G66" s="22"/>
      <c r="H66" s="22"/>
      <c r="I66" s="22"/>
      <c r="J66" s="22"/>
      <c r="K66" s="22"/>
      <c r="L66" s="22"/>
      <c r="M66" s="22"/>
      <c r="N66" s="22"/>
      <c r="O66" s="22"/>
      <c r="P66" s="22"/>
      <c r="Q66" s="22"/>
      <c r="R66" s="22"/>
      <c r="S66" s="22"/>
      <c r="T66" s="22"/>
      <c r="U66" s="22"/>
      <c r="V66" s="22"/>
      <c r="W66" s="22"/>
      <c r="X66" s="22"/>
      <c r="Y66" s="22"/>
      <c r="Z66" s="22"/>
    </row>
    <row r="67" customFormat="false" ht="14.25" hidden="false" customHeight="true" outlineLevel="0" collapsed="false">
      <c r="A67" s="21"/>
      <c r="B67" s="21"/>
      <c r="C67" s="22"/>
      <c r="D67" s="22"/>
      <c r="E67" s="22"/>
      <c r="F67" s="22"/>
      <c r="G67" s="22"/>
      <c r="H67" s="22"/>
      <c r="I67" s="22"/>
      <c r="J67" s="22"/>
      <c r="K67" s="22"/>
      <c r="L67" s="22"/>
      <c r="M67" s="22"/>
      <c r="N67" s="22"/>
      <c r="O67" s="22"/>
      <c r="P67" s="22"/>
      <c r="Q67" s="22"/>
      <c r="R67" s="22"/>
      <c r="S67" s="22"/>
      <c r="T67" s="22"/>
      <c r="U67" s="22"/>
      <c r="V67" s="22"/>
      <c r="W67" s="22"/>
      <c r="X67" s="22"/>
      <c r="Y67" s="22"/>
      <c r="Z67" s="22"/>
    </row>
    <row r="68" customFormat="false" ht="14.25" hidden="false" customHeight="true" outlineLevel="0" collapsed="false">
      <c r="A68" s="21"/>
      <c r="B68" s="21"/>
      <c r="C68" s="22"/>
      <c r="D68" s="22"/>
      <c r="E68" s="22"/>
      <c r="F68" s="22"/>
      <c r="G68" s="22"/>
      <c r="H68" s="22"/>
      <c r="I68" s="22"/>
      <c r="J68" s="22"/>
      <c r="K68" s="22"/>
      <c r="L68" s="22"/>
      <c r="M68" s="22"/>
      <c r="N68" s="22"/>
      <c r="O68" s="22"/>
      <c r="P68" s="22"/>
      <c r="Q68" s="22"/>
      <c r="R68" s="22"/>
      <c r="S68" s="22"/>
      <c r="T68" s="22"/>
      <c r="U68" s="22"/>
      <c r="V68" s="22"/>
      <c r="W68" s="22"/>
      <c r="X68" s="22"/>
      <c r="Y68" s="22"/>
      <c r="Z68" s="22"/>
    </row>
    <row r="69" customFormat="false" ht="14.25" hidden="false" customHeight="true" outlineLevel="0" collapsed="false">
      <c r="A69" s="21"/>
      <c r="B69" s="21"/>
      <c r="C69" s="22"/>
      <c r="D69" s="22"/>
      <c r="E69" s="22"/>
      <c r="F69" s="22"/>
      <c r="G69" s="22"/>
      <c r="H69" s="22"/>
      <c r="I69" s="22"/>
      <c r="J69" s="22"/>
      <c r="K69" s="22"/>
      <c r="L69" s="22"/>
      <c r="M69" s="22"/>
      <c r="N69" s="22"/>
      <c r="O69" s="22"/>
      <c r="P69" s="22"/>
      <c r="Q69" s="22"/>
      <c r="R69" s="22"/>
      <c r="S69" s="22"/>
      <c r="T69" s="22"/>
      <c r="U69" s="22"/>
      <c r="V69" s="22"/>
      <c r="W69" s="22"/>
      <c r="X69" s="22"/>
      <c r="Y69" s="22"/>
      <c r="Z69" s="22"/>
    </row>
    <row r="70" customFormat="false" ht="14.25" hidden="false" customHeight="true" outlineLevel="0" collapsed="false">
      <c r="A70" s="21"/>
      <c r="B70" s="21"/>
      <c r="C70" s="22"/>
      <c r="D70" s="22"/>
      <c r="E70" s="22"/>
      <c r="F70" s="22"/>
      <c r="G70" s="22"/>
      <c r="H70" s="22"/>
      <c r="I70" s="22"/>
      <c r="J70" s="22"/>
      <c r="K70" s="22"/>
      <c r="L70" s="22"/>
      <c r="M70" s="22"/>
      <c r="N70" s="22"/>
      <c r="O70" s="22"/>
      <c r="P70" s="22"/>
      <c r="Q70" s="22"/>
      <c r="R70" s="22"/>
      <c r="S70" s="22"/>
      <c r="T70" s="22"/>
      <c r="U70" s="22"/>
      <c r="V70" s="22"/>
      <c r="W70" s="22"/>
      <c r="X70" s="22"/>
      <c r="Y70" s="22"/>
      <c r="Z70" s="22"/>
    </row>
    <row r="71" customFormat="false" ht="14.25" hidden="false" customHeight="true" outlineLevel="0" collapsed="false">
      <c r="A71" s="21"/>
      <c r="B71" s="21"/>
      <c r="C71" s="22"/>
      <c r="D71" s="22"/>
      <c r="E71" s="22"/>
      <c r="F71" s="22"/>
      <c r="G71" s="22"/>
      <c r="H71" s="22"/>
      <c r="I71" s="22"/>
      <c r="J71" s="22"/>
      <c r="K71" s="22"/>
      <c r="L71" s="22"/>
      <c r="M71" s="22"/>
      <c r="N71" s="22"/>
      <c r="O71" s="22"/>
      <c r="P71" s="22"/>
      <c r="Q71" s="22"/>
      <c r="R71" s="22"/>
      <c r="S71" s="22"/>
      <c r="T71" s="22"/>
      <c r="U71" s="22"/>
      <c r="V71" s="22"/>
      <c r="W71" s="22"/>
      <c r="X71" s="22"/>
      <c r="Y71" s="22"/>
      <c r="Z71" s="22"/>
    </row>
    <row r="72" customFormat="false" ht="14.25" hidden="false" customHeight="true" outlineLevel="0" collapsed="false">
      <c r="A72" s="21"/>
      <c r="B72" s="21"/>
      <c r="C72" s="22"/>
      <c r="D72" s="22"/>
      <c r="E72" s="22"/>
      <c r="F72" s="22"/>
      <c r="G72" s="22"/>
      <c r="H72" s="22"/>
      <c r="I72" s="22"/>
      <c r="J72" s="22"/>
      <c r="K72" s="22"/>
      <c r="L72" s="22"/>
      <c r="M72" s="22"/>
      <c r="N72" s="22"/>
      <c r="O72" s="22"/>
      <c r="P72" s="22"/>
      <c r="Q72" s="22"/>
      <c r="R72" s="22"/>
      <c r="S72" s="22"/>
      <c r="T72" s="22"/>
      <c r="U72" s="22"/>
      <c r="V72" s="22"/>
      <c r="W72" s="22"/>
      <c r="X72" s="22"/>
      <c r="Y72" s="22"/>
      <c r="Z72" s="22"/>
    </row>
    <row r="73" customFormat="false" ht="14.25" hidden="false" customHeight="true" outlineLevel="0" collapsed="false">
      <c r="A73" s="21"/>
      <c r="B73" s="21"/>
      <c r="C73" s="22"/>
      <c r="D73" s="22"/>
      <c r="E73" s="22"/>
      <c r="F73" s="22"/>
      <c r="G73" s="22"/>
      <c r="H73" s="22"/>
      <c r="I73" s="22"/>
      <c r="J73" s="22"/>
      <c r="K73" s="22"/>
      <c r="L73" s="22"/>
      <c r="M73" s="22"/>
      <c r="N73" s="22"/>
      <c r="O73" s="22"/>
      <c r="P73" s="22"/>
      <c r="Q73" s="22"/>
      <c r="R73" s="22"/>
      <c r="S73" s="22"/>
      <c r="T73" s="22"/>
      <c r="U73" s="22"/>
      <c r="V73" s="22"/>
      <c r="W73" s="22"/>
      <c r="X73" s="22"/>
      <c r="Y73" s="22"/>
      <c r="Z73" s="22"/>
    </row>
    <row r="74" customFormat="false" ht="14.25" hidden="false" customHeight="true" outlineLevel="0" collapsed="false">
      <c r="A74" s="21"/>
      <c r="B74" s="21"/>
      <c r="C74" s="22"/>
      <c r="D74" s="22"/>
      <c r="E74" s="22"/>
      <c r="F74" s="22"/>
      <c r="G74" s="22"/>
      <c r="H74" s="22"/>
      <c r="I74" s="22"/>
      <c r="J74" s="22"/>
      <c r="K74" s="22"/>
      <c r="L74" s="22"/>
      <c r="M74" s="22"/>
      <c r="N74" s="22"/>
      <c r="O74" s="22"/>
      <c r="P74" s="22"/>
      <c r="Q74" s="22"/>
      <c r="R74" s="22"/>
      <c r="S74" s="22"/>
      <c r="T74" s="22"/>
      <c r="U74" s="22"/>
      <c r="V74" s="22"/>
      <c r="W74" s="22"/>
      <c r="X74" s="22"/>
      <c r="Y74" s="22"/>
      <c r="Z74" s="22"/>
    </row>
    <row r="75" customFormat="false" ht="14.25" hidden="false" customHeight="true" outlineLevel="0" collapsed="false">
      <c r="A75" s="21"/>
      <c r="B75" s="21"/>
      <c r="C75" s="22"/>
      <c r="D75" s="22"/>
      <c r="E75" s="22"/>
      <c r="F75" s="22"/>
      <c r="G75" s="22"/>
      <c r="H75" s="22"/>
      <c r="I75" s="22"/>
      <c r="J75" s="22"/>
      <c r="K75" s="22"/>
      <c r="L75" s="22"/>
      <c r="M75" s="22"/>
      <c r="N75" s="22"/>
      <c r="O75" s="22"/>
      <c r="P75" s="22"/>
      <c r="Q75" s="22"/>
      <c r="R75" s="22"/>
      <c r="S75" s="22"/>
      <c r="T75" s="22"/>
      <c r="U75" s="22"/>
      <c r="V75" s="22"/>
      <c r="W75" s="22"/>
      <c r="X75" s="22"/>
      <c r="Y75" s="22"/>
      <c r="Z75" s="22"/>
    </row>
    <row r="76" customFormat="false" ht="14.25" hidden="false" customHeight="true" outlineLevel="0" collapsed="false">
      <c r="A76" s="21"/>
      <c r="B76" s="21"/>
      <c r="C76" s="22"/>
      <c r="D76" s="22"/>
      <c r="E76" s="22"/>
      <c r="F76" s="22"/>
      <c r="G76" s="22"/>
      <c r="H76" s="22"/>
      <c r="I76" s="22"/>
      <c r="J76" s="22"/>
      <c r="K76" s="22"/>
      <c r="L76" s="22"/>
      <c r="M76" s="22"/>
      <c r="N76" s="22"/>
      <c r="O76" s="22"/>
      <c r="P76" s="22"/>
      <c r="Q76" s="22"/>
      <c r="R76" s="22"/>
      <c r="S76" s="22"/>
      <c r="T76" s="22"/>
      <c r="U76" s="22"/>
      <c r="V76" s="22"/>
      <c r="W76" s="22"/>
      <c r="X76" s="22"/>
      <c r="Y76" s="22"/>
      <c r="Z76" s="22"/>
    </row>
    <row r="77" customFormat="false" ht="14.25" hidden="false" customHeight="true" outlineLevel="0" collapsed="false">
      <c r="A77" s="21"/>
      <c r="B77" s="21"/>
      <c r="C77" s="22"/>
      <c r="D77" s="22"/>
      <c r="E77" s="22"/>
      <c r="F77" s="22"/>
      <c r="G77" s="22"/>
      <c r="H77" s="22"/>
      <c r="I77" s="22"/>
      <c r="J77" s="22"/>
      <c r="K77" s="22"/>
      <c r="L77" s="22"/>
      <c r="M77" s="22"/>
      <c r="N77" s="22"/>
      <c r="O77" s="22"/>
      <c r="P77" s="22"/>
      <c r="Q77" s="22"/>
      <c r="R77" s="22"/>
      <c r="S77" s="22"/>
      <c r="T77" s="22"/>
      <c r="U77" s="22"/>
      <c r="V77" s="22"/>
      <c r="W77" s="22"/>
      <c r="X77" s="22"/>
      <c r="Y77" s="22"/>
      <c r="Z77" s="22"/>
    </row>
    <row r="78" customFormat="false" ht="14.25" hidden="false" customHeight="true" outlineLevel="0" collapsed="false">
      <c r="A78" s="21"/>
      <c r="B78" s="21"/>
      <c r="C78" s="22"/>
      <c r="D78" s="22"/>
      <c r="E78" s="22"/>
      <c r="F78" s="22"/>
      <c r="G78" s="22"/>
      <c r="H78" s="22"/>
      <c r="I78" s="22"/>
      <c r="J78" s="22"/>
      <c r="K78" s="22"/>
      <c r="L78" s="22"/>
      <c r="M78" s="22"/>
      <c r="N78" s="22"/>
      <c r="O78" s="22"/>
      <c r="P78" s="22"/>
      <c r="Q78" s="22"/>
      <c r="R78" s="22"/>
      <c r="S78" s="22"/>
      <c r="T78" s="22"/>
      <c r="U78" s="22"/>
      <c r="V78" s="22"/>
      <c r="W78" s="22"/>
      <c r="X78" s="22"/>
      <c r="Y78" s="22"/>
      <c r="Z78" s="22"/>
    </row>
    <row r="79" customFormat="false" ht="14.25" hidden="false" customHeight="true" outlineLevel="0" collapsed="false">
      <c r="A79" s="21"/>
      <c r="B79" s="21"/>
      <c r="C79" s="22"/>
      <c r="D79" s="22"/>
      <c r="E79" s="22"/>
      <c r="F79" s="22"/>
      <c r="G79" s="22"/>
      <c r="H79" s="22"/>
      <c r="I79" s="22"/>
      <c r="J79" s="22"/>
      <c r="K79" s="22"/>
      <c r="L79" s="22"/>
      <c r="M79" s="22"/>
      <c r="N79" s="22"/>
      <c r="O79" s="22"/>
      <c r="P79" s="22"/>
      <c r="Q79" s="22"/>
      <c r="R79" s="22"/>
      <c r="S79" s="22"/>
      <c r="T79" s="22"/>
      <c r="U79" s="22"/>
      <c r="V79" s="22"/>
      <c r="W79" s="22"/>
      <c r="X79" s="22"/>
      <c r="Y79" s="22"/>
      <c r="Z79" s="22"/>
    </row>
    <row r="80" customFormat="false" ht="14.25" hidden="false" customHeight="true" outlineLevel="0" collapsed="false">
      <c r="A80" s="21"/>
      <c r="B80" s="21"/>
      <c r="C80" s="22"/>
      <c r="D80" s="22"/>
      <c r="E80" s="22"/>
      <c r="F80" s="22"/>
      <c r="G80" s="22"/>
      <c r="H80" s="22"/>
      <c r="I80" s="22"/>
      <c r="J80" s="22"/>
      <c r="K80" s="22"/>
      <c r="L80" s="22"/>
      <c r="M80" s="22"/>
      <c r="N80" s="22"/>
      <c r="O80" s="22"/>
      <c r="P80" s="22"/>
      <c r="Q80" s="22"/>
      <c r="R80" s="22"/>
      <c r="S80" s="22"/>
      <c r="T80" s="22"/>
      <c r="U80" s="22"/>
      <c r="V80" s="22"/>
      <c r="W80" s="22"/>
      <c r="X80" s="22"/>
      <c r="Y80" s="22"/>
      <c r="Z80" s="22"/>
    </row>
    <row r="81" customFormat="false" ht="14.25" hidden="false" customHeight="true" outlineLevel="0" collapsed="false">
      <c r="A81" s="21"/>
      <c r="B81" s="21"/>
      <c r="C81" s="22"/>
      <c r="D81" s="22"/>
      <c r="E81" s="22"/>
      <c r="F81" s="22"/>
      <c r="G81" s="22"/>
      <c r="H81" s="22"/>
      <c r="I81" s="22"/>
      <c r="J81" s="22"/>
      <c r="K81" s="22"/>
      <c r="L81" s="22"/>
      <c r="M81" s="22"/>
      <c r="N81" s="22"/>
      <c r="O81" s="22"/>
      <c r="P81" s="22"/>
      <c r="Q81" s="22"/>
      <c r="R81" s="22"/>
      <c r="S81" s="22"/>
      <c r="T81" s="22"/>
      <c r="U81" s="22"/>
      <c r="V81" s="22"/>
      <c r="W81" s="22"/>
      <c r="X81" s="22"/>
      <c r="Y81" s="22"/>
      <c r="Z81" s="22"/>
    </row>
    <row r="82" customFormat="false" ht="14.25" hidden="false" customHeight="true" outlineLevel="0" collapsed="false">
      <c r="A82" s="21"/>
      <c r="B82" s="21"/>
      <c r="C82" s="22"/>
      <c r="D82" s="22"/>
      <c r="E82" s="22"/>
      <c r="F82" s="22"/>
      <c r="G82" s="22"/>
      <c r="H82" s="22"/>
      <c r="I82" s="22"/>
      <c r="J82" s="22"/>
      <c r="K82" s="22"/>
      <c r="L82" s="22"/>
      <c r="M82" s="22"/>
      <c r="N82" s="22"/>
      <c r="O82" s="22"/>
      <c r="P82" s="22"/>
      <c r="Q82" s="22"/>
      <c r="R82" s="22"/>
      <c r="S82" s="22"/>
      <c r="T82" s="22"/>
      <c r="U82" s="22"/>
      <c r="V82" s="22"/>
      <c r="W82" s="22"/>
      <c r="X82" s="22"/>
      <c r="Y82" s="22"/>
      <c r="Z82" s="22"/>
    </row>
    <row r="83" customFormat="false" ht="14.25" hidden="false" customHeight="true" outlineLevel="0" collapsed="false">
      <c r="A83" s="21"/>
      <c r="B83" s="21"/>
      <c r="C83" s="22"/>
      <c r="D83" s="22"/>
      <c r="E83" s="22"/>
      <c r="F83" s="22"/>
      <c r="G83" s="22"/>
      <c r="H83" s="22"/>
      <c r="I83" s="22"/>
      <c r="J83" s="22"/>
      <c r="K83" s="22"/>
      <c r="L83" s="22"/>
      <c r="M83" s="22"/>
      <c r="N83" s="22"/>
      <c r="O83" s="22"/>
      <c r="P83" s="22"/>
      <c r="Q83" s="22"/>
      <c r="R83" s="22"/>
      <c r="S83" s="22"/>
      <c r="T83" s="22"/>
      <c r="U83" s="22"/>
      <c r="V83" s="22"/>
      <c r="W83" s="22"/>
      <c r="X83" s="22"/>
      <c r="Y83" s="22"/>
      <c r="Z83" s="22"/>
    </row>
    <row r="84" customFormat="false" ht="14.25" hidden="false" customHeight="true" outlineLevel="0" collapsed="false">
      <c r="A84" s="21"/>
      <c r="B84" s="21"/>
      <c r="C84" s="22"/>
      <c r="D84" s="22"/>
      <c r="E84" s="22"/>
      <c r="F84" s="22"/>
      <c r="G84" s="22"/>
      <c r="H84" s="22"/>
      <c r="I84" s="22"/>
      <c r="J84" s="22"/>
      <c r="K84" s="22"/>
      <c r="L84" s="22"/>
      <c r="M84" s="22"/>
      <c r="N84" s="22"/>
      <c r="O84" s="22"/>
      <c r="P84" s="22"/>
      <c r="Q84" s="22"/>
      <c r="R84" s="22"/>
      <c r="S84" s="22"/>
      <c r="T84" s="22"/>
      <c r="U84" s="22"/>
      <c r="V84" s="22"/>
      <c r="W84" s="22"/>
      <c r="X84" s="22"/>
      <c r="Y84" s="22"/>
      <c r="Z84" s="22"/>
    </row>
    <row r="85" customFormat="false" ht="14.25" hidden="false" customHeight="true" outlineLevel="0" collapsed="false">
      <c r="A85" s="21"/>
      <c r="B85" s="21"/>
      <c r="C85" s="22"/>
      <c r="D85" s="22"/>
      <c r="E85" s="22"/>
      <c r="F85" s="22"/>
      <c r="G85" s="22"/>
      <c r="H85" s="22"/>
      <c r="I85" s="22"/>
      <c r="J85" s="22"/>
      <c r="K85" s="22"/>
      <c r="L85" s="22"/>
      <c r="M85" s="22"/>
      <c r="N85" s="22"/>
      <c r="O85" s="22"/>
      <c r="P85" s="22"/>
      <c r="Q85" s="22"/>
      <c r="R85" s="22"/>
      <c r="S85" s="22"/>
      <c r="T85" s="22"/>
      <c r="U85" s="22"/>
      <c r="V85" s="22"/>
      <c r="W85" s="22"/>
      <c r="X85" s="22"/>
      <c r="Y85" s="22"/>
      <c r="Z85" s="22"/>
    </row>
    <row r="86" customFormat="false" ht="14.25" hidden="false" customHeight="true" outlineLevel="0" collapsed="false">
      <c r="A86" s="21"/>
      <c r="B86" s="21"/>
      <c r="C86" s="22"/>
      <c r="D86" s="22"/>
      <c r="E86" s="22"/>
      <c r="F86" s="22"/>
      <c r="G86" s="22"/>
      <c r="H86" s="22"/>
      <c r="I86" s="22"/>
      <c r="J86" s="22"/>
      <c r="K86" s="22"/>
      <c r="L86" s="22"/>
      <c r="M86" s="22"/>
      <c r="N86" s="22"/>
      <c r="O86" s="22"/>
      <c r="P86" s="22"/>
      <c r="Q86" s="22"/>
      <c r="R86" s="22"/>
      <c r="S86" s="22"/>
      <c r="T86" s="22"/>
      <c r="U86" s="22"/>
      <c r="V86" s="22"/>
      <c r="W86" s="22"/>
      <c r="X86" s="22"/>
      <c r="Y86" s="22"/>
      <c r="Z86" s="22"/>
    </row>
    <row r="87" customFormat="false" ht="14.25" hidden="false" customHeight="true" outlineLevel="0" collapsed="false">
      <c r="A87" s="21"/>
      <c r="B87" s="21"/>
      <c r="C87" s="22"/>
      <c r="D87" s="22"/>
      <c r="E87" s="22"/>
      <c r="F87" s="22"/>
      <c r="G87" s="22"/>
      <c r="H87" s="22"/>
      <c r="I87" s="22"/>
      <c r="J87" s="22"/>
      <c r="K87" s="22"/>
      <c r="L87" s="22"/>
      <c r="M87" s="22"/>
      <c r="N87" s="22"/>
      <c r="O87" s="22"/>
      <c r="P87" s="22"/>
      <c r="Q87" s="22"/>
      <c r="R87" s="22"/>
      <c r="S87" s="22"/>
      <c r="T87" s="22"/>
      <c r="U87" s="22"/>
      <c r="V87" s="22"/>
      <c r="W87" s="22"/>
      <c r="X87" s="22"/>
      <c r="Y87" s="22"/>
      <c r="Z87" s="22"/>
    </row>
    <row r="88" customFormat="false" ht="14.25" hidden="false" customHeight="true" outlineLevel="0" collapsed="false">
      <c r="A88" s="21"/>
      <c r="B88" s="21"/>
      <c r="C88" s="22"/>
      <c r="D88" s="22"/>
      <c r="E88" s="22"/>
      <c r="F88" s="22"/>
      <c r="G88" s="22"/>
      <c r="H88" s="22"/>
      <c r="I88" s="22"/>
      <c r="J88" s="22"/>
      <c r="K88" s="22"/>
      <c r="L88" s="22"/>
      <c r="M88" s="22"/>
      <c r="N88" s="22"/>
      <c r="O88" s="22"/>
      <c r="P88" s="22"/>
      <c r="Q88" s="22"/>
      <c r="R88" s="22"/>
      <c r="S88" s="22"/>
      <c r="T88" s="22"/>
      <c r="U88" s="22"/>
      <c r="V88" s="22"/>
      <c r="W88" s="22"/>
      <c r="X88" s="22"/>
      <c r="Y88" s="22"/>
      <c r="Z88" s="22"/>
    </row>
    <row r="89" customFormat="false" ht="14.25" hidden="false" customHeight="true" outlineLevel="0" collapsed="false">
      <c r="A89" s="21"/>
      <c r="B89" s="21"/>
      <c r="C89" s="22"/>
      <c r="D89" s="22"/>
      <c r="E89" s="22"/>
      <c r="F89" s="22"/>
      <c r="G89" s="22"/>
      <c r="H89" s="22"/>
      <c r="I89" s="22"/>
      <c r="J89" s="22"/>
      <c r="K89" s="22"/>
      <c r="L89" s="22"/>
      <c r="M89" s="22"/>
      <c r="N89" s="22"/>
      <c r="O89" s="22"/>
      <c r="P89" s="22"/>
      <c r="Q89" s="22"/>
      <c r="R89" s="22"/>
      <c r="S89" s="22"/>
      <c r="T89" s="22"/>
      <c r="U89" s="22"/>
      <c r="V89" s="22"/>
      <c r="W89" s="22"/>
      <c r="X89" s="22"/>
      <c r="Y89" s="22"/>
      <c r="Z89" s="22"/>
    </row>
    <row r="90" customFormat="false" ht="14.25" hidden="false" customHeight="true" outlineLevel="0" collapsed="false">
      <c r="A90" s="21"/>
      <c r="B90" s="21"/>
      <c r="C90" s="22"/>
      <c r="D90" s="22"/>
      <c r="E90" s="22"/>
      <c r="F90" s="22"/>
      <c r="G90" s="22"/>
      <c r="H90" s="22"/>
      <c r="I90" s="22"/>
      <c r="J90" s="22"/>
      <c r="K90" s="22"/>
      <c r="L90" s="22"/>
      <c r="M90" s="22"/>
      <c r="N90" s="22"/>
      <c r="O90" s="22"/>
      <c r="P90" s="22"/>
      <c r="Q90" s="22"/>
      <c r="R90" s="22"/>
      <c r="S90" s="22"/>
      <c r="T90" s="22"/>
      <c r="U90" s="22"/>
      <c r="V90" s="22"/>
      <c r="W90" s="22"/>
      <c r="X90" s="22"/>
      <c r="Y90" s="22"/>
      <c r="Z90" s="22"/>
    </row>
    <row r="91" customFormat="false" ht="14.25" hidden="false" customHeight="true" outlineLevel="0" collapsed="false">
      <c r="A91" s="21"/>
      <c r="B91" s="21"/>
      <c r="C91" s="22"/>
      <c r="D91" s="22"/>
      <c r="E91" s="22"/>
      <c r="F91" s="22"/>
      <c r="G91" s="22"/>
      <c r="H91" s="22"/>
      <c r="I91" s="22"/>
      <c r="J91" s="22"/>
      <c r="K91" s="22"/>
      <c r="L91" s="22"/>
      <c r="M91" s="22"/>
      <c r="N91" s="22"/>
      <c r="O91" s="22"/>
      <c r="P91" s="22"/>
      <c r="Q91" s="22"/>
      <c r="R91" s="22"/>
      <c r="S91" s="22"/>
      <c r="T91" s="22"/>
      <c r="U91" s="22"/>
      <c r="V91" s="22"/>
      <c r="W91" s="22"/>
      <c r="X91" s="22"/>
      <c r="Y91" s="22"/>
      <c r="Z91" s="22"/>
    </row>
    <row r="92" customFormat="false" ht="14.25" hidden="false" customHeight="true" outlineLevel="0" collapsed="false">
      <c r="A92" s="21"/>
      <c r="B92" s="21"/>
      <c r="C92" s="22"/>
      <c r="D92" s="22"/>
      <c r="E92" s="22"/>
      <c r="F92" s="22"/>
      <c r="G92" s="22"/>
      <c r="H92" s="22"/>
      <c r="I92" s="22"/>
      <c r="J92" s="22"/>
      <c r="K92" s="22"/>
      <c r="L92" s="22"/>
      <c r="M92" s="22"/>
      <c r="N92" s="22"/>
      <c r="O92" s="22"/>
      <c r="P92" s="22"/>
      <c r="Q92" s="22"/>
      <c r="R92" s="22"/>
      <c r="S92" s="22"/>
      <c r="T92" s="22"/>
      <c r="U92" s="22"/>
      <c r="V92" s="22"/>
      <c r="W92" s="22"/>
      <c r="X92" s="22"/>
      <c r="Y92" s="22"/>
      <c r="Z92" s="22"/>
    </row>
    <row r="93" customFormat="false" ht="14.25" hidden="false" customHeight="true" outlineLevel="0" collapsed="false">
      <c r="A93" s="21"/>
      <c r="B93" s="21"/>
      <c r="C93" s="22"/>
      <c r="D93" s="22"/>
      <c r="E93" s="22"/>
      <c r="F93" s="22"/>
      <c r="G93" s="22"/>
      <c r="H93" s="22"/>
      <c r="I93" s="22"/>
      <c r="J93" s="22"/>
      <c r="K93" s="22"/>
      <c r="L93" s="22"/>
      <c r="M93" s="22"/>
      <c r="N93" s="22"/>
      <c r="O93" s="22"/>
      <c r="P93" s="22"/>
      <c r="Q93" s="22"/>
      <c r="R93" s="22"/>
      <c r="S93" s="22"/>
      <c r="T93" s="22"/>
      <c r="U93" s="22"/>
      <c r="V93" s="22"/>
      <c r="W93" s="22"/>
      <c r="X93" s="22"/>
      <c r="Y93" s="22"/>
      <c r="Z93" s="22"/>
    </row>
    <row r="94" customFormat="false" ht="14.25" hidden="false" customHeight="true" outlineLevel="0" collapsed="false">
      <c r="A94" s="21"/>
      <c r="B94" s="21"/>
      <c r="C94" s="22"/>
      <c r="D94" s="22"/>
      <c r="E94" s="22"/>
      <c r="F94" s="22"/>
      <c r="G94" s="22"/>
      <c r="H94" s="22"/>
      <c r="I94" s="22"/>
      <c r="J94" s="22"/>
      <c r="K94" s="22"/>
      <c r="L94" s="22"/>
      <c r="M94" s="22"/>
      <c r="N94" s="22"/>
      <c r="O94" s="22"/>
      <c r="P94" s="22"/>
      <c r="Q94" s="22"/>
      <c r="R94" s="22"/>
      <c r="S94" s="22"/>
      <c r="T94" s="22"/>
      <c r="U94" s="22"/>
      <c r="V94" s="22"/>
      <c r="W94" s="22"/>
      <c r="X94" s="22"/>
      <c r="Y94" s="22"/>
      <c r="Z94" s="22"/>
    </row>
    <row r="95" customFormat="false" ht="14.25" hidden="false" customHeight="true" outlineLevel="0" collapsed="false">
      <c r="A95" s="21"/>
      <c r="B95" s="21"/>
      <c r="C95" s="22"/>
      <c r="D95" s="22"/>
      <c r="E95" s="22"/>
      <c r="F95" s="22"/>
      <c r="G95" s="22"/>
      <c r="H95" s="22"/>
      <c r="I95" s="22"/>
      <c r="J95" s="22"/>
      <c r="K95" s="22"/>
      <c r="L95" s="22"/>
      <c r="M95" s="22"/>
      <c r="N95" s="22"/>
      <c r="O95" s="22"/>
      <c r="P95" s="22"/>
      <c r="Q95" s="22"/>
      <c r="R95" s="22"/>
      <c r="S95" s="22"/>
      <c r="T95" s="22"/>
      <c r="U95" s="22"/>
      <c r="V95" s="22"/>
      <c r="W95" s="22"/>
      <c r="X95" s="22"/>
      <c r="Y95" s="22"/>
      <c r="Z95" s="22"/>
    </row>
    <row r="96" customFormat="false" ht="14.25" hidden="false" customHeight="true" outlineLevel="0" collapsed="false">
      <c r="A96" s="21"/>
      <c r="B96" s="21"/>
      <c r="C96" s="22"/>
      <c r="D96" s="22"/>
      <c r="E96" s="22"/>
      <c r="F96" s="22"/>
      <c r="G96" s="22"/>
      <c r="H96" s="22"/>
      <c r="I96" s="22"/>
      <c r="J96" s="22"/>
      <c r="K96" s="22"/>
      <c r="L96" s="22"/>
      <c r="M96" s="22"/>
      <c r="N96" s="22"/>
      <c r="O96" s="22"/>
      <c r="P96" s="22"/>
      <c r="Q96" s="22"/>
      <c r="R96" s="22"/>
      <c r="S96" s="22"/>
      <c r="T96" s="22"/>
      <c r="U96" s="22"/>
      <c r="V96" s="22"/>
      <c r="W96" s="22"/>
      <c r="X96" s="22"/>
      <c r="Y96" s="22"/>
      <c r="Z96" s="22"/>
    </row>
    <row r="97" customFormat="false" ht="14.25" hidden="false" customHeight="true" outlineLevel="0" collapsed="false">
      <c r="A97" s="21"/>
      <c r="B97" s="21"/>
      <c r="C97" s="22"/>
      <c r="D97" s="22"/>
      <c r="E97" s="22"/>
      <c r="F97" s="22"/>
      <c r="G97" s="22"/>
      <c r="H97" s="22"/>
      <c r="I97" s="22"/>
      <c r="J97" s="22"/>
      <c r="K97" s="22"/>
      <c r="L97" s="22"/>
      <c r="M97" s="22"/>
      <c r="N97" s="22"/>
      <c r="O97" s="22"/>
      <c r="P97" s="22"/>
      <c r="Q97" s="22"/>
      <c r="R97" s="22"/>
      <c r="S97" s="22"/>
      <c r="T97" s="22"/>
      <c r="U97" s="22"/>
      <c r="V97" s="22"/>
      <c r="W97" s="22"/>
      <c r="X97" s="22"/>
      <c r="Y97" s="22"/>
      <c r="Z97" s="22"/>
    </row>
    <row r="98" customFormat="false" ht="14.25" hidden="false" customHeight="true" outlineLevel="0" collapsed="false">
      <c r="A98" s="21"/>
      <c r="B98" s="21"/>
      <c r="C98" s="22"/>
      <c r="D98" s="22"/>
      <c r="E98" s="22"/>
      <c r="F98" s="22"/>
      <c r="G98" s="22"/>
      <c r="H98" s="22"/>
      <c r="I98" s="22"/>
      <c r="J98" s="22"/>
      <c r="K98" s="22"/>
      <c r="L98" s="22"/>
      <c r="M98" s="22"/>
      <c r="N98" s="22"/>
      <c r="O98" s="22"/>
      <c r="P98" s="22"/>
      <c r="Q98" s="22"/>
      <c r="R98" s="22"/>
      <c r="S98" s="22"/>
      <c r="T98" s="22"/>
      <c r="U98" s="22"/>
      <c r="V98" s="22"/>
      <c r="W98" s="22"/>
      <c r="X98" s="22"/>
      <c r="Y98" s="22"/>
      <c r="Z98" s="22"/>
    </row>
    <row r="99" customFormat="false" ht="14.25" hidden="false" customHeight="true" outlineLevel="0" collapsed="false">
      <c r="A99" s="21"/>
      <c r="B99" s="21"/>
      <c r="C99" s="22"/>
      <c r="D99" s="22"/>
      <c r="E99" s="22"/>
      <c r="F99" s="22"/>
      <c r="G99" s="22"/>
      <c r="H99" s="22"/>
      <c r="I99" s="22"/>
      <c r="J99" s="22"/>
      <c r="K99" s="22"/>
      <c r="L99" s="22"/>
      <c r="M99" s="22"/>
      <c r="N99" s="22"/>
      <c r="O99" s="22"/>
      <c r="P99" s="22"/>
      <c r="Q99" s="22"/>
      <c r="R99" s="22"/>
      <c r="S99" s="22"/>
      <c r="T99" s="22"/>
      <c r="U99" s="22"/>
      <c r="V99" s="22"/>
      <c r="W99" s="22"/>
      <c r="X99" s="22"/>
      <c r="Y99" s="22"/>
      <c r="Z99" s="22"/>
    </row>
    <row r="100" customFormat="false" ht="14.25" hidden="false" customHeight="true" outlineLevel="0" collapsed="false">
      <c r="A100" s="21"/>
      <c r="B100" s="21"/>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ustomFormat="false" ht="14.25" hidden="false" customHeight="true" outlineLevel="0" collapsed="false">
      <c r="A101" s="21"/>
      <c r="B101" s="21"/>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ustomFormat="false" ht="14.25" hidden="false" customHeight="true" outlineLevel="0" collapsed="false">
      <c r="A102" s="21"/>
      <c r="B102" s="21"/>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ustomFormat="false" ht="14.25" hidden="false" customHeight="true" outlineLevel="0" collapsed="false">
      <c r="A103" s="21"/>
      <c r="B103" s="21"/>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ustomFormat="false" ht="14.25" hidden="false" customHeight="true" outlineLevel="0" collapsed="false">
      <c r="A104" s="21"/>
      <c r="B104" s="21"/>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ustomFormat="false" ht="14.25" hidden="false" customHeight="true" outlineLevel="0" collapsed="false">
      <c r="A105" s="21"/>
      <c r="B105" s="21"/>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ustomFormat="false" ht="14.25" hidden="false" customHeight="true" outlineLevel="0" collapsed="false">
      <c r="A106" s="21"/>
      <c r="B106" s="21"/>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ustomFormat="false" ht="14.25" hidden="false" customHeight="true" outlineLevel="0" collapsed="false">
      <c r="A107" s="21"/>
      <c r="B107" s="21"/>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ustomFormat="false" ht="14.25" hidden="false" customHeight="true" outlineLevel="0" collapsed="false">
      <c r="A108" s="21"/>
      <c r="B108" s="21"/>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ustomFormat="false" ht="14.25" hidden="false" customHeight="true" outlineLevel="0" collapsed="false">
      <c r="A109" s="21"/>
      <c r="B109" s="21"/>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ustomFormat="false" ht="14.25" hidden="false" customHeight="true" outlineLevel="0" collapsed="false">
      <c r="A110" s="21"/>
      <c r="B110" s="21"/>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ustomFormat="false" ht="14.25" hidden="false" customHeight="true" outlineLevel="0" collapsed="false">
      <c r="A111" s="21"/>
      <c r="B111" s="21"/>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ustomFormat="false" ht="14.25" hidden="false" customHeight="true" outlineLevel="0" collapsed="false">
      <c r="A112" s="21"/>
      <c r="B112" s="21"/>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ustomFormat="false" ht="14.25" hidden="false" customHeight="true" outlineLevel="0" collapsed="false">
      <c r="A113" s="21"/>
      <c r="B113" s="21"/>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ustomFormat="false" ht="14.25" hidden="false" customHeight="true" outlineLevel="0" collapsed="false">
      <c r="A114" s="21"/>
      <c r="B114" s="21"/>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ustomFormat="false" ht="14.25" hidden="false" customHeight="true" outlineLevel="0" collapsed="false">
      <c r="A115" s="21"/>
      <c r="B115" s="21"/>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ustomFormat="false" ht="14.25" hidden="false" customHeight="true" outlineLevel="0" collapsed="false">
      <c r="A116" s="21"/>
      <c r="B116" s="21"/>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ustomFormat="false" ht="14.25" hidden="false" customHeight="true" outlineLevel="0" collapsed="false">
      <c r="A117" s="21"/>
      <c r="B117" s="21"/>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ustomFormat="false" ht="14.25" hidden="false" customHeight="true" outlineLevel="0" collapsed="false">
      <c r="A118" s="21"/>
      <c r="B118" s="21"/>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ustomFormat="false" ht="14.25" hidden="false" customHeight="true" outlineLevel="0" collapsed="false">
      <c r="A119" s="21"/>
      <c r="B119" s="21"/>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ustomFormat="false" ht="14.25" hidden="false" customHeight="true" outlineLevel="0" collapsed="false">
      <c r="A120" s="21"/>
      <c r="B120" s="21"/>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ustomFormat="false" ht="14.25" hidden="false" customHeight="true" outlineLevel="0" collapsed="false">
      <c r="A121" s="21"/>
      <c r="B121" s="21"/>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ustomFormat="false" ht="14.25" hidden="false" customHeight="true" outlineLevel="0" collapsed="false">
      <c r="A122" s="21"/>
      <c r="B122" s="21"/>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ustomFormat="false" ht="14.25" hidden="false" customHeight="true" outlineLevel="0" collapsed="false">
      <c r="A123" s="21"/>
      <c r="B123" s="21"/>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ustomFormat="false" ht="14.25" hidden="false" customHeight="true" outlineLevel="0" collapsed="false">
      <c r="A124" s="21"/>
      <c r="B124" s="21"/>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ustomFormat="false" ht="14.25" hidden="false" customHeight="true" outlineLevel="0" collapsed="false">
      <c r="A125" s="21"/>
      <c r="B125" s="21"/>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ustomFormat="false" ht="14.25" hidden="false" customHeight="true" outlineLevel="0" collapsed="false">
      <c r="A126" s="21"/>
      <c r="B126" s="21"/>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ustomFormat="false" ht="14.25" hidden="false" customHeight="true" outlineLevel="0" collapsed="false">
      <c r="A127" s="21"/>
      <c r="B127" s="21"/>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ustomFormat="false" ht="14.25" hidden="false" customHeight="true" outlineLevel="0" collapsed="false">
      <c r="A128" s="21"/>
      <c r="B128" s="21"/>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ustomFormat="false" ht="14.25" hidden="false" customHeight="true" outlineLevel="0" collapsed="false">
      <c r="A129" s="21"/>
      <c r="B129" s="21"/>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ustomFormat="false" ht="14.25" hidden="false" customHeight="true" outlineLevel="0" collapsed="false">
      <c r="A130" s="21"/>
      <c r="B130" s="21"/>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ustomFormat="false" ht="14.25" hidden="false" customHeight="true" outlineLevel="0" collapsed="false">
      <c r="A131" s="21"/>
      <c r="B131" s="21"/>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ustomFormat="false" ht="14.25" hidden="false" customHeight="true" outlineLevel="0" collapsed="false">
      <c r="A132" s="21"/>
      <c r="B132" s="21"/>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ustomFormat="false" ht="14.25" hidden="false" customHeight="true" outlineLevel="0" collapsed="false">
      <c r="A133" s="21"/>
      <c r="B133" s="21"/>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ustomFormat="false" ht="14.25" hidden="false" customHeight="true" outlineLevel="0" collapsed="false">
      <c r="A134" s="21"/>
      <c r="B134" s="21"/>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ustomFormat="false" ht="14.25" hidden="false" customHeight="true" outlineLevel="0" collapsed="false">
      <c r="A135" s="21"/>
      <c r="B135" s="21"/>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ustomFormat="false" ht="14.25" hidden="false" customHeight="true" outlineLevel="0" collapsed="false">
      <c r="A136" s="21"/>
      <c r="B136" s="21"/>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ustomFormat="false" ht="14.25" hidden="false" customHeight="true" outlineLevel="0" collapsed="false">
      <c r="A137" s="21"/>
      <c r="B137" s="21"/>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ustomFormat="false" ht="14.25" hidden="false" customHeight="true" outlineLevel="0" collapsed="false">
      <c r="A138" s="21"/>
      <c r="B138" s="21"/>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ustomFormat="false" ht="14.25" hidden="false" customHeight="true" outlineLevel="0" collapsed="false">
      <c r="A139" s="21"/>
      <c r="B139" s="21"/>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ustomFormat="false" ht="14.25" hidden="false" customHeight="true" outlineLevel="0" collapsed="false">
      <c r="A140" s="21"/>
      <c r="B140" s="21"/>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ustomFormat="false" ht="14.25" hidden="false" customHeight="true" outlineLevel="0" collapsed="false">
      <c r="A141" s="21"/>
      <c r="B141" s="21"/>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ustomFormat="false" ht="14.25" hidden="false" customHeight="true" outlineLevel="0" collapsed="false">
      <c r="A142" s="21"/>
      <c r="B142" s="21"/>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ustomFormat="false" ht="14.25" hidden="false" customHeight="true" outlineLevel="0" collapsed="false">
      <c r="A143" s="21"/>
      <c r="B143" s="21"/>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ustomFormat="false" ht="14.25" hidden="false" customHeight="true" outlineLevel="0" collapsed="false">
      <c r="A144" s="21"/>
      <c r="B144" s="21"/>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ustomFormat="false" ht="14.25" hidden="false" customHeight="true" outlineLevel="0" collapsed="false">
      <c r="A145" s="21"/>
      <c r="B145" s="21"/>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ustomFormat="false" ht="14.25" hidden="false" customHeight="true" outlineLevel="0" collapsed="false">
      <c r="A146" s="21"/>
      <c r="B146" s="21"/>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ustomFormat="false" ht="14.25" hidden="false" customHeight="true" outlineLevel="0" collapsed="false">
      <c r="A147" s="21"/>
      <c r="B147" s="21"/>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ustomFormat="false" ht="14.25" hidden="false" customHeight="true" outlineLevel="0" collapsed="false">
      <c r="A148" s="21"/>
      <c r="B148" s="21"/>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ustomFormat="false" ht="14.25" hidden="false" customHeight="true" outlineLevel="0" collapsed="false">
      <c r="A149" s="21"/>
      <c r="B149" s="21"/>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ustomFormat="false" ht="14.25" hidden="false" customHeight="true" outlineLevel="0" collapsed="false">
      <c r="A150" s="21"/>
      <c r="B150" s="21"/>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ustomFormat="false" ht="14.25" hidden="false" customHeight="true" outlineLevel="0" collapsed="false">
      <c r="A151" s="21"/>
      <c r="B151" s="21"/>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ustomFormat="false" ht="14.25" hidden="false" customHeight="true" outlineLevel="0" collapsed="false">
      <c r="A152" s="21"/>
      <c r="B152" s="21"/>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ustomFormat="false" ht="14.25" hidden="false" customHeight="true" outlineLevel="0" collapsed="false">
      <c r="A153" s="21"/>
      <c r="B153" s="21"/>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ustomFormat="false" ht="14.25" hidden="false" customHeight="true" outlineLevel="0" collapsed="false">
      <c r="A154" s="21"/>
      <c r="B154" s="21"/>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ustomFormat="false" ht="14.25" hidden="false" customHeight="true" outlineLevel="0" collapsed="false">
      <c r="A155" s="21"/>
      <c r="B155" s="21"/>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ustomFormat="false" ht="14.25" hidden="false" customHeight="true" outlineLevel="0" collapsed="false">
      <c r="A156" s="21"/>
      <c r="B156" s="21"/>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ustomFormat="false" ht="14.25" hidden="false" customHeight="true" outlineLevel="0" collapsed="false">
      <c r="A157" s="21"/>
      <c r="B157" s="21"/>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ustomFormat="false" ht="14.25" hidden="false" customHeight="true" outlineLevel="0" collapsed="false">
      <c r="A158" s="21"/>
      <c r="B158" s="21"/>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ustomFormat="false" ht="14.25" hidden="false" customHeight="true" outlineLevel="0" collapsed="false">
      <c r="A159" s="21"/>
      <c r="B159" s="21"/>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ustomFormat="false" ht="14.25" hidden="false" customHeight="true" outlineLevel="0" collapsed="false">
      <c r="A160" s="21"/>
      <c r="B160" s="21"/>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ustomFormat="false" ht="14.25" hidden="false" customHeight="true" outlineLevel="0" collapsed="false">
      <c r="A161" s="21"/>
      <c r="B161" s="21"/>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ustomFormat="false" ht="14.25" hidden="false" customHeight="true" outlineLevel="0" collapsed="false">
      <c r="A162" s="21"/>
      <c r="B162" s="21"/>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ustomFormat="false" ht="14.25" hidden="false" customHeight="true" outlineLevel="0" collapsed="false">
      <c r="A163" s="21"/>
      <c r="B163" s="21"/>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ustomFormat="false" ht="14.25" hidden="false" customHeight="true" outlineLevel="0" collapsed="false">
      <c r="A164" s="21"/>
      <c r="B164" s="21"/>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ustomFormat="false" ht="14.25" hidden="false" customHeight="true" outlineLevel="0" collapsed="false">
      <c r="A165" s="21"/>
      <c r="B165" s="21"/>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ustomFormat="false" ht="14.25" hidden="false" customHeight="true" outlineLevel="0" collapsed="false">
      <c r="A166" s="21"/>
      <c r="B166" s="21"/>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ustomFormat="false" ht="14.25" hidden="false" customHeight="true" outlineLevel="0" collapsed="false">
      <c r="A167" s="21"/>
      <c r="B167" s="21"/>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ustomFormat="false" ht="14.25" hidden="false" customHeight="true" outlineLevel="0" collapsed="false">
      <c r="A168" s="21"/>
      <c r="B168" s="21"/>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ustomFormat="false" ht="14.25" hidden="false" customHeight="true" outlineLevel="0" collapsed="false">
      <c r="A169" s="21"/>
      <c r="B169" s="21"/>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ustomFormat="false" ht="14.25" hidden="false" customHeight="true" outlineLevel="0" collapsed="false">
      <c r="A170" s="21"/>
      <c r="B170" s="21"/>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ustomFormat="false" ht="14.25" hidden="false" customHeight="true" outlineLevel="0" collapsed="false">
      <c r="A171" s="21"/>
      <c r="B171" s="21"/>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ustomFormat="false" ht="14.25" hidden="false" customHeight="true" outlineLevel="0" collapsed="false">
      <c r="A172" s="21"/>
      <c r="B172" s="21"/>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ustomFormat="false" ht="14.25" hidden="false" customHeight="true" outlineLevel="0" collapsed="false">
      <c r="A173" s="21"/>
      <c r="B173" s="21"/>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ustomFormat="false" ht="14.25" hidden="false" customHeight="true" outlineLevel="0" collapsed="false">
      <c r="A174" s="21"/>
      <c r="B174" s="21"/>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ustomFormat="false" ht="14.25" hidden="false" customHeight="true" outlineLevel="0" collapsed="false">
      <c r="A175" s="21"/>
      <c r="B175" s="21"/>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ustomFormat="false" ht="14.25" hidden="false" customHeight="true" outlineLevel="0" collapsed="false">
      <c r="A176" s="21"/>
      <c r="B176" s="21"/>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ustomFormat="false" ht="14.25" hidden="false" customHeight="true" outlineLevel="0" collapsed="false">
      <c r="A177" s="21"/>
      <c r="B177" s="21"/>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ustomFormat="false" ht="14.25" hidden="false" customHeight="true" outlineLevel="0" collapsed="false">
      <c r="A178" s="21"/>
      <c r="B178" s="21"/>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ustomFormat="false" ht="14.25" hidden="false" customHeight="true" outlineLevel="0" collapsed="false">
      <c r="A179" s="21"/>
      <c r="B179" s="21"/>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ustomFormat="false" ht="14.25" hidden="false" customHeight="true" outlineLevel="0" collapsed="false">
      <c r="A180" s="21"/>
      <c r="B180" s="21"/>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ustomFormat="false" ht="14.25" hidden="false" customHeight="true" outlineLevel="0" collapsed="false">
      <c r="A181" s="21"/>
      <c r="B181" s="21"/>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ustomFormat="false" ht="14.25" hidden="false" customHeight="true" outlineLevel="0" collapsed="false">
      <c r="A182" s="21"/>
      <c r="B182" s="21"/>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ustomFormat="false" ht="14.25" hidden="false" customHeight="true" outlineLevel="0" collapsed="false">
      <c r="A183" s="21"/>
      <c r="B183" s="21"/>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ustomFormat="false" ht="14.25" hidden="false" customHeight="true" outlineLevel="0" collapsed="false">
      <c r="A184" s="21"/>
      <c r="B184" s="21"/>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ustomFormat="false" ht="14.25" hidden="false" customHeight="true" outlineLevel="0" collapsed="false">
      <c r="A185" s="21"/>
      <c r="B185" s="21"/>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ustomFormat="false" ht="14.25" hidden="false" customHeight="true" outlineLevel="0" collapsed="false">
      <c r="A186" s="21"/>
      <c r="B186" s="21"/>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ustomFormat="false" ht="14.25" hidden="false" customHeight="true" outlineLevel="0" collapsed="false">
      <c r="A187" s="21"/>
      <c r="B187" s="21"/>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ustomFormat="false" ht="14.25" hidden="false" customHeight="true" outlineLevel="0" collapsed="false">
      <c r="A188" s="21"/>
      <c r="B188" s="21"/>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ustomFormat="false" ht="14.25" hidden="false" customHeight="true" outlineLevel="0" collapsed="false">
      <c r="A189" s="21"/>
      <c r="B189" s="21"/>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ustomFormat="false" ht="14.25" hidden="false" customHeight="true" outlineLevel="0" collapsed="false">
      <c r="A190" s="21"/>
      <c r="B190" s="21"/>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ustomFormat="false" ht="14.25" hidden="false" customHeight="true" outlineLevel="0" collapsed="false">
      <c r="A191" s="21"/>
      <c r="B191" s="21"/>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ustomFormat="false" ht="14.25" hidden="false" customHeight="true" outlineLevel="0" collapsed="false">
      <c r="A192" s="21"/>
      <c r="B192" s="21"/>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ustomFormat="false" ht="14.25" hidden="false" customHeight="true" outlineLevel="0" collapsed="false">
      <c r="A193" s="21"/>
      <c r="B193" s="21"/>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ustomFormat="false" ht="14.25" hidden="false" customHeight="true" outlineLevel="0" collapsed="false">
      <c r="A194" s="21"/>
      <c r="B194" s="21"/>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ustomFormat="false" ht="14.25" hidden="false" customHeight="true" outlineLevel="0" collapsed="false">
      <c r="A195" s="21"/>
      <c r="B195" s="21"/>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ustomFormat="false" ht="14.25" hidden="false" customHeight="true" outlineLevel="0" collapsed="false">
      <c r="A196" s="21"/>
      <c r="B196" s="21"/>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ustomFormat="false" ht="14.25" hidden="false" customHeight="true" outlineLevel="0" collapsed="false">
      <c r="A197" s="21"/>
      <c r="B197" s="21"/>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ustomFormat="false" ht="14.25" hidden="false" customHeight="true" outlineLevel="0" collapsed="false">
      <c r="A198" s="21"/>
      <c r="B198" s="21"/>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ustomFormat="false" ht="14.25" hidden="false" customHeight="true" outlineLevel="0" collapsed="false">
      <c r="A199" s="21"/>
      <c r="B199" s="21"/>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ustomFormat="false" ht="14.25" hidden="false" customHeight="true" outlineLevel="0" collapsed="false">
      <c r="A200" s="21"/>
      <c r="B200" s="21"/>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ustomFormat="false" ht="14.25" hidden="false" customHeight="true" outlineLevel="0" collapsed="false">
      <c r="A201" s="21"/>
      <c r="B201" s="21"/>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ustomFormat="false" ht="14.25" hidden="false" customHeight="true" outlineLevel="0" collapsed="false">
      <c r="A202" s="21"/>
      <c r="B202" s="21"/>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ustomFormat="false" ht="14.25" hidden="false" customHeight="true" outlineLevel="0" collapsed="false">
      <c r="A203" s="21"/>
      <c r="B203" s="21"/>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ustomFormat="false" ht="14.25" hidden="false" customHeight="true" outlineLevel="0" collapsed="false">
      <c r="A204" s="21"/>
      <c r="B204" s="21"/>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ustomFormat="false" ht="14.25" hidden="false" customHeight="true" outlineLevel="0" collapsed="false">
      <c r="A205" s="21"/>
      <c r="B205" s="21"/>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ustomFormat="false" ht="14.25" hidden="false" customHeight="true" outlineLevel="0" collapsed="false">
      <c r="A206" s="21"/>
      <c r="B206" s="21"/>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ustomFormat="false" ht="14.25" hidden="false" customHeight="true" outlineLevel="0" collapsed="false">
      <c r="A207" s="21"/>
      <c r="B207" s="21"/>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ustomFormat="false" ht="14.25" hidden="false" customHeight="true" outlineLevel="0" collapsed="false">
      <c r="A208" s="21"/>
      <c r="B208" s="21"/>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ustomFormat="false" ht="14.25" hidden="false" customHeight="true" outlineLevel="0" collapsed="false">
      <c r="A209" s="21"/>
      <c r="B209" s="21"/>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ustomFormat="false" ht="14.25" hidden="false" customHeight="true" outlineLevel="0" collapsed="false">
      <c r="A210" s="21"/>
      <c r="B210" s="21"/>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ustomFormat="false" ht="14.25" hidden="false" customHeight="true" outlineLevel="0" collapsed="false">
      <c r="A211" s="21"/>
      <c r="B211" s="21"/>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ustomFormat="false" ht="14.25" hidden="false" customHeight="true" outlineLevel="0" collapsed="false">
      <c r="A212" s="21"/>
      <c r="B212" s="21"/>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ustomFormat="false" ht="14.25" hidden="false" customHeight="true" outlineLevel="0" collapsed="false">
      <c r="A213" s="21"/>
      <c r="B213" s="21"/>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ustomFormat="false" ht="14.25" hidden="false" customHeight="true" outlineLevel="0" collapsed="false">
      <c r="A214" s="21"/>
      <c r="B214" s="21"/>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ustomFormat="false" ht="14.25" hidden="false" customHeight="true" outlineLevel="0" collapsed="false">
      <c r="A215" s="21"/>
      <c r="B215" s="21"/>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ustomFormat="false" ht="14.25" hidden="false" customHeight="true" outlineLevel="0" collapsed="false">
      <c r="A216" s="21"/>
      <c r="B216" s="21"/>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ustomFormat="false" ht="14.25" hidden="false" customHeight="true" outlineLevel="0" collapsed="false">
      <c r="A217" s="21"/>
      <c r="B217" s="21"/>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ustomFormat="false" ht="14.25" hidden="false" customHeight="true" outlineLevel="0" collapsed="false">
      <c r="A218" s="21"/>
      <c r="B218" s="21"/>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ustomFormat="false" ht="14.25" hidden="false" customHeight="true" outlineLevel="0" collapsed="false">
      <c r="A219" s="21"/>
      <c r="B219" s="21"/>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ustomFormat="false" ht="14.25" hidden="false" customHeight="true" outlineLevel="0" collapsed="false">
      <c r="A220" s="21"/>
      <c r="B220" s="21"/>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ustomFormat="false" ht="14.25" hidden="false" customHeight="true" outlineLevel="0" collapsed="false">
      <c r="A221" s="21"/>
      <c r="B221" s="21"/>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ustomFormat="false" ht="14.25" hidden="false" customHeight="true" outlineLevel="0" collapsed="false">
      <c r="A222" s="21"/>
      <c r="B222" s="21"/>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ustomFormat="false" ht="14.25" hidden="false" customHeight="true" outlineLevel="0" collapsed="false">
      <c r="A223" s="21"/>
      <c r="B223" s="21"/>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ustomFormat="false" ht="14.25" hidden="false" customHeight="true" outlineLevel="0" collapsed="false">
      <c r="A224" s="21"/>
      <c r="B224" s="21"/>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ustomFormat="false" ht="14.25" hidden="false" customHeight="true" outlineLevel="0" collapsed="false">
      <c r="A225" s="21"/>
      <c r="B225" s="21"/>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ustomFormat="false" ht="14.25" hidden="false" customHeight="true" outlineLevel="0" collapsed="false">
      <c r="A226" s="21"/>
      <c r="B226" s="21"/>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ustomFormat="false" ht="14.25" hidden="false" customHeight="true" outlineLevel="0" collapsed="false">
      <c r="A227" s="21"/>
      <c r="B227" s="21"/>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ustomFormat="false" ht="14.25" hidden="false" customHeight="true" outlineLevel="0" collapsed="false">
      <c r="A228" s="21"/>
      <c r="B228" s="21"/>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ustomFormat="false" ht="14.25" hidden="false" customHeight="true" outlineLevel="0" collapsed="false">
      <c r="A229" s="21"/>
      <c r="B229" s="21"/>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ustomFormat="false" ht="14.25" hidden="false" customHeight="true" outlineLevel="0" collapsed="false">
      <c r="A230" s="21"/>
      <c r="B230" s="21"/>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ustomFormat="false" ht="14.25" hidden="false" customHeight="true" outlineLevel="0" collapsed="false">
      <c r="A231" s="21"/>
      <c r="B231" s="21"/>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ustomFormat="false" ht="14.25" hidden="false" customHeight="true" outlineLevel="0" collapsed="false">
      <c r="A232" s="21"/>
      <c r="B232" s="21"/>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ustomFormat="false" ht="14.25" hidden="false" customHeight="true" outlineLevel="0" collapsed="false">
      <c r="A233" s="21"/>
      <c r="B233" s="21"/>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ustomFormat="false" ht="14.25" hidden="false" customHeight="true" outlineLevel="0" collapsed="false">
      <c r="A234" s="21"/>
      <c r="B234" s="21"/>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ustomFormat="false" ht="14.25" hidden="false" customHeight="true" outlineLevel="0" collapsed="false">
      <c r="A235" s="21"/>
      <c r="B235" s="21"/>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ustomFormat="false" ht="14.25" hidden="false" customHeight="true" outlineLevel="0" collapsed="false">
      <c r="A236" s="21"/>
      <c r="B236" s="21"/>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ustomFormat="false" ht="14.25" hidden="false" customHeight="true" outlineLevel="0" collapsed="false">
      <c r="A237" s="21"/>
      <c r="B237" s="21"/>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ustomFormat="false" ht="14.25" hidden="false" customHeight="true" outlineLevel="0" collapsed="false">
      <c r="A238" s="21"/>
      <c r="B238" s="21"/>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ustomFormat="false" ht="14.25" hidden="false" customHeight="true" outlineLevel="0" collapsed="false">
      <c r="A239" s="21"/>
      <c r="B239" s="21"/>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ustomFormat="false" ht="14.25" hidden="false" customHeight="true" outlineLevel="0" collapsed="false">
      <c r="A240" s="21"/>
      <c r="B240" s="21"/>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ustomFormat="false" ht="14.25" hidden="false" customHeight="true" outlineLevel="0" collapsed="false">
      <c r="A241" s="21"/>
      <c r="B241" s="21"/>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ustomFormat="false" ht="14.25" hidden="false" customHeight="true" outlineLevel="0" collapsed="false">
      <c r="A242" s="21"/>
      <c r="B242" s="21"/>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ustomFormat="false" ht="14.25" hidden="false" customHeight="true" outlineLevel="0" collapsed="false">
      <c r="A243" s="21"/>
      <c r="B243" s="21"/>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ustomFormat="false" ht="14.25" hidden="false" customHeight="true" outlineLevel="0" collapsed="false">
      <c r="A244" s="21"/>
      <c r="B244" s="21"/>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ustomFormat="false" ht="14.25" hidden="false" customHeight="true" outlineLevel="0" collapsed="false">
      <c r="A245" s="21"/>
      <c r="B245" s="21"/>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ustomFormat="false" ht="14.25" hidden="false" customHeight="true" outlineLevel="0" collapsed="false">
      <c r="A246" s="21"/>
      <c r="B246" s="21"/>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ustomFormat="false" ht="14.25" hidden="false" customHeight="true" outlineLevel="0" collapsed="false">
      <c r="A247" s="21"/>
      <c r="B247" s="21"/>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ustomFormat="false" ht="14.25" hidden="false" customHeight="true" outlineLevel="0" collapsed="false">
      <c r="A248" s="21"/>
      <c r="B248" s="21"/>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ustomFormat="false" ht="14.25" hidden="false" customHeight="true" outlineLevel="0" collapsed="false">
      <c r="A249" s="21"/>
      <c r="B249" s="21"/>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ustomFormat="false" ht="14.25" hidden="false" customHeight="true" outlineLevel="0" collapsed="false">
      <c r="A250" s="21"/>
      <c r="B250" s="21"/>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ustomFormat="false" ht="14.25" hidden="false" customHeight="true" outlineLevel="0" collapsed="false">
      <c r="A251" s="21"/>
      <c r="B251" s="21"/>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ustomFormat="false" ht="14.25" hidden="false" customHeight="true" outlineLevel="0" collapsed="false">
      <c r="A252" s="21"/>
      <c r="B252" s="21"/>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ustomFormat="false" ht="14.25" hidden="false" customHeight="true" outlineLevel="0" collapsed="false">
      <c r="A253" s="21"/>
      <c r="B253" s="21"/>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ustomFormat="false" ht="14.25" hidden="false" customHeight="true" outlineLevel="0" collapsed="false">
      <c r="A254" s="21"/>
      <c r="B254" s="21"/>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ustomFormat="false" ht="14.25" hidden="false" customHeight="true" outlineLevel="0" collapsed="false">
      <c r="A255" s="21"/>
      <c r="B255" s="21"/>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ustomFormat="false" ht="14.25" hidden="false" customHeight="true" outlineLevel="0" collapsed="false">
      <c r="A256" s="21"/>
      <c r="B256" s="21"/>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ustomFormat="false" ht="14.25" hidden="false" customHeight="true" outlineLevel="0" collapsed="false">
      <c r="A257" s="21"/>
      <c r="B257" s="21"/>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ustomFormat="false" ht="14.25" hidden="false" customHeight="true" outlineLevel="0" collapsed="false">
      <c r="A258" s="21"/>
      <c r="B258" s="21"/>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ustomFormat="false" ht="14.25" hidden="false" customHeight="true" outlineLevel="0" collapsed="false">
      <c r="A259" s="21"/>
      <c r="B259" s="21"/>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ustomFormat="false" ht="14.25" hidden="false" customHeight="true" outlineLevel="0" collapsed="false">
      <c r="A260" s="21"/>
      <c r="B260" s="21"/>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ustomFormat="false" ht="14.25" hidden="false" customHeight="true" outlineLevel="0" collapsed="false">
      <c r="A261" s="21"/>
      <c r="B261" s="21"/>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ustomFormat="false" ht="14.25" hidden="false" customHeight="true" outlineLevel="0" collapsed="false">
      <c r="A262" s="21"/>
      <c r="B262" s="21"/>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ustomFormat="false" ht="14.25" hidden="false" customHeight="true" outlineLevel="0" collapsed="false">
      <c r="A263" s="21"/>
      <c r="B263" s="21"/>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ustomFormat="false" ht="14.25" hidden="false" customHeight="true" outlineLevel="0" collapsed="false">
      <c r="A264" s="21"/>
      <c r="B264" s="21"/>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ustomFormat="false" ht="14.25" hidden="false" customHeight="true" outlineLevel="0" collapsed="false">
      <c r="A265" s="21"/>
      <c r="B265" s="21"/>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ustomFormat="false" ht="14.25" hidden="false" customHeight="true" outlineLevel="0" collapsed="false">
      <c r="A266" s="21"/>
      <c r="B266" s="21"/>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ustomFormat="false" ht="14.25" hidden="false" customHeight="true" outlineLevel="0" collapsed="false">
      <c r="A267" s="21"/>
      <c r="B267" s="21"/>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ustomFormat="false" ht="14.25" hidden="false" customHeight="true" outlineLevel="0" collapsed="false">
      <c r="A268" s="21"/>
      <c r="B268" s="21"/>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ustomFormat="false" ht="14.25" hidden="false" customHeight="true" outlineLevel="0" collapsed="false">
      <c r="A269" s="21"/>
      <c r="B269" s="21"/>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ustomFormat="false" ht="14.25" hidden="false" customHeight="true" outlineLevel="0" collapsed="false">
      <c r="A270" s="21"/>
      <c r="B270" s="21"/>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ustomFormat="false" ht="14.25" hidden="false" customHeight="true" outlineLevel="0" collapsed="false">
      <c r="A271" s="21"/>
      <c r="B271" s="21"/>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ustomFormat="false" ht="14.25" hidden="false" customHeight="true" outlineLevel="0" collapsed="false">
      <c r="A272" s="21"/>
      <c r="B272" s="21"/>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ustomFormat="false" ht="14.25" hidden="false" customHeight="true" outlineLevel="0" collapsed="false">
      <c r="A273" s="21"/>
      <c r="B273" s="21"/>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ustomFormat="false" ht="14.25" hidden="false" customHeight="true" outlineLevel="0" collapsed="false">
      <c r="A274" s="21"/>
      <c r="B274" s="21"/>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ustomFormat="false" ht="14.25" hidden="false" customHeight="true" outlineLevel="0" collapsed="false">
      <c r="A275" s="21"/>
      <c r="B275" s="21"/>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ustomFormat="false" ht="14.25" hidden="false" customHeight="true" outlineLevel="0" collapsed="false">
      <c r="A276" s="21"/>
      <c r="B276" s="21"/>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ustomFormat="false" ht="14.25" hidden="false" customHeight="true" outlineLevel="0" collapsed="false">
      <c r="A277" s="21"/>
      <c r="B277" s="21"/>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ustomFormat="false" ht="14.25" hidden="false" customHeight="true" outlineLevel="0" collapsed="false">
      <c r="A278" s="21"/>
      <c r="B278" s="21"/>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ustomFormat="false" ht="14.25" hidden="false" customHeight="true" outlineLevel="0" collapsed="false">
      <c r="A279" s="21"/>
      <c r="B279" s="21"/>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ustomFormat="false" ht="14.25" hidden="false" customHeight="true" outlineLevel="0" collapsed="false">
      <c r="A280" s="21"/>
      <c r="B280" s="21"/>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ustomFormat="false" ht="14.25" hidden="false" customHeight="true" outlineLevel="0" collapsed="false">
      <c r="A281" s="21"/>
      <c r="B281" s="21"/>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ustomFormat="false" ht="14.25" hidden="false" customHeight="true" outlineLevel="0" collapsed="false">
      <c r="A282" s="21"/>
      <c r="B282" s="21"/>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ustomFormat="false" ht="14.25" hidden="false" customHeight="true" outlineLevel="0" collapsed="false">
      <c r="A283" s="21"/>
      <c r="B283" s="21"/>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ustomFormat="false" ht="14.25" hidden="false" customHeight="true" outlineLevel="0" collapsed="false">
      <c r="A284" s="21"/>
      <c r="B284" s="21"/>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ustomFormat="false" ht="14.25" hidden="false" customHeight="true" outlineLevel="0" collapsed="false">
      <c r="A285" s="21"/>
      <c r="B285" s="21"/>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ustomFormat="false" ht="14.25" hidden="false" customHeight="true" outlineLevel="0" collapsed="false">
      <c r="A286" s="21"/>
      <c r="B286" s="21"/>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ustomFormat="false" ht="14.25" hidden="false" customHeight="true" outlineLevel="0" collapsed="false">
      <c r="A287" s="21"/>
      <c r="B287" s="21"/>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ustomFormat="false" ht="14.25" hidden="false" customHeight="true" outlineLevel="0" collapsed="false">
      <c r="A288" s="21"/>
      <c r="B288" s="21"/>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ustomFormat="false" ht="14.25" hidden="false" customHeight="true" outlineLevel="0" collapsed="false">
      <c r="A289" s="21"/>
      <c r="B289" s="21"/>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ustomFormat="false" ht="14.25" hidden="false" customHeight="true" outlineLevel="0" collapsed="false">
      <c r="A290" s="21"/>
      <c r="B290" s="21"/>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ustomFormat="false" ht="14.25" hidden="false" customHeight="true" outlineLevel="0" collapsed="false">
      <c r="A291" s="21"/>
      <c r="B291" s="21"/>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ustomFormat="false" ht="14.25" hidden="false" customHeight="true" outlineLevel="0" collapsed="false">
      <c r="A292" s="21"/>
      <c r="B292" s="21"/>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ustomFormat="false" ht="14.25" hidden="false" customHeight="true" outlineLevel="0" collapsed="false">
      <c r="A293" s="21"/>
      <c r="B293" s="21"/>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ustomFormat="false" ht="14.25" hidden="false" customHeight="true" outlineLevel="0" collapsed="false">
      <c r="A294" s="21"/>
      <c r="B294" s="21"/>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ustomFormat="false" ht="14.25" hidden="false" customHeight="true" outlineLevel="0" collapsed="false">
      <c r="A295" s="21"/>
      <c r="B295" s="21"/>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ustomFormat="false" ht="14.25" hidden="false" customHeight="true" outlineLevel="0" collapsed="false">
      <c r="A296" s="21"/>
      <c r="B296" s="21"/>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ustomFormat="false" ht="14.25" hidden="false" customHeight="true" outlineLevel="0" collapsed="false">
      <c r="A297" s="21"/>
      <c r="B297" s="21"/>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ustomFormat="false" ht="14.25" hidden="false" customHeight="true" outlineLevel="0" collapsed="false">
      <c r="A298" s="21"/>
      <c r="B298" s="21"/>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ustomFormat="false" ht="14.25" hidden="false" customHeight="true" outlineLevel="0" collapsed="false">
      <c r="A299" s="21"/>
      <c r="B299" s="21"/>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ustomFormat="false" ht="14.25" hidden="false" customHeight="true" outlineLevel="0" collapsed="false">
      <c r="A300" s="21"/>
      <c r="B300" s="21"/>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ustomFormat="false" ht="14.25" hidden="false" customHeight="true" outlineLevel="0" collapsed="false">
      <c r="A301" s="21"/>
      <c r="B301" s="21"/>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ustomFormat="false" ht="14.25" hidden="false" customHeight="true" outlineLevel="0" collapsed="false">
      <c r="A302" s="21"/>
      <c r="B302" s="21"/>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ustomFormat="false" ht="14.25" hidden="false" customHeight="true" outlineLevel="0" collapsed="false">
      <c r="A303" s="21"/>
      <c r="B303" s="21"/>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ustomFormat="false" ht="14.25" hidden="false" customHeight="true" outlineLevel="0" collapsed="false">
      <c r="A304" s="21"/>
      <c r="B304" s="21"/>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ustomFormat="false" ht="14.25" hidden="false" customHeight="true" outlineLevel="0" collapsed="false">
      <c r="A305" s="21"/>
      <c r="B305" s="21"/>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ustomFormat="false" ht="14.25" hidden="false" customHeight="true" outlineLevel="0" collapsed="false">
      <c r="A306" s="21"/>
      <c r="B306" s="21"/>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ustomFormat="false" ht="14.25" hidden="false" customHeight="true" outlineLevel="0" collapsed="false">
      <c r="A307" s="21"/>
      <c r="B307" s="21"/>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ustomFormat="false" ht="14.25" hidden="false" customHeight="true" outlineLevel="0" collapsed="false">
      <c r="A308" s="21"/>
      <c r="B308" s="21"/>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ustomFormat="false" ht="14.25" hidden="false" customHeight="true" outlineLevel="0" collapsed="false">
      <c r="A309" s="21"/>
      <c r="B309" s="21"/>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ustomFormat="false" ht="14.25" hidden="false" customHeight="true" outlineLevel="0" collapsed="false">
      <c r="A310" s="21"/>
      <c r="B310" s="21"/>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ustomFormat="false" ht="14.25" hidden="false" customHeight="true" outlineLevel="0" collapsed="false">
      <c r="A311" s="21"/>
      <c r="B311" s="21"/>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ustomFormat="false" ht="14.25" hidden="false" customHeight="true" outlineLevel="0" collapsed="false">
      <c r="A312" s="21"/>
      <c r="B312" s="21"/>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ustomFormat="false" ht="14.25" hidden="false" customHeight="true" outlineLevel="0" collapsed="false">
      <c r="A313" s="21"/>
      <c r="B313" s="21"/>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ustomFormat="false" ht="14.25" hidden="false" customHeight="true" outlineLevel="0" collapsed="false">
      <c r="A314" s="21"/>
      <c r="B314" s="21"/>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ustomFormat="false" ht="14.25" hidden="false" customHeight="true" outlineLevel="0" collapsed="false">
      <c r="A315" s="21"/>
      <c r="B315" s="21"/>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ustomFormat="false" ht="14.25" hidden="false" customHeight="true" outlineLevel="0" collapsed="false">
      <c r="A316" s="21"/>
      <c r="B316" s="21"/>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ustomFormat="false" ht="14.25" hidden="false" customHeight="true" outlineLevel="0" collapsed="false">
      <c r="A317" s="21"/>
      <c r="B317" s="21"/>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ustomFormat="false" ht="14.25" hidden="false" customHeight="true" outlineLevel="0" collapsed="false">
      <c r="A318" s="21"/>
      <c r="B318" s="21"/>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ustomFormat="false" ht="14.25" hidden="false" customHeight="true" outlineLevel="0" collapsed="false">
      <c r="A319" s="21"/>
      <c r="B319" s="21"/>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ustomFormat="false" ht="14.25" hidden="false" customHeight="true" outlineLevel="0" collapsed="false">
      <c r="A320" s="21"/>
      <c r="B320" s="21"/>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ustomFormat="false" ht="14.25" hidden="false" customHeight="true" outlineLevel="0" collapsed="false">
      <c r="A321" s="21"/>
      <c r="B321" s="21"/>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ustomFormat="false" ht="14.25" hidden="false" customHeight="true" outlineLevel="0" collapsed="false">
      <c r="A322" s="21"/>
      <c r="B322" s="21"/>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ustomFormat="false" ht="14.25" hidden="false" customHeight="true" outlineLevel="0" collapsed="false">
      <c r="A323" s="21"/>
      <c r="B323" s="21"/>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ustomFormat="false" ht="14.25" hidden="false" customHeight="true" outlineLevel="0" collapsed="false">
      <c r="A324" s="21"/>
      <c r="B324" s="21"/>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ustomFormat="false" ht="14.25" hidden="false" customHeight="true" outlineLevel="0" collapsed="false">
      <c r="A325" s="21"/>
      <c r="B325" s="21"/>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ustomFormat="false" ht="14.25" hidden="false" customHeight="true" outlineLevel="0" collapsed="false">
      <c r="A326" s="21"/>
      <c r="B326" s="21"/>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ustomFormat="false" ht="14.25" hidden="false" customHeight="true" outlineLevel="0" collapsed="false">
      <c r="A327" s="21"/>
      <c r="B327" s="21"/>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ustomFormat="false" ht="14.25" hidden="false" customHeight="true" outlineLevel="0" collapsed="false">
      <c r="A328" s="21"/>
      <c r="B328" s="21"/>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ustomFormat="false" ht="14.25" hidden="false" customHeight="true" outlineLevel="0" collapsed="false">
      <c r="A329" s="21"/>
      <c r="B329" s="21"/>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ustomFormat="false" ht="14.25" hidden="false" customHeight="true" outlineLevel="0" collapsed="false">
      <c r="A330" s="21"/>
      <c r="B330" s="21"/>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ustomFormat="false" ht="14.25" hidden="false" customHeight="true" outlineLevel="0" collapsed="false">
      <c r="A331" s="21"/>
      <c r="B331" s="21"/>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ustomFormat="false" ht="14.25" hidden="false" customHeight="true" outlineLevel="0" collapsed="false">
      <c r="A332" s="21"/>
      <c r="B332" s="21"/>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ustomFormat="false" ht="14.25" hidden="false" customHeight="true" outlineLevel="0" collapsed="false">
      <c r="A333" s="21"/>
      <c r="B333" s="21"/>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ustomFormat="false" ht="14.25" hidden="false" customHeight="true" outlineLevel="0" collapsed="false">
      <c r="A334" s="21"/>
      <c r="B334" s="21"/>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ustomFormat="false" ht="14.25" hidden="false" customHeight="true" outlineLevel="0" collapsed="false">
      <c r="A335" s="21"/>
      <c r="B335" s="21"/>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ustomFormat="false" ht="14.25" hidden="false" customHeight="true" outlineLevel="0" collapsed="false">
      <c r="A336" s="21"/>
      <c r="B336" s="21"/>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ustomFormat="false" ht="14.25" hidden="false" customHeight="true" outlineLevel="0" collapsed="false">
      <c r="A337" s="21"/>
      <c r="B337" s="21"/>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ustomFormat="false" ht="14.25" hidden="false" customHeight="true" outlineLevel="0" collapsed="false">
      <c r="A338" s="21"/>
      <c r="B338" s="21"/>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ustomFormat="false" ht="14.25" hidden="false" customHeight="true" outlineLevel="0" collapsed="false">
      <c r="A339" s="21"/>
      <c r="B339" s="21"/>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ustomFormat="false" ht="14.25" hidden="false" customHeight="true" outlineLevel="0" collapsed="false">
      <c r="A340" s="21"/>
      <c r="B340" s="21"/>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ustomFormat="false" ht="14.25" hidden="false" customHeight="true" outlineLevel="0" collapsed="false">
      <c r="A341" s="21"/>
      <c r="B341" s="21"/>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ustomFormat="false" ht="14.25" hidden="false" customHeight="true" outlineLevel="0" collapsed="false">
      <c r="A342" s="21"/>
      <c r="B342" s="21"/>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ustomFormat="false" ht="14.25" hidden="false" customHeight="true" outlineLevel="0" collapsed="false">
      <c r="A343" s="21"/>
      <c r="B343" s="21"/>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ustomFormat="false" ht="14.25" hidden="false" customHeight="true" outlineLevel="0" collapsed="false">
      <c r="A344" s="21"/>
      <c r="B344" s="21"/>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ustomFormat="false" ht="14.25" hidden="false" customHeight="true" outlineLevel="0" collapsed="false">
      <c r="A345" s="21"/>
      <c r="B345" s="21"/>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ustomFormat="false" ht="14.25" hidden="false" customHeight="true" outlineLevel="0" collapsed="false">
      <c r="A346" s="21"/>
      <c r="B346" s="21"/>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ustomFormat="false" ht="14.25" hidden="false" customHeight="true" outlineLevel="0" collapsed="false">
      <c r="A347" s="21"/>
      <c r="B347" s="21"/>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ustomFormat="false" ht="14.25" hidden="false" customHeight="true" outlineLevel="0" collapsed="false">
      <c r="A348" s="21"/>
      <c r="B348" s="21"/>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ustomFormat="false" ht="14.25" hidden="false" customHeight="true" outlineLevel="0" collapsed="false">
      <c r="A349" s="21"/>
      <c r="B349" s="21"/>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ustomFormat="false" ht="14.25" hidden="false" customHeight="true" outlineLevel="0" collapsed="false">
      <c r="A350" s="21"/>
      <c r="B350" s="21"/>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ustomFormat="false" ht="14.25" hidden="false" customHeight="true" outlineLevel="0" collapsed="false">
      <c r="A351" s="21"/>
      <c r="B351" s="21"/>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ustomFormat="false" ht="14.25" hidden="false" customHeight="true" outlineLevel="0" collapsed="false">
      <c r="A352" s="21"/>
      <c r="B352" s="21"/>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ustomFormat="false" ht="14.25" hidden="false" customHeight="true" outlineLevel="0" collapsed="false">
      <c r="A353" s="21"/>
      <c r="B353" s="21"/>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ustomFormat="false" ht="14.25" hidden="false" customHeight="true" outlineLevel="0" collapsed="false">
      <c r="A354" s="21"/>
      <c r="B354" s="21"/>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ustomFormat="false" ht="14.25" hidden="false" customHeight="true" outlineLevel="0" collapsed="false">
      <c r="A355" s="21"/>
      <c r="B355" s="21"/>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ustomFormat="false" ht="14.25" hidden="false" customHeight="true" outlineLevel="0" collapsed="false">
      <c r="A356" s="21"/>
      <c r="B356" s="21"/>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ustomFormat="false" ht="14.25" hidden="false" customHeight="true" outlineLevel="0" collapsed="false">
      <c r="A357" s="21"/>
      <c r="B357" s="21"/>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ustomFormat="false" ht="14.25" hidden="false" customHeight="true" outlineLevel="0" collapsed="false">
      <c r="A358" s="21"/>
      <c r="B358" s="21"/>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ustomFormat="false" ht="14.25" hidden="false" customHeight="true" outlineLevel="0" collapsed="false">
      <c r="A359" s="21"/>
      <c r="B359" s="21"/>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ustomFormat="false" ht="14.25" hidden="false" customHeight="true" outlineLevel="0" collapsed="false">
      <c r="A360" s="21"/>
      <c r="B360" s="21"/>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ustomFormat="false" ht="14.25" hidden="false" customHeight="true" outlineLevel="0" collapsed="false">
      <c r="A361" s="21"/>
      <c r="B361" s="21"/>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ustomFormat="false" ht="14.25" hidden="false" customHeight="true" outlineLevel="0" collapsed="false">
      <c r="A362" s="21"/>
      <c r="B362" s="21"/>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ustomFormat="false" ht="14.25" hidden="false" customHeight="true" outlineLevel="0" collapsed="false">
      <c r="A363" s="21"/>
      <c r="B363" s="21"/>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ustomFormat="false" ht="14.25" hidden="false" customHeight="true" outlineLevel="0" collapsed="false">
      <c r="A364" s="21"/>
      <c r="B364" s="21"/>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ustomFormat="false" ht="14.25" hidden="false" customHeight="true" outlineLevel="0" collapsed="false">
      <c r="A365" s="21"/>
      <c r="B365" s="21"/>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ustomFormat="false" ht="14.25" hidden="false" customHeight="true" outlineLevel="0" collapsed="false">
      <c r="A366" s="21"/>
      <c r="B366" s="21"/>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ustomFormat="false" ht="14.25" hidden="false" customHeight="true" outlineLevel="0" collapsed="false">
      <c r="A367" s="21"/>
      <c r="B367" s="21"/>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ustomFormat="false" ht="14.25" hidden="false" customHeight="true" outlineLevel="0" collapsed="false">
      <c r="A368" s="21"/>
      <c r="B368" s="21"/>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ustomFormat="false" ht="14.25" hidden="false" customHeight="true" outlineLevel="0" collapsed="false">
      <c r="A369" s="21"/>
      <c r="B369" s="21"/>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ustomFormat="false" ht="14.25" hidden="false" customHeight="true" outlineLevel="0" collapsed="false">
      <c r="A370" s="21"/>
      <c r="B370" s="21"/>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ustomFormat="false" ht="14.25" hidden="false" customHeight="true" outlineLevel="0" collapsed="false">
      <c r="A371" s="21"/>
      <c r="B371" s="21"/>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ustomFormat="false" ht="14.25" hidden="false" customHeight="true" outlineLevel="0" collapsed="false">
      <c r="A372" s="21"/>
      <c r="B372" s="21"/>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ustomFormat="false" ht="14.25" hidden="false" customHeight="true" outlineLevel="0" collapsed="false">
      <c r="A373" s="21"/>
      <c r="B373" s="21"/>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ustomFormat="false" ht="14.25" hidden="false" customHeight="true" outlineLevel="0" collapsed="false">
      <c r="A374" s="21"/>
      <c r="B374" s="21"/>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ustomFormat="false" ht="14.25" hidden="false" customHeight="true" outlineLevel="0" collapsed="false">
      <c r="A375" s="21"/>
      <c r="B375" s="21"/>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ustomFormat="false" ht="14.25" hidden="false" customHeight="true" outlineLevel="0" collapsed="false">
      <c r="A376" s="21"/>
      <c r="B376" s="21"/>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ustomFormat="false" ht="14.25" hidden="false" customHeight="true" outlineLevel="0" collapsed="false">
      <c r="A377" s="21"/>
      <c r="B377" s="21"/>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ustomFormat="false" ht="14.25" hidden="false" customHeight="true" outlineLevel="0" collapsed="false">
      <c r="A378" s="21"/>
      <c r="B378" s="21"/>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ustomFormat="false" ht="14.25" hidden="false" customHeight="true" outlineLevel="0" collapsed="false">
      <c r="A379" s="21"/>
      <c r="B379" s="21"/>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ustomFormat="false" ht="14.25" hidden="false" customHeight="true" outlineLevel="0" collapsed="false">
      <c r="A380" s="21"/>
      <c r="B380" s="21"/>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ustomFormat="false" ht="14.25" hidden="false" customHeight="true" outlineLevel="0" collapsed="false">
      <c r="A381" s="21"/>
      <c r="B381" s="21"/>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ustomFormat="false" ht="14.25" hidden="false" customHeight="true" outlineLevel="0" collapsed="false">
      <c r="A382" s="21"/>
      <c r="B382" s="21"/>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ustomFormat="false" ht="14.25" hidden="false" customHeight="true" outlineLevel="0" collapsed="false">
      <c r="A383" s="21"/>
      <c r="B383" s="21"/>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ustomFormat="false" ht="14.25" hidden="false" customHeight="true" outlineLevel="0" collapsed="false">
      <c r="A384" s="21"/>
      <c r="B384" s="21"/>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ustomFormat="false" ht="14.25" hidden="false" customHeight="true" outlineLevel="0" collapsed="false">
      <c r="A385" s="21"/>
      <c r="B385" s="21"/>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ustomFormat="false" ht="14.25" hidden="false" customHeight="true" outlineLevel="0" collapsed="false">
      <c r="A386" s="21"/>
      <c r="B386" s="21"/>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ustomFormat="false" ht="14.25" hidden="false" customHeight="true" outlineLevel="0" collapsed="false">
      <c r="A387" s="21"/>
      <c r="B387" s="21"/>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ustomFormat="false" ht="14.25" hidden="false" customHeight="true" outlineLevel="0" collapsed="false">
      <c r="A388" s="21"/>
      <c r="B388" s="21"/>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ustomFormat="false" ht="14.25" hidden="false" customHeight="true" outlineLevel="0" collapsed="false">
      <c r="A389" s="21"/>
      <c r="B389" s="21"/>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ustomFormat="false" ht="14.25" hidden="false" customHeight="true" outlineLevel="0" collapsed="false">
      <c r="A390" s="21"/>
      <c r="B390" s="21"/>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ustomFormat="false" ht="14.25" hidden="false" customHeight="true" outlineLevel="0" collapsed="false">
      <c r="A391" s="21"/>
      <c r="B391" s="21"/>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ustomFormat="false" ht="14.25" hidden="false" customHeight="true" outlineLevel="0" collapsed="false">
      <c r="A392" s="21"/>
      <c r="B392" s="21"/>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ustomFormat="false" ht="14.25" hidden="false" customHeight="true" outlineLevel="0" collapsed="false">
      <c r="A393" s="21"/>
      <c r="B393" s="21"/>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ustomFormat="false" ht="14.25" hidden="false" customHeight="true" outlineLevel="0" collapsed="false">
      <c r="A394" s="21"/>
      <c r="B394" s="21"/>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ustomFormat="false" ht="14.25" hidden="false" customHeight="true" outlineLevel="0" collapsed="false">
      <c r="A395" s="21"/>
      <c r="B395" s="21"/>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ustomFormat="false" ht="14.25" hidden="false" customHeight="true" outlineLevel="0" collapsed="false">
      <c r="A396" s="21"/>
      <c r="B396" s="21"/>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ustomFormat="false" ht="14.25" hidden="false" customHeight="true" outlineLevel="0" collapsed="false">
      <c r="A397" s="21"/>
      <c r="B397" s="21"/>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ustomFormat="false" ht="14.25" hidden="false" customHeight="true" outlineLevel="0" collapsed="false">
      <c r="A398" s="21"/>
      <c r="B398" s="21"/>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ustomFormat="false" ht="14.25" hidden="false" customHeight="true" outlineLevel="0" collapsed="false">
      <c r="A399" s="21"/>
      <c r="B399" s="21"/>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ustomFormat="false" ht="14.25" hidden="false" customHeight="true" outlineLevel="0" collapsed="false">
      <c r="A400" s="21"/>
      <c r="B400" s="21"/>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ustomFormat="false" ht="14.25" hidden="false" customHeight="true" outlineLevel="0" collapsed="false">
      <c r="A401" s="21"/>
      <c r="B401" s="21"/>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ustomFormat="false" ht="14.25" hidden="false" customHeight="true" outlineLevel="0" collapsed="false">
      <c r="A402" s="21"/>
      <c r="B402" s="21"/>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ustomFormat="false" ht="14.25" hidden="false" customHeight="true" outlineLevel="0" collapsed="false">
      <c r="A403" s="21"/>
      <c r="B403" s="21"/>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ustomFormat="false" ht="14.25" hidden="false" customHeight="true" outlineLevel="0" collapsed="false">
      <c r="A404" s="21"/>
      <c r="B404" s="21"/>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ustomFormat="false" ht="14.25" hidden="false" customHeight="true" outlineLevel="0" collapsed="false">
      <c r="A405" s="21"/>
      <c r="B405" s="21"/>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ustomFormat="false" ht="14.25" hidden="false" customHeight="true" outlineLevel="0" collapsed="false">
      <c r="A406" s="21"/>
      <c r="B406" s="21"/>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ustomFormat="false" ht="14.25" hidden="false" customHeight="true" outlineLevel="0" collapsed="false">
      <c r="A407" s="21"/>
      <c r="B407" s="21"/>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ustomFormat="false" ht="14.25" hidden="false" customHeight="true" outlineLevel="0" collapsed="false">
      <c r="A408" s="21"/>
      <c r="B408" s="21"/>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ustomFormat="false" ht="14.25" hidden="false" customHeight="true" outlineLevel="0" collapsed="false">
      <c r="A409" s="21"/>
      <c r="B409" s="21"/>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ustomFormat="false" ht="14.25" hidden="false" customHeight="true" outlineLevel="0" collapsed="false">
      <c r="A410" s="21"/>
      <c r="B410" s="21"/>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ustomFormat="false" ht="14.25" hidden="false" customHeight="true" outlineLevel="0" collapsed="false">
      <c r="A411" s="21"/>
      <c r="B411" s="21"/>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ustomFormat="false" ht="14.25" hidden="false" customHeight="true" outlineLevel="0" collapsed="false">
      <c r="A412" s="21"/>
      <c r="B412" s="21"/>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ustomFormat="false" ht="14.25" hidden="false" customHeight="true" outlineLevel="0" collapsed="false">
      <c r="A413" s="21"/>
      <c r="B413" s="21"/>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ustomFormat="false" ht="14.25" hidden="false" customHeight="true" outlineLevel="0" collapsed="false">
      <c r="A414" s="21"/>
      <c r="B414" s="21"/>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ustomFormat="false" ht="14.25" hidden="false" customHeight="true" outlineLevel="0" collapsed="false">
      <c r="A415" s="21"/>
      <c r="B415" s="21"/>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ustomFormat="false" ht="14.25" hidden="false" customHeight="true" outlineLevel="0" collapsed="false">
      <c r="A416" s="21"/>
      <c r="B416" s="21"/>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ustomFormat="false" ht="14.25" hidden="false" customHeight="true" outlineLevel="0" collapsed="false">
      <c r="A417" s="21"/>
      <c r="B417" s="21"/>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ustomFormat="false" ht="14.25" hidden="false" customHeight="true" outlineLevel="0" collapsed="false">
      <c r="A418" s="21"/>
      <c r="B418" s="21"/>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ustomFormat="false" ht="14.25" hidden="false" customHeight="true" outlineLevel="0" collapsed="false">
      <c r="A419" s="21"/>
      <c r="B419" s="21"/>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ustomFormat="false" ht="14.25" hidden="false" customHeight="true" outlineLevel="0" collapsed="false">
      <c r="A420" s="21"/>
      <c r="B420" s="21"/>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ustomFormat="false" ht="14.25" hidden="false" customHeight="true" outlineLevel="0" collapsed="false">
      <c r="A421" s="21"/>
      <c r="B421" s="21"/>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ustomFormat="false" ht="14.25" hidden="false" customHeight="true" outlineLevel="0" collapsed="false">
      <c r="A422" s="21"/>
      <c r="B422" s="21"/>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ustomFormat="false" ht="14.25" hidden="false" customHeight="true" outlineLevel="0" collapsed="false">
      <c r="A423" s="21"/>
      <c r="B423" s="21"/>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ustomFormat="false" ht="14.25" hidden="false" customHeight="true" outlineLevel="0" collapsed="false">
      <c r="A424" s="21"/>
      <c r="B424" s="21"/>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ustomFormat="false" ht="14.25" hidden="false" customHeight="true" outlineLevel="0" collapsed="false">
      <c r="A425" s="21"/>
      <c r="B425" s="21"/>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ustomFormat="false" ht="14.25" hidden="false" customHeight="true" outlineLevel="0" collapsed="false">
      <c r="A426" s="21"/>
      <c r="B426" s="21"/>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ustomFormat="false" ht="14.25" hidden="false" customHeight="true" outlineLevel="0" collapsed="false">
      <c r="A427" s="21"/>
      <c r="B427" s="21"/>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ustomFormat="false" ht="14.25" hidden="false" customHeight="true" outlineLevel="0" collapsed="false">
      <c r="A428" s="21"/>
      <c r="B428" s="21"/>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ustomFormat="false" ht="14.25" hidden="false" customHeight="true" outlineLevel="0" collapsed="false">
      <c r="A429" s="21"/>
      <c r="B429" s="21"/>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ustomFormat="false" ht="14.25" hidden="false" customHeight="true" outlineLevel="0" collapsed="false">
      <c r="A430" s="21"/>
      <c r="B430" s="21"/>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ustomFormat="false" ht="14.25" hidden="false" customHeight="true" outlineLevel="0" collapsed="false">
      <c r="A431" s="21"/>
      <c r="B431" s="21"/>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ustomFormat="false" ht="14.25" hidden="false" customHeight="true" outlineLevel="0" collapsed="false">
      <c r="A432" s="21"/>
      <c r="B432" s="21"/>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ustomFormat="false" ht="14.25" hidden="false" customHeight="true" outlineLevel="0" collapsed="false">
      <c r="A433" s="21"/>
      <c r="B433" s="21"/>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ustomFormat="false" ht="14.25" hidden="false" customHeight="true" outlineLevel="0" collapsed="false">
      <c r="A434" s="21"/>
      <c r="B434" s="21"/>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ustomFormat="false" ht="14.25" hidden="false" customHeight="true" outlineLevel="0" collapsed="false">
      <c r="A435" s="21"/>
      <c r="B435" s="21"/>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ustomFormat="false" ht="14.25" hidden="false" customHeight="true" outlineLevel="0" collapsed="false">
      <c r="A436" s="21"/>
      <c r="B436" s="21"/>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ustomFormat="false" ht="14.25" hidden="false" customHeight="true" outlineLevel="0" collapsed="false">
      <c r="A437" s="21"/>
      <c r="B437" s="21"/>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ustomFormat="false" ht="14.25" hidden="false" customHeight="true" outlineLevel="0" collapsed="false">
      <c r="A438" s="21"/>
      <c r="B438" s="21"/>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ustomFormat="false" ht="14.25" hidden="false" customHeight="true" outlineLevel="0" collapsed="false">
      <c r="A439" s="21"/>
      <c r="B439" s="21"/>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ustomFormat="false" ht="14.25" hidden="false" customHeight="true" outlineLevel="0" collapsed="false">
      <c r="A440" s="21"/>
      <c r="B440" s="21"/>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ustomFormat="false" ht="14.25" hidden="false" customHeight="true" outlineLevel="0" collapsed="false">
      <c r="A441" s="21"/>
      <c r="B441" s="21"/>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ustomFormat="false" ht="14.25" hidden="false" customHeight="true" outlineLevel="0" collapsed="false">
      <c r="A442" s="21"/>
      <c r="B442" s="21"/>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ustomFormat="false" ht="14.25" hidden="false" customHeight="true" outlineLevel="0" collapsed="false">
      <c r="A443" s="21"/>
      <c r="B443" s="21"/>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ustomFormat="false" ht="14.25" hidden="false" customHeight="true" outlineLevel="0" collapsed="false">
      <c r="A444" s="21"/>
      <c r="B444" s="21"/>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ustomFormat="false" ht="14.25" hidden="false" customHeight="true" outlineLevel="0" collapsed="false">
      <c r="A445" s="21"/>
      <c r="B445" s="21"/>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ustomFormat="false" ht="14.25" hidden="false" customHeight="true" outlineLevel="0" collapsed="false">
      <c r="A446" s="21"/>
      <c r="B446" s="21"/>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ustomFormat="false" ht="14.25" hidden="false" customHeight="true" outlineLevel="0" collapsed="false">
      <c r="A447" s="21"/>
      <c r="B447" s="21"/>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ustomFormat="false" ht="14.25" hidden="false" customHeight="true" outlineLevel="0" collapsed="false">
      <c r="A448" s="21"/>
      <c r="B448" s="21"/>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ustomFormat="false" ht="14.25" hidden="false" customHeight="true" outlineLevel="0" collapsed="false">
      <c r="A449" s="21"/>
      <c r="B449" s="21"/>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ustomFormat="false" ht="14.25" hidden="false" customHeight="true" outlineLevel="0" collapsed="false">
      <c r="A450" s="21"/>
      <c r="B450" s="21"/>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ustomFormat="false" ht="14.25" hidden="false" customHeight="true" outlineLevel="0" collapsed="false">
      <c r="A451" s="21"/>
      <c r="B451" s="21"/>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ustomFormat="false" ht="14.25" hidden="false" customHeight="true" outlineLevel="0" collapsed="false">
      <c r="A452" s="21"/>
      <c r="B452" s="21"/>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ustomFormat="false" ht="14.25" hidden="false" customHeight="true" outlineLevel="0" collapsed="false">
      <c r="A453" s="21"/>
      <c r="B453" s="21"/>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ustomFormat="false" ht="14.25" hidden="false" customHeight="true" outlineLevel="0" collapsed="false">
      <c r="A454" s="21"/>
      <c r="B454" s="21"/>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ustomFormat="false" ht="14.25" hidden="false" customHeight="true" outlineLevel="0" collapsed="false">
      <c r="A455" s="21"/>
      <c r="B455" s="21"/>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ustomFormat="false" ht="14.25" hidden="false" customHeight="true" outlineLevel="0" collapsed="false">
      <c r="A456" s="21"/>
      <c r="B456" s="21"/>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ustomFormat="false" ht="14.25" hidden="false" customHeight="true" outlineLevel="0" collapsed="false">
      <c r="A457" s="21"/>
      <c r="B457" s="21"/>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ustomFormat="false" ht="14.25" hidden="false" customHeight="true" outlineLevel="0" collapsed="false">
      <c r="A458" s="21"/>
      <c r="B458" s="21"/>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ustomFormat="false" ht="14.25" hidden="false" customHeight="true" outlineLevel="0" collapsed="false">
      <c r="A459" s="21"/>
      <c r="B459" s="21"/>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ustomFormat="false" ht="14.25" hidden="false" customHeight="true" outlineLevel="0" collapsed="false">
      <c r="A460" s="21"/>
      <c r="B460" s="21"/>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ustomFormat="false" ht="14.25" hidden="false" customHeight="true" outlineLevel="0" collapsed="false">
      <c r="A461" s="21"/>
      <c r="B461" s="21"/>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ustomFormat="false" ht="14.25" hidden="false" customHeight="true" outlineLevel="0" collapsed="false">
      <c r="A462" s="21"/>
      <c r="B462" s="21"/>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ustomFormat="false" ht="14.25" hidden="false" customHeight="true" outlineLevel="0" collapsed="false">
      <c r="A463" s="21"/>
      <c r="B463" s="21"/>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ustomFormat="false" ht="14.25" hidden="false" customHeight="true" outlineLevel="0" collapsed="false">
      <c r="A464" s="21"/>
      <c r="B464" s="21"/>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ustomFormat="false" ht="14.25" hidden="false" customHeight="true" outlineLevel="0" collapsed="false">
      <c r="A465" s="21"/>
      <c r="B465" s="21"/>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ustomFormat="false" ht="14.25" hidden="false" customHeight="true" outlineLevel="0" collapsed="false">
      <c r="A466" s="21"/>
      <c r="B466" s="21"/>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ustomFormat="false" ht="14.25" hidden="false" customHeight="true" outlineLevel="0" collapsed="false">
      <c r="A467" s="21"/>
      <c r="B467" s="21"/>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ustomFormat="false" ht="14.25" hidden="false" customHeight="true" outlineLevel="0" collapsed="false">
      <c r="A468" s="21"/>
      <c r="B468" s="21"/>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ustomFormat="false" ht="14.25" hidden="false" customHeight="true" outlineLevel="0" collapsed="false">
      <c r="A469" s="21"/>
      <c r="B469" s="21"/>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ustomFormat="false" ht="14.25" hidden="false" customHeight="true" outlineLevel="0" collapsed="false">
      <c r="A470" s="21"/>
      <c r="B470" s="21"/>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ustomFormat="false" ht="14.25" hidden="false" customHeight="true" outlineLevel="0" collapsed="false">
      <c r="A471" s="21"/>
      <c r="B471" s="21"/>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ustomFormat="false" ht="14.25" hidden="false" customHeight="true" outlineLevel="0" collapsed="false">
      <c r="A472" s="21"/>
      <c r="B472" s="21"/>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ustomFormat="false" ht="14.25" hidden="false" customHeight="true" outlineLevel="0" collapsed="false">
      <c r="A473" s="21"/>
      <c r="B473" s="21"/>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ustomFormat="false" ht="14.25" hidden="false" customHeight="true" outlineLevel="0" collapsed="false">
      <c r="A474" s="21"/>
      <c r="B474" s="21"/>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ustomFormat="false" ht="14.25" hidden="false" customHeight="true" outlineLevel="0" collapsed="false">
      <c r="A475" s="21"/>
      <c r="B475" s="21"/>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ustomFormat="false" ht="14.25" hidden="false" customHeight="true" outlineLevel="0" collapsed="false">
      <c r="A476" s="21"/>
      <c r="B476" s="21"/>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ustomFormat="false" ht="14.25" hidden="false" customHeight="true" outlineLevel="0" collapsed="false">
      <c r="A477" s="21"/>
      <c r="B477" s="21"/>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ustomFormat="false" ht="14.25" hidden="false" customHeight="true" outlineLevel="0" collapsed="false">
      <c r="A478" s="21"/>
      <c r="B478" s="21"/>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ustomFormat="false" ht="14.25" hidden="false" customHeight="true" outlineLevel="0" collapsed="false">
      <c r="A479" s="21"/>
      <c r="B479" s="21"/>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ustomFormat="false" ht="14.25" hidden="false" customHeight="true" outlineLevel="0" collapsed="false">
      <c r="A480" s="21"/>
      <c r="B480" s="21"/>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ustomFormat="false" ht="14.25" hidden="false" customHeight="true" outlineLevel="0" collapsed="false">
      <c r="A481" s="21"/>
      <c r="B481" s="21"/>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ustomFormat="false" ht="14.25" hidden="false" customHeight="true" outlineLevel="0" collapsed="false">
      <c r="A482" s="21"/>
      <c r="B482" s="21"/>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ustomFormat="false" ht="14.25" hidden="false" customHeight="true" outlineLevel="0" collapsed="false">
      <c r="A483" s="21"/>
      <c r="B483" s="21"/>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ustomFormat="false" ht="14.25" hidden="false" customHeight="true" outlineLevel="0" collapsed="false">
      <c r="A484" s="21"/>
      <c r="B484" s="21"/>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ustomFormat="false" ht="14.25" hidden="false" customHeight="true" outlineLevel="0" collapsed="false">
      <c r="A485" s="21"/>
      <c r="B485" s="21"/>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ustomFormat="false" ht="14.25" hidden="false" customHeight="true" outlineLevel="0" collapsed="false">
      <c r="A486" s="21"/>
      <c r="B486" s="21"/>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ustomFormat="false" ht="14.25" hidden="false" customHeight="true" outlineLevel="0" collapsed="false">
      <c r="A487" s="21"/>
      <c r="B487" s="21"/>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ustomFormat="false" ht="14.25" hidden="false" customHeight="true" outlineLevel="0" collapsed="false">
      <c r="A488" s="21"/>
      <c r="B488" s="21"/>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ustomFormat="false" ht="14.25" hidden="false" customHeight="true" outlineLevel="0" collapsed="false">
      <c r="A489" s="21"/>
      <c r="B489" s="21"/>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ustomFormat="false" ht="14.25" hidden="false" customHeight="true" outlineLevel="0" collapsed="false">
      <c r="A490" s="21"/>
      <c r="B490" s="21"/>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ustomFormat="false" ht="14.25" hidden="false" customHeight="true" outlineLevel="0" collapsed="false">
      <c r="A491" s="21"/>
      <c r="B491" s="21"/>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ustomFormat="false" ht="14.25" hidden="false" customHeight="true" outlineLevel="0" collapsed="false">
      <c r="A492" s="21"/>
      <c r="B492" s="21"/>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ustomFormat="false" ht="14.25" hidden="false" customHeight="true" outlineLevel="0" collapsed="false">
      <c r="A493" s="21"/>
      <c r="B493" s="21"/>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ustomFormat="false" ht="14.25" hidden="false" customHeight="true" outlineLevel="0" collapsed="false">
      <c r="A494" s="21"/>
      <c r="B494" s="21"/>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ustomFormat="false" ht="14.25" hidden="false" customHeight="true" outlineLevel="0" collapsed="false">
      <c r="A495" s="21"/>
      <c r="B495" s="21"/>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ustomFormat="false" ht="14.25" hidden="false" customHeight="true" outlineLevel="0" collapsed="false">
      <c r="A496" s="21"/>
      <c r="B496" s="21"/>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ustomFormat="false" ht="14.25" hidden="false" customHeight="true" outlineLevel="0" collapsed="false">
      <c r="A497" s="21"/>
      <c r="B497" s="21"/>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ustomFormat="false" ht="14.25" hidden="false" customHeight="true" outlineLevel="0" collapsed="false">
      <c r="A498" s="21"/>
      <c r="B498" s="21"/>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ustomFormat="false" ht="14.25" hidden="false" customHeight="true" outlineLevel="0" collapsed="false">
      <c r="A499" s="21"/>
      <c r="B499" s="21"/>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ustomFormat="false" ht="14.25" hidden="false" customHeight="true" outlineLevel="0" collapsed="false">
      <c r="A500" s="21"/>
      <c r="B500" s="21"/>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ustomFormat="false" ht="14.25" hidden="false" customHeight="true" outlineLevel="0" collapsed="false">
      <c r="A501" s="21"/>
      <c r="B501" s="21"/>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ustomFormat="false" ht="14.25" hidden="false" customHeight="true" outlineLevel="0" collapsed="false">
      <c r="A502" s="21"/>
      <c r="B502" s="21"/>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ustomFormat="false" ht="14.25" hidden="false" customHeight="true" outlineLevel="0" collapsed="false">
      <c r="A503" s="21"/>
      <c r="B503" s="21"/>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ustomFormat="false" ht="14.25" hidden="false" customHeight="true" outlineLevel="0" collapsed="false">
      <c r="A504" s="21"/>
      <c r="B504" s="21"/>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ustomFormat="false" ht="14.25" hidden="false" customHeight="true" outlineLevel="0" collapsed="false">
      <c r="A505" s="21"/>
      <c r="B505" s="21"/>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ustomFormat="false" ht="14.25" hidden="false" customHeight="true" outlineLevel="0" collapsed="false">
      <c r="A506" s="21"/>
      <c r="B506" s="21"/>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ustomFormat="false" ht="14.25" hidden="false" customHeight="true" outlineLevel="0" collapsed="false">
      <c r="A507" s="21"/>
      <c r="B507" s="21"/>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ustomFormat="false" ht="14.25" hidden="false" customHeight="true" outlineLevel="0" collapsed="false">
      <c r="A508" s="21"/>
      <c r="B508" s="21"/>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ustomFormat="false" ht="14.25" hidden="false" customHeight="true" outlineLevel="0" collapsed="false">
      <c r="A509" s="21"/>
      <c r="B509" s="21"/>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ustomFormat="false" ht="14.25" hidden="false" customHeight="true" outlineLevel="0" collapsed="false">
      <c r="A510" s="21"/>
      <c r="B510" s="21"/>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ustomFormat="false" ht="14.25" hidden="false" customHeight="true" outlineLevel="0" collapsed="false">
      <c r="A511" s="21"/>
      <c r="B511" s="21"/>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ustomFormat="false" ht="14.25" hidden="false" customHeight="true" outlineLevel="0" collapsed="false">
      <c r="A512" s="21"/>
      <c r="B512" s="21"/>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ustomFormat="false" ht="14.25" hidden="false" customHeight="true" outlineLevel="0" collapsed="false">
      <c r="A513" s="21"/>
      <c r="B513" s="21"/>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ustomFormat="false" ht="14.25" hidden="false" customHeight="true" outlineLevel="0" collapsed="false">
      <c r="A514" s="21"/>
      <c r="B514" s="21"/>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ustomFormat="false" ht="14.25" hidden="false" customHeight="true" outlineLevel="0" collapsed="false">
      <c r="A515" s="21"/>
      <c r="B515" s="21"/>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ustomFormat="false" ht="14.25" hidden="false" customHeight="true" outlineLevel="0" collapsed="false">
      <c r="A516" s="21"/>
      <c r="B516" s="21"/>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ustomFormat="false" ht="14.25" hidden="false" customHeight="true" outlineLevel="0" collapsed="false">
      <c r="A517" s="21"/>
      <c r="B517" s="21"/>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ustomFormat="false" ht="14.25" hidden="false" customHeight="true" outlineLevel="0" collapsed="false">
      <c r="A518" s="21"/>
      <c r="B518" s="21"/>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ustomFormat="false" ht="14.25" hidden="false" customHeight="true" outlineLevel="0" collapsed="false">
      <c r="A519" s="21"/>
      <c r="B519" s="21"/>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ustomFormat="false" ht="14.25" hidden="false" customHeight="true" outlineLevel="0" collapsed="false">
      <c r="A520" s="21"/>
      <c r="B520" s="21"/>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ustomFormat="false" ht="14.25" hidden="false" customHeight="true" outlineLevel="0" collapsed="false">
      <c r="A521" s="21"/>
      <c r="B521" s="21"/>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ustomFormat="false" ht="14.25" hidden="false" customHeight="true" outlineLevel="0" collapsed="false">
      <c r="A522" s="21"/>
      <c r="B522" s="21"/>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ustomFormat="false" ht="14.25" hidden="false" customHeight="true" outlineLevel="0" collapsed="false">
      <c r="A523" s="21"/>
      <c r="B523" s="21"/>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ustomFormat="false" ht="14.25" hidden="false" customHeight="true" outlineLevel="0" collapsed="false">
      <c r="A524" s="21"/>
      <c r="B524" s="21"/>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ustomFormat="false" ht="14.25" hidden="false" customHeight="true" outlineLevel="0" collapsed="false">
      <c r="A525" s="21"/>
      <c r="B525" s="21"/>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ustomFormat="false" ht="14.25" hidden="false" customHeight="true" outlineLevel="0" collapsed="false">
      <c r="A526" s="21"/>
      <c r="B526" s="21"/>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ustomFormat="false" ht="14.25" hidden="false" customHeight="true" outlineLevel="0" collapsed="false">
      <c r="A527" s="21"/>
      <c r="B527" s="21"/>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ustomFormat="false" ht="14.25" hidden="false" customHeight="true" outlineLevel="0" collapsed="false">
      <c r="A528" s="21"/>
      <c r="B528" s="21"/>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ustomFormat="false" ht="14.25" hidden="false" customHeight="true" outlineLevel="0" collapsed="false">
      <c r="A529" s="21"/>
      <c r="B529" s="21"/>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ustomFormat="false" ht="14.25" hidden="false" customHeight="true" outlineLevel="0" collapsed="false">
      <c r="A530" s="21"/>
      <c r="B530" s="21"/>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ustomFormat="false" ht="14.25" hidden="false" customHeight="true" outlineLevel="0" collapsed="false">
      <c r="A531" s="21"/>
      <c r="B531" s="21"/>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ustomFormat="false" ht="14.25" hidden="false" customHeight="true" outlineLevel="0" collapsed="false">
      <c r="A532" s="21"/>
      <c r="B532" s="21"/>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ustomFormat="false" ht="14.25" hidden="false" customHeight="true" outlineLevel="0" collapsed="false">
      <c r="A533" s="21"/>
      <c r="B533" s="21"/>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ustomFormat="false" ht="14.25" hidden="false" customHeight="true" outlineLevel="0" collapsed="false">
      <c r="A534" s="21"/>
      <c r="B534" s="21"/>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ustomFormat="false" ht="14.25" hidden="false" customHeight="true" outlineLevel="0" collapsed="false">
      <c r="A535" s="21"/>
      <c r="B535" s="21"/>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ustomFormat="false" ht="14.25" hidden="false" customHeight="true" outlineLevel="0" collapsed="false">
      <c r="A536" s="21"/>
      <c r="B536" s="21"/>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ustomFormat="false" ht="14.25" hidden="false" customHeight="true" outlineLevel="0" collapsed="false">
      <c r="A537" s="21"/>
      <c r="B537" s="21"/>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ustomFormat="false" ht="14.25" hidden="false" customHeight="true" outlineLevel="0" collapsed="false">
      <c r="A538" s="21"/>
      <c r="B538" s="21"/>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ustomFormat="false" ht="14.25" hidden="false" customHeight="true" outlineLevel="0" collapsed="false">
      <c r="A539" s="21"/>
      <c r="B539" s="21"/>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ustomFormat="false" ht="14.25" hidden="false" customHeight="true" outlineLevel="0" collapsed="false">
      <c r="A540" s="21"/>
      <c r="B540" s="21"/>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ustomFormat="false" ht="14.25" hidden="false" customHeight="true" outlineLevel="0" collapsed="false">
      <c r="A541" s="21"/>
      <c r="B541" s="21"/>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ustomFormat="false" ht="14.25" hidden="false" customHeight="true" outlineLevel="0" collapsed="false">
      <c r="A542" s="21"/>
      <c r="B542" s="21"/>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ustomFormat="false" ht="14.25" hidden="false" customHeight="true" outlineLevel="0" collapsed="false">
      <c r="A543" s="21"/>
      <c r="B543" s="21"/>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ustomFormat="false" ht="14.25" hidden="false" customHeight="true" outlineLevel="0" collapsed="false">
      <c r="A544" s="21"/>
      <c r="B544" s="21"/>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ustomFormat="false" ht="14.25" hidden="false" customHeight="true" outlineLevel="0" collapsed="false">
      <c r="A545" s="21"/>
      <c r="B545" s="21"/>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ustomFormat="false" ht="14.25" hidden="false" customHeight="true" outlineLevel="0" collapsed="false">
      <c r="A546" s="21"/>
      <c r="B546" s="21"/>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ustomFormat="false" ht="14.25" hidden="false" customHeight="true" outlineLevel="0" collapsed="false">
      <c r="A547" s="21"/>
      <c r="B547" s="21"/>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ustomFormat="false" ht="14.25" hidden="false" customHeight="true" outlineLevel="0" collapsed="false">
      <c r="A548" s="21"/>
      <c r="B548" s="21"/>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ustomFormat="false" ht="14.25" hidden="false" customHeight="true" outlineLevel="0" collapsed="false">
      <c r="A549" s="21"/>
      <c r="B549" s="21"/>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ustomFormat="false" ht="14.25" hidden="false" customHeight="true" outlineLevel="0" collapsed="false">
      <c r="A550" s="21"/>
      <c r="B550" s="21"/>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ustomFormat="false" ht="14.25" hidden="false" customHeight="true" outlineLevel="0" collapsed="false">
      <c r="A551" s="21"/>
      <c r="B551" s="21"/>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ustomFormat="false" ht="14.25" hidden="false" customHeight="true" outlineLevel="0" collapsed="false">
      <c r="A552" s="21"/>
      <c r="B552" s="21"/>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ustomFormat="false" ht="14.25" hidden="false" customHeight="true" outlineLevel="0" collapsed="false">
      <c r="A553" s="21"/>
      <c r="B553" s="21"/>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ustomFormat="false" ht="14.25" hidden="false" customHeight="true" outlineLevel="0" collapsed="false">
      <c r="A554" s="21"/>
      <c r="B554" s="21"/>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ustomFormat="false" ht="14.25" hidden="false" customHeight="true" outlineLevel="0" collapsed="false">
      <c r="A555" s="21"/>
      <c r="B555" s="21"/>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ustomFormat="false" ht="14.25" hidden="false" customHeight="true" outlineLevel="0" collapsed="false">
      <c r="A556" s="21"/>
      <c r="B556" s="21"/>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ustomFormat="false" ht="14.25" hidden="false" customHeight="true" outlineLevel="0" collapsed="false">
      <c r="A557" s="21"/>
      <c r="B557" s="21"/>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ustomFormat="false" ht="14.25" hidden="false" customHeight="true" outlineLevel="0" collapsed="false">
      <c r="A558" s="21"/>
      <c r="B558" s="21"/>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ustomFormat="false" ht="14.25" hidden="false" customHeight="true" outlineLevel="0" collapsed="false">
      <c r="A559" s="21"/>
      <c r="B559" s="21"/>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ustomFormat="false" ht="14.25" hidden="false" customHeight="true" outlineLevel="0" collapsed="false">
      <c r="A560" s="21"/>
      <c r="B560" s="21"/>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ustomFormat="false" ht="14.25" hidden="false" customHeight="true" outlineLevel="0" collapsed="false">
      <c r="A561" s="21"/>
      <c r="B561" s="21"/>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ustomFormat="false" ht="14.25" hidden="false" customHeight="true" outlineLevel="0" collapsed="false">
      <c r="A562" s="21"/>
      <c r="B562" s="21"/>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ustomFormat="false" ht="14.25" hidden="false" customHeight="true" outlineLevel="0" collapsed="false">
      <c r="A563" s="21"/>
      <c r="B563" s="21"/>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ustomFormat="false" ht="14.25" hidden="false" customHeight="true" outlineLevel="0" collapsed="false">
      <c r="A564" s="21"/>
      <c r="B564" s="21"/>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ustomFormat="false" ht="14.25" hidden="false" customHeight="true" outlineLevel="0" collapsed="false">
      <c r="A565" s="21"/>
      <c r="B565" s="21"/>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ustomFormat="false" ht="14.25" hidden="false" customHeight="true" outlineLevel="0" collapsed="false">
      <c r="A566" s="21"/>
      <c r="B566" s="21"/>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ustomFormat="false" ht="14.25" hidden="false" customHeight="true" outlineLevel="0" collapsed="false">
      <c r="A567" s="21"/>
      <c r="B567" s="21"/>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ustomFormat="false" ht="14.25" hidden="false" customHeight="true" outlineLevel="0" collapsed="false">
      <c r="A568" s="21"/>
      <c r="B568" s="21"/>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ustomFormat="false" ht="14.25" hidden="false" customHeight="true" outlineLevel="0" collapsed="false">
      <c r="A569" s="21"/>
      <c r="B569" s="21"/>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ustomFormat="false" ht="14.25" hidden="false" customHeight="true" outlineLevel="0" collapsed="false">
      <c r="A570" s="21"/>
      <c r="B570" s="21"/>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ustomFormat="false" ht="14.25" hidden="false" customHeight="true" outlineLevel="0" collapsed="false">
      <c r="A571" s="21"/>
      <c r="B571" s="21"/>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ustomFormat="false" ht="14.25" hidden="false" customHeight="true" outlineLevel="0" collapsed="false">
      <c r="A572" s="21"/>
      <c r="B572" s="21"/>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ustomFormat="false" ht="14.25" hidden="false" customHeight="true" outlineLevel="0" collapsed="false">
      <c r="A573" s="21"/>
      <c r="B573" s="21"/>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ustomFormat="false" ht="14.25" hidden="false" customHeight="true" outlineLevel="0" collapsed="false">
      <c r="A574" s="21"/>
      <c r="B574" s="21"/>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ustomFormat="false" ht="14.25" hidden="false" customHeight="true" outlineLevel="0" collapsed="false">
      <c r="A575" s="21"/>
      <c r="B575" s="21"/>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ustomFormat="false" ht="14.25" hidden="false" customHeight="true" outlineLevel="0" collapsed="false">
      <c r="A576" s="21"/>
      <c r="B576" s="21"/>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ustomFormat="false" ht="14.25" hidden="false" customHeight="true" outlineLevel="0" collapsed="false">
      <c r="A577" s="21"/>
      <c r="B577" s="21"/>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ustomFormat="false" ht="14.25" hidden="false" customHeight="true" outlineLevel="0" collapsed="false">
      <c r="A578" s="21"/>
      <c r="B578" s="21"/>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ustomFormat="false" ht="14.25" hidden="false" customHeight="true" outlineLevel="0" collapsed="false">
      <c r="A579" s="21"/>
      <c r="B579" s="21"/>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ustomFormat="false" ht="14.25" hidden="false" customHeight="true" outlineLevel="0" collapsed="false">
      <c r="A580" s="21"/>
      <c r="B580" s="21"/>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ustomFormat="false" ht="14.25" hidden="false" customHeight="true" outlineLevel="0" collapsed="false">
      <c r="A581" s="21"/>
      <c r="B581" s="21"/>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ustomFormat="false" ht="14.25" hidden="false" customHeight="true" outlineLevel="0" collapsed="false">
      <c r="A582" s="21"/>
      <c r="B582" s="21"/>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ustomFormat="false" ht="14.25" hidden="false" customHeight="true" outlineLevel="0" collapsed="false">
      <c r="A583" s="21"/>
      <c r="B583" s="21"/>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ustomFormat="false" ht="14.25" hidden="false" customHeight="true" outlineLevel="0" collapsed="false">
      <c r="A584" s="21"/>
      <c r="B584" s="21"/>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ustomFormat="false" ht="14.25" hidden="false" customHeight="true" outlineLevel="0" collapsed="false">
      <c r="A585" s="21"/>
      <c r="B585" s="21"/>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ustomFormat="false" ht="14.25" hidden="false" customHeight="true" outlineLevel="0" collapsed="false">
      <c r="A586" s="21"/>
      <c r="B586" s="21"/>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ustomFormat="false" ht="14.25" hidden="false" customHeight="true" outlineLevel="0" collapsed="false">
      <c r="A587" s="21"/>
      <c r="B587" s="21"/>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ustomFormat="false" ht="14.25" hidden="false" customHeight="true" outlineLevel="0" collapsed="false">
      <c r="A588" s="21"/>
      <c r="B588" s="21"/>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ustomFormat="false" ht="14.25" hidden="false" customHeight="true" outlineLevel="0" collapsed="false">
      <c r="A589" s="21"/>
      <c r="B589" s="21"/>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ustomFormat="false" ht="14.25" hidden="false" customHeight="true" outlineLevel="0" collapsed="false">
      <c r="A590" s="21"/>
      <c r="B590" s="21"/>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ustomFormat="false" ht="14.25" hidden="false" customHeight="true" outlineLevel="0" collapsed="false">
      <c r="A591" s="21"/>
      <c r="B591" s="21"/>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ustomFormat="false" ht="14.25" hidden="false" customHeight="true" outlineLevel="0" collapsed="false">
      <c r="A592" s="21"/>
      <c r="B592" s="21"/>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ustomFormat="false" ht="14.25" hidden="false" customHeight="true" outlineLevel="0" collapsed="false">
      <c r="A593" s="21"/>
      <c r="B593" s="21"/>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ustomFormat="false" ht="14.25" hidden="false" customHeight="true" outlineLevel="0" collapsed="false">
      <c r="A594" s="21"/>
      <c r="B594" s="21"/>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ustomFormat="false" ht="14.25" hidden="false" customHeight="true" outlineLevel="0" collapsed="false">
      <c r="A595" s="21"/>
      <c r="B595" s="21"/>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ustomFormat="false" ht="14.25" hidden="false" customHeight="true" outlineLevel="0" collapsed="false">
      <c r="A596" s="21"/>
      <c r="B596" s="21"/>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ustomFormat="false" ht="14.25" hidden="false" customHeight="true" outlineLevel="0" collapsed="false">
      <c r="A597" s="21"/>
      <c r="B597" s="21"/>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ustomFormat="false" ht="14.25" hidden="false" customHeight="true" outlineLevel="0" collapsed="false">
      <c r="A598" s="21"/>
      <c r="B598" s="21"/>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ustomFormat="false" ht="14.25" hidden="false" customHeight="true" outlineLevel="0" collapsed="false">
      <c r="A599" s="21"/>
      <c r="B599" s="21"/>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ustomFormat="false" ht="14.25" hidden="false" customHeight="true" outlineLevel="0" collapsed="false">
      <c r="A600" s="21"/>
      <c r="B600" s="21"/>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ustomFormat="false" ht="14.25" hidden="false" customHeight="true" outlineLevel="0" collapsed="false">
      <c r="A601" s="21"/>
      <c r="B601" s="21"/>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ustomFormat="false" ht="14.25" hidden="false" customHeight="true" outlineLevel="0" collapsed="false">
      <c r="A602" s="21"/>
      <c r="B602" s="21"/>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ustomFormat="false" ht="14.25" hidden="false" customHeight="true" outlineLevel="0" collapsed="false">
      <c r="A603" s="21"/>
      <c r="B603" s="21"/>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ustomFormat="false" ht="14.25" hidden="false" customHeight="true" outlineLevel="0" collapsed="false">
      <c r="A604" s="21"/>
      <c r="B604" s="21"/>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ustomFormat="false" ht="14.25" hidden="false" customHeight="true" outlineLevel="0" collapsed="false">
      <c r="A605" s="21"/>
      <c r="B605" s="21"/>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ustomFormat="false" ht="14.25" hidden="false" customHeight="true" outlineLevel="0" collapsed="false">
      <c r="A606" s="21"/>
      <c r="B606" s="21"/>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ustomFormat="false" ht="14.25" hidden="false" customHeight="true" outlineLevel="0" collapsed="false">
      <c r="A607" s="21"/>
      <c r="B607" s="21"/>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ustomFormat="false" ht="14.25" hidden="false" customHeight="true" outlineLevel="0" collapsed="false">
      <c r="A608" s="21"/>
      <c r="B608" s="21"/>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ustomFormat="false" ht="14.25" hidden="false" customHeight="true" outlineLevel="0" collapsed="false">
      <c r="A609" s="21"/>
      <c r="B609" s="21"/>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ustomFormat="false" ht="14.25" hidden="false" customHeight="true" outlineLevel="0" collapsed="false">
      <c r="A610" s="21"/>
      <c r="B610" s="21"/>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ustomFormat="false" ht="14.25" hidden="false" customHeight="true" outlineLevel="0" collapsed="false">
      <c r="A611" s="21"/>
      <c r="B611" s="21"/>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ustomFormat="false" ht="14.25" hidden="false" customHeight="true" outlineLevel="0" collapsed="false">
      <c r="A612" s="21"/>
      <c r="B612" s="21"/>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ustomFormat="false" ht="14.25" hidden="false" customHeight="true" outlineLevel="0" collapsed="false">
      <c r="A613" s="21"/>
      <c r="B613" s="21"/>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ustomFormat="false" ht="14.25" hidden="false" customHeight="true" outlineLevel="0" collapsed="false">
      <c r="A614" s="21"/>
      <c r="B614" s="21"/>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ustomFormat="false" ht="14.25" hidden="false" customHeight="true" outlineLevel="0" collapsed="false">
      <c r="A615" s="21"/>
      <c r="B615" s="21"/>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ustomFormat="false" ht="14.25" hidden="false" customHeight="true" outlineLevel="0" collapsed="false">
      <c r="A616" s="21"/>
      <c r="B616" s="21"/>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ustomFormat="false" ht="14.25" hidden="false" customHeight="true" outlineLevel="0" collapsed="false">
      <c r="A617" s="21"/>
      <c r="B617" s="21"/>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ustomFormat="false" ht="14.25" hidden="false" customHeight="true" outlineLevel="0" collapsed="false">
      <c r="A618" s="21"/>
      <c r="B618" s="21"/>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ustomFormat="false" ht="14.25" hidden="false" customHeight="true" outlineLevel="0" collapsed="false">
      <c r="A619" s="21"/>
      <c r="B619" s="21"/>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ustomFormat="false" ht="14.25" hidden="false" customHeight="true" outlineLevel="0" collapsed="false">
      <c r="A620" s="21"/>
      <c r="B620" s="21"/>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ustomFormat="false" ht="14.25" hidden="false" customHeight="true" outlineLevel="0" collapsed="false">
      <c r="A621" s="21"/>
      <c r="B621" s="21"/>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ustomFormat="false" ht="14.25" hidden="false" customHeight="true" outlineLevel="0" collapsed="false">
      <c r="A622" s="21"/>
      <c r="B622" s="21"/>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ustomFormat="false" ht="14.25" hidden="false" customHeight="true" outlineLevel="0" collapsed="false">
      <c r="A623" s="21"/>
      <c r="B623" s="21"/>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ustomFormat="false" ht="14.25" hidden="false" customHeight="true" outlineLevel="0" collapsed="false">
      <c r="A624" s="21"/>
      <c r="B624" s="21"/>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ustomFormat="false" ht="14.25" hidden="false" customHeight="true" outlineLevel="0" collapsed="false">
      <c r="A625" s="21"/>
      <c r="B625" s="21"/>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ustomFormat="false" ht="14.25" hidden="false" customHeight="true" outlineLevel="0" collapsed="false">
      <c r="A626" s="21"/>
      <c r="B626" s="21"/>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ustomFormat="false" ht="14.25" hidden="false" customHeight="true" outlineLevel="0" collapsed="false">
      <c r="A627" s="21"/>
      <c r="B627" s="21"/>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ustomFormat="false" ht="14.25" hidden="false" customHeight="true" outlineLevel="0" collapsed="false">
      <c r="A628" s="21"/>
      <c r="B628" s="21"/>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ustomFormat="false" ht="14.25" hidden="false" customHeight="true" outlineLevel="0" collapsed="false">
      <c r="A629" s="21"/>
      <c r="B629" s="21"/>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ustomFormat="false" ht="14.25" hidden="false" customHeight="true" outlineLevel="0" collapsed="false">
      <c r="A630" s="21"/>
      <c r="B630" s="21"/>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ustomFormat="false" ht="14.25" hidden="false" customHeight="true" outlineLevel="0" collapsed="false">
      <c r="A631" s="21"/>
      <c r="B631" s="21"/>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ustomFormat="false" ht="14.25" hidden="false" customHeight="true" outlineLevel="0" collapsed="false">
      <c r="A632" s="21"/>
      <c r="B632" s="21"/>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ustomFormat="false" ht="14.25" hidden="false" customHeight="true" outlineLevel="0" collapsed="false">
      <c r="A633" s="21"/>
      <c r="B633" s="21"/>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ustomFormat="false" ht="14.25" hidden="false" customHeight="true" outlineLevel="0" collapsed="false">
      <c r="A634" s="21"/>
      <c r="B634" s="21"/>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ustomFormat="false" ht="14.25" hidden="false" customHeight="true" outlineLevel="0" collapsed="false">
      <c r="A635" s="21"/>
      <c r="B635" s="21"/>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ustomFormat="false" ht="14.25" hidden="false" customHeight="true" outlineLevel="0" collapsed="false">
      <c r="A636" s="21"/>
      <c r="B636" s="21"/>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ustomFormat="false" ht="14.25" hidden="false" customHeight="true" outlineLevel="0" collapsed="false">
      <c r="A637" s="21"/>
      <c r="B637" s="21"/>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ustomFormat="false" ht="14.25" hidden="false" customHeight="true" outlineLevel="0" collapsed="false">
      <c r="A638" s="21"/>
      <c r="B638" s="21"/>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ustomFormat="false" ht="14.25" hidden="false" customHeight="true" outlineLevel="0" collapsed="false">
      <c r="A639" s="21"/>
      <c r="B639" s="21"/>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ustomFormat="false" ht="14.25" hidden="false" customHeight="true" outlineLevel="0" collapsed="false">
      <c r="A640" s="21"/>
      <c r="B640" s="21"/>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ustomFormat="false" ht="14.25" hidden="false" customHeight="true" outlineLevel="0" collapsed="false">
      <c r="A641" s="21"/>
      <c r="B641" s="21"/>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ustomFormat="false" ht="14.25" hidden="false" customHeight="true" outlineLevel="0" collapsed="false">
      <c r="A642" s="21"/>
      <c r="B642" s="21"/>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ustomFormat="false" ht="14.25" hidden="false" customHeight="true" outlineLevel="0" collapsed="false">
      <c r="A643" s="21"/>
      <c r="B643" s="21"/>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ustomFormat="false" ht="14.25" hidden="false" customHeight="true" outlineLevel="0" collapsed="false">
      <c r="A644" s="21"/>
      <c r="B644" s="21"/>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ustomFormat="false" ht="14.25" hidden="false" customHeight="true" outlineLevel="0" collapsed="false">
      <c r="A645" s="21"/>
      <c r="B645" s="21"/>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ustomFormat="false" ht="14.25" hidden="false" customHeight="true" outlineLevel="0" collapsed="false">
      <c r="A646" s="21"/>
      <c r="B646" s="21"/>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ustomFormat="false" ht="14.25" hidden="false" customHeight="true" outlineLevel="0" collapsed="false">
      <c r="A647" s="21"/>
      <c r="B647" s="21"/>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ustomFormat="false" ht="14.25" hidden="false" customHeight="true" outlineLevel="0" collapsed="false">
      <c r="A648" s="21"/>
      <c r="B648" s="21"/>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ustomFormat="false" ht="14.25" hidden="false" customHeight="true" outlineLevel="0" collapsed="false">
      <c r="A649" s="21"/>
      <c r="B649" s="21"/>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ustomFormat="false" ht="14.25" hidden="false" customHeight="true" outlineLevel="0" collapsed="false">
      <c r="A650" s="21"/>
      <c r="B650" s="21"/>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ustomFormat="false" ht="14.25" hidden="false" customHeight="true" outlineLevel="0" collapsed="false">
      <c r="A651" s="21"/>
      <c r="B651" s="21"/>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ustomFormat="false" ht="14.25" hidden="false" customHeight="true" outlineLevel="0" collapsed="false">
      <c r="A652" s="21"/>
      <c r="B652" s="21"/>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ustomFormat="false" ht="14.25" hidden="false" customHeight="true" outlineLevel="0" collapsed="false">
      <c r="A653" s="21"/>
      <c r="B653" s="21"/>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ustomFormat="false" ht="14.25" hidden="false" customHeight="true" outlineLevel="0" collapsed="false">
      <c r="A654" s="21"/>
      <c r="B654" s="21"/>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ustomFormat="false" ht="14.25" hidden="false" customHeight="true" outlineLevel="0" collapsed="false">
      <c r="A655" s="21"/>
      <c r="B655" s="21"/>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ustomFormat="false" ht="14.25" hidden="false" customHeight="true" outlineLevel="0" collapsed="false">
      <c r="A656" s="21"/>
      <c r="B656" s="21"/>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ustomFormat="false" ht="14.25" hidden="false" customHeight="true" outlineLevel="0" collapsed="false">
      <c r="A657" s="21"/>
      <c r="B657" s="21"/>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ustomFormat="false" ht="14.25" hidden="false" customHeight="true" outlineLevel="0" collapsed="false">
      <c r="A658" s="21"/>
      <c r="B658" s="21"/>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ustomFormat="false" ht="14.25" hidden="false" customHeight="true" outlineLevel="0" collapsed="false">
      <c r="A659" s="21"/>
      <c r="B659" s="21"/>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ustomFormat="false" ht="14.25" hidden="false" customHeight="true" outlineLevel="0" collapsed="false">
      <c r="A660" s="21"/>
      <c r="B660" s="21"/>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ustomFormat="false" ht="14.25" hidden="false" customHeight="true" outlineLevel="0" collapsed="false">
      <c r="A661" s="21"/>
      <c r="B661" s="21"/>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ustomFormat="false" ht="14.25" hidden="false" customHeight="true" outlineLevel="0" collapsed="false">
      <c r="A662" s="21"/>
      <c r="B662" s="21"/>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ustomFormat="false" ht="14.25" hidden="false" customHeight="true" outlineLevel="0" collapsed="false">
      <c r="A663" s="21"/>
      <c r="B663" s="21"/>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ustomFormat="false" ht="14.25" hidden="false" customHeight="true" outlineLevel="0" collapsed="false">
      <c r="A664" s="21"/>
      <c r="B664" s="21"/>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ustomFormat="false" ht="14.25" hidden="false" customHeight="true" outlineLevel="0" collapsed="false">
      <c r="A665" s="21"/>
      <c r="B665" s="21"/>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ustomFormat="false" ht="14.25" hidden="false" customHeight="true" outlineLevel="0" collapsed="false">
      <c r="A666" s="21"/>
      <c r="B666" s="21"/>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ustomFormat="false" ht="14.25" hidden="false" customHeight="true" outlineLevel="0" collapsed="false">
      <c r="A667" s="21"/>
      <c r="B667" s="21"/>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ustomFormat="false" ht="14.25" hidden="false" customHeight="true" outlineLevel="0" collapsed="false">
      <c r="A668" s="21"/>
      <c r="B668" s="21"/>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ustomFormat="false" ht="14.25" hidden="false" customHeight="true" outlineLevel="0" collapsed="false">
      <c r="A669" s="21"/>
      <c r="B669" s="21"/>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ustomFormat="false" ht="14.25" hidden="false" customHeight="true" outlineLevel="0" collapsed="false">
      <c r="A670" s="21"/>
      <c r="B670" s="21"/>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ustomFormat="false" ht="14.25" hidden="false" customHeight="true" outlineLevel="0" collapsed="false">
      <c r="A671" s="21"/>
      <c r="B671" s="21"/>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ustomFormat="false" ht="14.25" hidden="false" customHeight="true" outlineLevel="0" collapsed="false">
      <c r="A672" s="21"/>
      <c r="B672" s="21"/>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ustomFormat="false" ht="14.25" hidden="false" customHeight="true" outlineLevel="0" collapsed="false">
      <c r="A673" s="21"/>
      <c r="B673" s="21"/>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ustomFormat="false" ht="14.25" hidden="false" customHeight="true" outlineLevel="0" collapsed="false">
      <c r="A674" s="21"/>
      <c r="B674" s="21"/>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ustomFormat="false" ht="14.25" hidden="false" customHeight="true" outlineLevel="0" collapsed="false">
      <c r="A675" s="21"/>
      <c r="B675" s="21"/>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ustomFormat="false" ht="14.25" hidden="false" customHeight="true" outlineLevel="0" collapsed="false">
      <c r="A676" s="21"/>
      <c r="B676" s="21"/>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ustomFormat="false" ht="14.25" hidden="false" customHeight="true" outlineLevel="0" collapsed="false">
      <c r="A677" s="21"/>
      <c r="B677" s="21"/>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ustomFormat="false" ht="14.25" hidden="false" customHeight="true" outlineLevel="0" collapsed="false">
      <c r="A678" s="21"/>
      <c r="B678" s="21"/>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ustomFormat="false" ht="14.25" hidden="false" customHeight="true" outlineLevel="0" collapsed="false">
      <c r="A679" s="21"/>
      <c r="B679" s="21"/>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ustomFormat="false" ht="14.25" hidden="false" customHeight="true" outlineLevel="0" collapsed="false">
      <c r="A680" s="21"/>
      <c r="B680" s="21"/>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ustomFormat="false" ht="14.25" hidden="false" customHeight="true" outlineLevel="0" collapsed="false">
      <c r="A681" s="21"/>
      <c r="B681" s="21"/>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ustomFormat="false" ht="14.25" hidden="false" customHeight="true" outlineLevel="0" collapsed="false">
      <c r="A682" s="21"/>
      <c r="B682" s="21"/>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ustomFormat="false" ht="14.25" hidden="false" customHeight="true" outlineLevel="0" collapsed="false">
      <c r="A683" s="21"/>
      <c r="B683" s="21"/>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ustomFormat="false" ht="14.25" hidden="false" customHeight="true" outlineLevel="0" collapsed="false">
      <c r="A684" s="21"/>
      <c r="B684" s="21"/>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ustomFormat="false" ht="14.25" hidden="false" customHeight="true" outlineLevel="0" collapsed="false">
      <c r="A685" s="21"/>
      <c r="B685" s="21"/>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ustomFormat="false" ht="14.25" hidden="false" customHeight="true" outlineLevel="0" collapsed="false">
      <c r="A686" s="21"/>
      <c r="B686" s="21"/>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ustomFormat="false" ht="14.25" hidden="false" customHeight="true" outlineLevel="0" collapsed="false">
      <c r="A687" s="21"/>
      <c r="B687" s="21"/>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ustomFormat="false" ht="14.25" hidden="false" customHeight="true" outlineLevel="0" collapsed="false">
      <c r="A688" s="21"/>
      <c r="B688" s="21"/>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ustomFormat="false" ht="14.25" hidden="false" customHeight="true" outlineLevel="0" collapsed="false">
      <c r="A689" s="21"/>
      <c r="B689" s="21"/>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ustomFormat="false" ht="14.25" hidden="false" customHeight="true" outlineLevel="0" collapsed="false">
      <c r="A690" s="21"/>
      <c r="B690" s="21"/>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ustomFormat="false" ht="14.25" hidden="false" customHeight="true" outlineLevel="0" collapsed="false">
      <c r="A691" s="21"/>
      <c r="B691" s="21"/>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ustomFormat="false" ht="14.25" hidden="false" customHeight="true" outlineLevel="0" collapsed="false">
      <c r="A692" s="21"/>
      <c r="B692" s="21"/>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ustomFormat="false" ht="14.25" hidden="false" customHeight="true" outlineLevel="0" collapsed="false">
      <c r="A693" s="21"/>
      <c r="B693" s="21"/>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ustomFormat="false" ht="14.25" hidden="false" customHeight="true" outlineLevel="0" collapsed="false">
      <c r="A694" s="21"/>
      <c r="B694" s="21"/>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ustomFormat="false" ht="14.25" hidden="false" customHeight="true" outlineLevel="0" collapsed="false">
      <c r="A695" s="21"/>
      <c r="B695" s="21"/>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ustomFormat="false" ht="14.25" hidden="false" customHeight="true" outlineLevel="0" collapsed="false">
      <c r="A696" s="21"/>
      <c r="B696" s="21"/>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ustomFormat="false" ht="14.25" hidden="false" customHeight="true" outlineLevel="0" collapsed="false">
      <c r="A697" s="21"/>
      <c r="B697" s="21"/>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ustomFormat="false" ht="14.25" hidden="false" customHeight="true" outlineLevel="0" collapsed="false">
      <c r="A698" s="21"/>
      <c r="B698" s="21"/>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ustomFormat="false" ht="14.25" hidden="false" customHeight="true" outlineLevel="0" collapsed="false">
      <c r="A699" s="21"/>
      <c r="B699" s="21"/>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ustomFormat="false" ht="14.25" hidden="false" customHeight="true" outlineLevel="0" collapsed="false">
      <c r="A700" s="21"/>
      <c r="B700" s="21"/>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ustomFormat="false" ht="14.25" hidden="false" customHeight="true" outlineLevel="0" collapsed="false">
      <c r="A701" s="21"/>
      <c r="B701" s="21"/>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ustomFormat="false" ht="14.25" hidden="false" customHeight="true" outlineLevel="0" collapsed="false">
      <c r="A702" s="21"/>
      <c r="B702" s="21"/>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ustomFormat="false" ht="14.25" hidden="false" customHeight="true" outlineLevel="0" collapsed="false">
      <c r="A703" s="21"/>
      <c r="B703" s="21"/>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ustomFormat="false" ht="14.25" hidden="false" customHeight="true" outlineLevel="0" collapsed="false">
      <c r="A704" s="21"/>
      <c r="B704" s="21"/>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ustomFormat="false" ht="14.25" hidden="false" customHeight="true" outlineLevel="0" collapsed="false">
      <c r="A705" s="21"/>
      <c r="B705" s="21"/>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ustomFormat="false" ht="14.25" hidden="false" customHeight="true" outlineLevel="0" collapsed="false">
      <c r="A706" s="21"/>
      <c r="B706" s="21"/>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ustomFormat="false" ht="14.25" hidden="false" customHeight="true" outlineLevel="0" collapsed="false">
      <c r="A707" s="21"/>
      <c r="B707" s="21"/>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ustomFormat="false" ht="14.25" hidden="false" customHeight="true" outlineLevel="0" collapsed="false">
      <c r="A708" s="21"/>
      <c r="B708" s="21"/>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ustomFormat="false" ht="14.25" hidden="false" customHeight="true" outlineLevel="0" collapsed="false">
      <c r="A709" s="21"/>
      <c r="B709" s="21"/>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ustomFormat="false" ht="14.25" hidden="false" customHeight="true" outlineLevel="0" collapsed="false">
      <c r="A710" s="21"/>
      <c r="B710" s="21"/>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ustomFormat="false" ht="14.25" hidden="false" customHeight="true" outlineLevel="0" collapsed="false">
      <c r="A711" s="21"/>
      <c r="B711" s="21"/>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ustomFormat="false" ht="14.25" hidden="false" customHeight="true" outlineLevel="0" collapsed="false">
      <c r="A712" s="21"/>
      <c r="B712" s="21"/>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ustomFormat="false" ht="14.25" hidden="false" customHeight="true" outlineLevel="0" collapsed="false">
      <c r="A713" s="21"/>
      <c r="B713" s="21"/>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ustomFormat="false" ht="14.25" hidden="false" customHeight="true" outlineLevel="0" collapsed="false">
      <c r="A714" s="21"/>
      <c r="B714" s="21"/>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ustomFormat="false" ht="14.25" hidden="false" customHeight="true" outlineLevel="0" collapsed="false">
      <c r="A715" s="21"/>
      <c r="B715" s="21"/>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ustomFormat="false" ht="14.25" hidden="false" customHeight="true" outlineLevel="0" collapsed="false">
      <c r="A716" s="21"/>
      <c r="B716" s="21"/>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ustomFormat="false" ht="14.25" hidden="false" customHeight="true" outlineLevel="0" collapsed="false">
      <c r="A717" s="21"/>
      <c r="B717" s="21"/>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ustomFormat="false" ht="14.25" hidden="false" customHeight="true" outlineLevel="0" collapsed="false">
      <c r="A718" s="21"/>
      <c r="B718" s="21"/>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ustomFormat="false" ht="14.25" hidden="false" customHeight="true" outlineLevel="0" collapsed="false">
      <c r="A719" s="21"/>
      <c r="B719" s="21"/>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ustomFormat="false" ht="14.25" hidden="false" customHeight="true" outlineLevel="0" collapsed="false">
      <c r="A720" s="21"/>
      <c r="B720" s="21"/>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ustomFormat="false" ht="14.25" hidden="false" customHeight="true" outlineLevel="0" collapsed="false">
      <c r="A721" s="21"/>
      <c r="B721" s="21"/>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ustomFormat="false" ht="14.25" hidden="false" customHeight="true" outlineLevel="0" collapsed="false">
      <c r="A722" s="21"/>
      <c r="B722" s="21"/>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ustomFormat="false" ht="14.25" hidden="false" customHeight="true" outlineLevel="0" collapsed="false">
      <c r="A723" s="21"/>
      <c r="B723" s="21"/>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ustomFormat="false" ht="14.25" hidden="false" customHeight="true" outlineLevel="0" collapsed="false">
      <c r="A724" s="21"/>
      <c r="B724" s="21"/>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ustomFormat="false" ht="14.25" hidden="false" customHeight="true" outlineLevel="0" collapsed="false">
      <c r="A725" s="21"/>
      <c r="B725" s="21"/>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ustomFormat="false" ht="14.25" hidden="false" customHeight="true" outlineLevel="0" collapsed="false">
      <c r="A726" s="21"/>
      <c r="B726" s="21"/>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ustomFormat="false" ht="14.25" hidden="false" customHeight="true" outlineLevel="0" collapsed="false">
      <c r="A727" s="21"/>
      <c r="B727" s="21"/>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ustomFormat="false" ht="14.25" hidden="false" customHeight="true" outlineLevel="0" collapsed="false">
      <c r="A728" s="21"/>
      <c r="B728" s="21"/>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ustomFormat="false" ht="14.25" hidden="false" customHeight="true" outlineLevel="0" collapsed="false">
      <c r="A729" s="21"/>
      <c r="B729" s="21"/>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ustomFormat="false" ht="14.25" hidden="false" customHeight="true" outlineLevel="0" collapsed="false">
      <c r="A730" s="21"/>
      <c r="B730" s="21"/>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ustomFormat="false" ht="14.25" hidden="false" customHeight="true" outlineLevel="0" collapsed="false">
      <c r="A731" s="21"/>
      <c r="B731" s="21"/>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ustomFormat="false" ht="14.25" hidden="false" customHeight="true" outlineLevel="0" collapsed="false">
      <c r="A732" s="21"/>
      <c r="B732" s="21"/>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ustomFormat="false" ht="14.25" hidden="false" customHeight="true" outlineLevel="0" collapsed="false">
      <c r="A733" s="21"/>
      <c r="B733" s="21"/>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ustomFormat="false" ht="14.25" hidden="false" customHeight="true" outlineLevel="0" collapsed="false">
      <c r="A734" s="21"/>
      <c r="B734" s="21"/>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ustomFormat="false" ht="14.25" hidden="false" customHeight="true" outlineLevel="0" collapsed="false">
      <c r="A735" s="21"/>
      <c r="B735" s="21"/>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ustomFormat="false" ht="14.25" hidden="false" customHeight="true" outlineLevel="0" collapsed="false">
      <c r="A736" s="21"/>
      <c r="B736" s="21"/>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ustomFormat="false" ht="14.25" hidden="false" customHeight="true" outlineLevel="0" collapsed="false">
      <c r="A737" s="21"/>
      <c r="B737" s="21"/>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ustomFormat="false" ht="14.25" hidden="false" customHeight="true" outlineLevel="0" collapsed="false">
      <c r="A738" s="21"/>
      <c r="B738" s="21"/>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ustomFormat="false" ht="14.25" hidden="false" customHeight="true" outlineLevel="0" collapsed="false">
      <c r="A739" s="21"/>
      <c r="B739" s="21"/>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ustomFormat="false" ht="14.25" hidden="false" customHeight="true" outlineLevel="0" collapsed="false">
      <c r="A740" s="21"/>
      <c r="B740" s="21"/>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ustomFormat="false" ht="14.25" hidden="false" customHeight="true" outlineLevel="0" collapsed="false">
      <c r="A741" s="21"/>
      <c r="B741" s="21"/>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ustomFormat="false" ht="14.25" hidden="false" customHeight="true" outlineLevel="0" collapsed="false">
      <c r="A742" s="21"/>
      <c r="B742" s="21"/>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ustomFormat="false" ht="14.25" hidden="false" customHeight="true" outlineLevel="0" collapsed="false">
      <c r="A743" s="21"/>
      <c r="B743" s="21"/>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ustomFormat="false" ht="14.25" hidden="false" customHeight="true" outlineLevel="0" collapsed="false">
      <c r="A744" s="21"/>
      <c r="B744" s="21"/>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ustomFormat="false" ht="14.25" hidden="false" customHeight="true" outlineLevel="0" collapsed="false">
      <c r="A745" s="21"/>
      <c r="B745" s="21"/>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ustomFormat="false" ht="14.25" hidden="false" customHeight="true" outlineLevel="0" collapsed="false">
      <c r="A746" s="21"/>
      <c r="B746" s="21"/>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ustomFormat="false" ht="14.25" hidden="false" customHeight="true" outlineLevel="0" collapsed="false">
      <c r="A747" s="21"/>
      <c r="B747" s="21"/>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ustomFormat="false" ht="14.25" hidden="false" customHeight="true" outlineLevel="0" collapsed="false">
      <c r="A748" s="21"/>
      <c r="B748" s="21"/>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ustomFormat="false" ht="14.25" hidden="false" customHeight="true" outlineLevel="0" collapsed="false">
      <c r="A749" s="21"/>
      <c r="B749" s="21"/>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ustomFormat="false" ht="14.25" hidden="false" customHeight="true" outlineLevel="0" collapsed="false">
      <c r="A750" s="21"/>
      <c r="B750" s="21"/>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ustomFormat="false" ht="14.25" hidden="false" customHeight="true" outlineLevel="0" collapsed="false">
      <c r="A751" s="21"/>
      <c r="B751" s="21"/>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ustomFormat="false" ht="14.25" hidden="false" customHeight="true" outlineLevel="0" collapsed="false">
      <c r="A752" s="21"/>
      <c r="B752" s="21"/>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ustomFormat="false" ht="14.25" hidden="false" customHeight="true" outlineLevel="0" collapsed="false">
      <c r="A753" s="21"/>
      <c r="B753" s="21"/>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ustomFormat="false" ht="14.25" hidden="false" customHeight="true" outlineLevel="0" collapsed="false">
      <c r="A754" s="21"/>
      <c r="B754" s="21"/>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ustomFormat="false" ht="14.25" hidden="false" customHeight="true" outlineLevel="0" collapsed="false">
      <c r="A755" s="21"/>
      <c r="B755" s="21"/>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ustomFormat="false" ht="14.25" hidden="false" customHeight="true" outlineLevel="0" collapsed="false">
      <c r="A756" s="21"/>
      <c r="B756" s="21"/>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ustomFormat="false" ht="14.25" hidden="false" customHeight="true" outlineLevel="0" collapsed="false">
      <c r="A757" s="21"/>
      <c r="B757" s="21"/>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ustomFormat="false" ht="14.25" hidden="false" customHeight="true" outlineLevel="0" collapsed="false">
      <c r="A758" s="21"/>
      <c r="B758" s="21"/>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ustomFormat="false" ht="14.25" hidden="false" customHeight="true" outlineLevel="0" collapsed="false">
      <c r="A759" s="21"/>
      <c r="B759" s="21"/>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ustomFormat="false" ht="14.25" hidden="false" customHeight="true" outlineLevel="0" collapsed="false">
      <c r="A760" s="21"/>
      <c r="B760" s="21"/>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ustomFormat="false" ht="14.25" hidden="false" customHeight="true" outlineLevel="0" collapsed="false">
      <c r="A761" s="21"/>
      <c r="B761" s="21"/>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ustomFormat="false" ht="14.25" hidden="false" customHeight="true" outlineLevel="0" collapsed="false">
      <c r="A762" s="21"/>
      <c r="B762" s="21"/>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ustomFormat="false" ht="14.25" hidden="false" customHeight="true" outlineLevel="0" collapsed="false">
      <c r="A763" s="21"/>
      <c r="B763" s="21"/>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ustomFormat="false" ht="14.25" hidden="false" customHeight="true" outlineLevel="0" collapsed="false">
      <c r="A764" s="21"/>
      <c r="B764" s="21"/>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ustomFormat="false" ht="14.25" hidden="false" customHeight="true" outlineLevel="0" collapsed="false">
      <c r="A765" s="21"/>
      <c r="B765" s="21"/>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ustomFormat="false" ht="14.25" hidden="false" customHeight="true" outlineLevel="0" collapsed="false">
      <c r="A766" s="21"/>
      <c r="B766" s="21"/>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ustomFormat="false" ht="14.25" hidden="false" customHeight="true" outlineLevel="0" collapsed="false">
      <c r="A767" s="21"/>
      <c r="B767" s="21"/>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ustomFormat="false" ht="14.25" hidden="false" customHeight="true" outlineLevel="0" collapsed="false">
      <c r="A768" s="21"/>
      <c r="B768" s="21"/>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ustomFormat="false" ht="14.25" hidden="false" customHeight="true" outlineLevel="0" collapsed="false">
      <c r="A769" s="21"/>
      <c r="B769" s="21"/>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ustomFormat="false" ht="14.25" hidden="false" customHeight="true" outlineLevel="0" collapsed="false">
      <c r="A770" s="21"/>
      <c r="B770" s="21"/>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ustomFormat="false" ht="14.25" hidden="false" customHeight="true" outlineLevel="0" collapsed="false">
      <c r="A771" s="21"/>
      <c r="B771" s="21"/>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ustomFormat="false" ht="14.25" hidden="false" customHeight="true" outlineLevel="0" collapsed="false">
      <c r="A772" s="21"/>
      <c r="B772" s="21"/>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ustomFormat="false" ht="14.25" hidden="false" customHeight="true" outlineLevel="0" collapsed="false">
      <c r="A773" s="21"/>
      <c r="B773" s="21"/>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ustomFormat="false" ht="14.25" hidden="false" customHeight="true" outlineLevel="0" collapsed="false">
      <c r="A774" s="21"/>
      <c r="B774" s="21"/>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ustomFormat="false" ht="14.25" hidden="false" customHeight="true" outlineLevel="0" collapsed="false">
      <c r="A775" s="21"/>
      <c r="B775" s="21"/>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ustomFormat="false" ht="14.25" hidden="false" customHeight="true" outlineLevel="0" collapsed="false">
      <c r="A776" s="21"/>
      <c r="B776" s="21"/>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ustomFormat="false" ht="14.25" hidden="false" customHeight="true" outlineLevel="0" collapsed="false">
      <c r="A777" s="21"/>
      <c r="B777" s="21"/>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ustomFormat="false" ht="14.25" hidden="false" customHeight="true" outlineLevel="0" collapsed="false">
      <c r="A778" s="21"/>
      <c r="B778" s="21"/>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ustomFormat="false" ht="14.25" hidden="false" customHeight="true" outlineLevel="0" collapsed="false">
      <c r="A779" s="21"/>
      <c r="B779" s="21"/>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ustomFormat="false" ht="14.25" hidden="false" customHeight="true" outlineLevel="0" collapsed="false">
      <c r="A780" s="21"/>
      <c r="B780" s="21"/>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ustomFormat="false" ht="14.25" hidden="false" customHeight="true" outlineLevel="0" collapsed="false">
      <c r="A781" s="21"/>
      <c r="B781" s="21"/>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ustomFormat="false" ht="14.25" hidden="false" customHeight="true" outlineLevel="0" collapsed="false">
      <c r="A782" s="21"/>
      <c r="B782" s="21"/>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ustomFormat="false" ht="14.25" hidden="false" customHeight="true" outlineLevel="0" collapsed="false">
      <c r="A783" s="21"/>
      <c r="B783" s="21"/>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ustomFormat="false" ht="14.25" hidden="false" customHeight="true" outlineLevel="0" collapsed="false">
      <c r="A784" s="21"/>
      <c r="B784" s="21"/>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ustomFormat="false" ht="14.25" hidden="false" customHeight="true" outlineLevel="0" collapsed="false">
      <c r="A785" s="21"/>
      <c r="B785" s="21"/>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ustomFormat="false" ht="14.25" hidden="false" customHeight="true" outlineLevel="0" collapsed="false">
      <c r="A786" s="21"/>
      <c r="B786" s="21"/>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ustomFormat="false" ht="14.25" hidden="false" customHeight="true" outlineLevel="0" collapsed="false">
      <c r="A787" s="21"/>
      <c r="B787" s="21"/>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ustomFormat="false" ht="14.25" hidden="false" customHeight="true" outlineLevel="0" collapsed="false">
      <c r="A788" s="21"/>
      <c r="B788" s="21"/>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ustomFormat="false" ht="14.25" hidden="false" customHeight="true" outlineLevel="0" collapsed="false">
      <c r="A789" s="21"/>
      <c r="B789" s="21"/>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ustomFormat="false" ht="14.25" hidden="false" customHeight="true" outlineLevel="0" collapsed="false">
      <c r="A790" s="21"/>
      <c r="B790" s="21"/>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ustomFormat="false" ht="14.25" hidden="false" customHeight="true" outlineLevel="0" collapsed="false">
      <c r="A791" s="21"/>
      <c r="B791" s="21"/>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ustomFormat="false" ht="14.25" hidden="false" customHeight="true" outlineLevel="0" collapsed="false">
      <c r="A792" s="21"/>
      <c r="B792" s="21"/>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ustomFormat="false" ht="14.25" hidden="false" customHeight="true" outlineLevel="0" collapsed="false">
      <c r="A793" s="21"/>
      <c r="B793" s="21"/>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ustomFormat="false" ht="14.25" hidden="false" customHeight="true" outlineLevel="0" collapsed="false">
      <c r="A794" s="21"/>
      <c r="B794" s="21"/>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ustomFormat="false" ht="14.25" hidden="false" customHeight="true" outlineLevel="0" collapsed="false">
      <c r="A795" s="21"/>
      <c r="B795" s="21"/>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ustomFormat="false" ht="14.25" hidden="false" customHeight="true" outlineLevel="0" collapsed="false">
      <c r="A796" s="21"/>
      <c r="B796" s="21"/>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ustomFormat="false" ht="14.25" hidden="false" customHeight="true" outlineLevel="0" collapsed="false">
      <c r="A797" s="21"/>
      <c r="B797" s="21"/>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ustomFormat="false" ht="14.25" hidden="false" customHeight="true" outlineLevel="0" collapsed="false">
      <c r="A798" s="21"/>
      <c r="B798" s="21"/>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ustomFormat="false" ht="14.25" hidden="false" customHeight="true" outlineLevel="0" collapsed="false">
      <c r="A799" s="21"/>
      <c r="B799" s="21"/>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ustomFormat="false" ht="14.25" hidden="false" customHeight="true" outlineLevel="0" collapsed="false">
      <c r="A800" s="21"/>
      <c r="B800" s="21"/>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ustomFormat="false" ht="14.25" hidden="false" customHeight="true" outlineLevel="0" collapsed="false">
      <c r="A801" s="21"/>
      <c r="B801" s="21"/>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ustomFormat="false" ht="14.25" hidden="false" customHeight="true" outlineLevel="0" collapsed="false">
      <c r="A802" s="21"/>
      <c r="B802" s="21"/>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ustomFormat="false" ht="14.25" hidden="false" customHeight="true" outlineLevel="0" collapsed="false">
      <c r="A803" s="21"/>
      <c r="B803" s="21"/>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ustomFormat="false" ht="14.25" hidden="false" customHeight="true" outlineLevel="0" collapsed="false">
      <c r="A804" s="21"/>
      <c r="B804" s="21"/>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ustomFormat="false" ht="14.25" hidden="false" customHeight="true" outlineLevel="0" collapsed="false">
      <c r="A805" s="21"/>
      <c r="B805" s="21"/>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ustomFormat="false" ht="14.25" hidden="false" customHeight="true" outlineLevel="0" collapsed="false">
      <c r="A806" s="21"/>
      <c r="B806" s="21"/>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ustomFormat="false" ht="14.25" hidden="false" customHeight="true" outlineLevel="0" collapsed="false">
      <c r="A807" s="21"/>
      <c r="B807" s="21"/>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ustomFormat="false" ht="14.25" hidden="false" customHeight="true" outlineLevel="0" collapsed="false">
      <c r="A808" s="21"/>
      <c r="B808" s="21"/>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ustomFormat="false" ht="14.25" hidden="false" customHeight="true" outlineLevel="0" collapsed="false">
      <c r="A809" s="21"/>
      <c r="B809" s="21"/>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ustomFormat="false" ht="14.25" hidden="false" customHeight="true" outlineLevel="0" collapsed="false">
      <c r="A810" s="21"/>
      <c r="B810" s="21"/>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ustomFormat="false" ht="14.25" hidden="false" customHeight="true" outlineLevel="0" collapsed="false">
      <c r="A811" s="21"/>
      <c r="B811" s="21"/>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ustomFormat="false" ht="14.25" hidden="false" customHeight="true" outlineLevel="0" collapsed="false">
      <c r="A812" s="21"/>
      <c r="B812" s="21"/>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ustomFormat="false" ht="14.25" hidden="false" customHeight="true" outlineLevel="0" collapsed="false">
      <c r="A813" s="21"/>
      <c r="B813" s="21"/>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ustomFormat="false" ht="14.25" hidden="false" customHeight="true" outlineLevel="0" collapsed="false">
      <c r="A814" s="21"/>
      <c r="B814" s="21"/>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ustomFormat="false" ht="14.25" hidden="false" customHeight="true" outlineLevel="0" collapsed="false">
      <c r="A815" s="21"/>
      <c r="B815" s="21"/>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ustomFormat="false" ht="14.25" hidden="false" customHeight="true" outlineLevel="0" collapsed="false">
      <c r="A816" s="21"/>
      <c r="B816" s="21"/>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ustomFormat="false" ht="14.25" hidden="false" customHeight="true" outlineLevel="0" collapsed="false">
      <c r="A817" s="21"/>
      <c r="B817" s="21"/>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ustomFormat="false" ht="14.25" hidden="false" customHeight="true" outlineLevel="0" collapsed="false">
      <c r="A818" s="21"/>
      <c r="B818" s="21"/>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ustomFormat="false" ht="14.25" hidden="false" customHeight="true" outlineLevel="0" collapsed="false">
      <c r="A819" s="21"/>
      <c r="B819" s="21"/>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ustomFormat="false" ht="14.25" hidden="false" customHeight="true" outlineLevel="0" collapsed="false">
      <c r="A820" s="21"/>
      <c r="B820" s="21"/>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ustomFormat="false" ht="14.25" hidden="false" customHeight="true" outlineLevel="0" collapsed="false">
      <c r="A821" s="21"/>
      <c r="B821" s="21"/>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ustomFormat="false" ht="14.25" hidden="false" customHeight="true" outlineLevel="0" collapsed="false">
      <c r="A822" s="21"/>
      <c r="B822" s="21"/>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ustomFormat="false" ht="14.25" hidden="false" customHeight="true" outlineLevel="0" collapsed="false">
      <c r="A823" s="21"/>
      <c r="B823" s="21"/>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ustomFormat="false" ht="14.25" hidden="false" customHeight="true" outlineLevel="0" collapsed="false">
      <c r="A824" s="21"/>
      <c r="B824" s="21"/>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ustomFormat="false" ht="14.25" hidden="false" customHeight="true" outlineLevel="0" collapsed="false">
      <c r="A825" s="21"/>
      <c r="B825" s="21"/>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ustomFormat="false" ht="14.25" hidden="false" customHeight="true" outlineLevel="0" collapsed="false">
      <c r="A826" s="21"/>
      <c r="B826" s="21"/>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ustomFormat="false" ht="14.25" hidden="false" customHeight="true" outlineLevel="0" collapsed="false">
      <c r="A827" s="21"/>
      <c r="B827" s="21"/>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ustomFormat="false" ht="14.25" hidden="false" customHeight="true" outlineLevel="0" collapsed="false">
      <c r="A828" s="21"/>
      <c r="B828" s="21"/>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ustomFormat="false" ht="14.25" hidden="false" customHeight="true" outlineLevel="0" collapsed="false">
      <c r="A829" s="21"/>
      <c r="B829" s="21"/>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ustomFormat="false" ht="14.25" hidden="false" customHeight="true" outlineLevel="0" collapsed="false">
      <c r="A830" s="21"/>
      <c r="B830" s="21"/>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ustomFormat="false" ht="14.25" hidden="false" customHeight="true" outlineLevel="0" collapsed="false">
      <c r="A831" s="21"/>
      <c r="B831" s="21"/>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ustomFormat="false" ht="14.25" hidden="false" customHeight="true" outlineLevel="0" collapsed="false">
      <c r="A832" s="21"/>
      <c r="B832" s="21"/>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ustomFormat="false" ht="14.25" hidden="false" customHeight="true" outlineLevel="0" collapsed="false">
      <c r="A833" s="21"/>
      <c r="B833" s="21"/>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ustomFormat="false" ht="14.25" hidden="false" customHeight="true" outlineLevel="0" collapsed="false">
      <c r="A834" s="21"/>
      <c r="B834" s="21"/>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ustomFormat="false" ht="14.25" hidden="false" customHeight="true" outlineLevel="0" collapsed="false">
      <c r="A835" s="21"/>
      <c r="B835" s="21"/>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ustomFormat="false" ht="14.25" hidden="false" customHeight="true" outlineLevel="0" collapsed="false">
      <c r="A836" s="21"/>
      <c r="B836" s="21"/>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ustomFormat="false" ht="14.25" hidden="false" customHeight="true" outlineLevel="0" collapsed="false">
      <c r="A837" s="21"/>
      <c r="B837" s="21"/>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ustomFormat="false" ht="14.25" hidden="false" customHeight="true" outlineLevel="0" collapsed="false">
      <c r="A838" s="21"/>
      <c r="B838" s="21"/>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ustomFormat="false" ht="14.25" hidden="false" customHeight="true" outlineLevel="0" collapsed="false">
      <c r="A839" s="21"/>
      <c r="B839" s="21"/>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ustomFormat="false" ht="14.25" hidden="false" customHeight="true" outlineLevel="0" collapsed="false">
      <c r="A840" s="21"/>
      <c r="B840" s="21"/>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ustomFormat="false" ht="14.25" hidden="false" customHeight="true" outlineLevel="0" collapsed="false">
      <c r="A841" s="21"/>
      <c r="B841" s="21"/>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ustomFormat="false" ht="14.25" hidden="false" customHeight="true" outlineLevel="0" collapsed="false">
      <c r="A842" s="21"/>
      <c r="B842" s="21"/>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ustomFormat="false" ht="14.25" hidden="false" customHeight="true" outlineLevel="0" collapsed="false">
      <c r="A843" s="21"/>
      <c r="B843" s="21"/>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ustomFormat="false" ht="14.25" hidden="false" customHeight="true" outlineLevel="0" collapsed="false">
      <c r="A844" s="21"/>
      <c r="B844" s="21"/>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ustomFormat="false" ht="14.25" hidden="false" customHeight="true" outlineLevel="0" collapsed="false">
      <c r="A845" s="21"/>
      <c r="B845" s="21"/>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ustomFormat="false" ht="14.25" hidden="false" customHeight="true" outlineLevel="0" collapsed="false">
      <c r="A846" s="21"/>
      <c r="B846" s="21"/>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ustomFormat="false" ht="14.25" hidden="false" customHeight="true" outlineLevel="0" collapsed="false">
      <c r="A847" s="21"/>
      <c r="B847" s="21"/>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ustomFormat="false" ht="14.25" hidden="false" customHeight="true" outlineLevel="0" collapsed="false">
      <c r="A848" s="21"/>
      <c r="B848" s="21"/>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ustomFormat="false" ht="14.25" hidden="false" customHeight="true" outlineLevel="0" collapsed="false">
      <c r="A849" s="21"/>
      <c r="B849" s="21"/>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ustomFormat="false" ht="14.25" hidden="false" customHeight="true" outlineLevel="0" collapsed="false">
      <c r="A850" s="21"/>
      <c r="B850" s="21"/>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ustomFormat="false" ht="14.25" hidden="false" customHeight="true" outlineLevel="0" collapsed="false">
      <c r="A851" s="21"/>
      <c r="B851" s="21"/>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ustomFormat="false" ht="14.25" hidden="false" customHeight="true" outlineLevel="0" collapsed="false">
      <c r="A852" s="21"/>
      <c r="B852" s="21"/>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ustomFormat="false" ht="14.25" hidden="false" customHeight="true" outlineLevel="0" collapsed="false">
      <c r="A853" s="21"/>
      <c r="B853" s="21"/>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ustomFormat="false" ht="14.25" hidden="false" customHeight="true" outlineLevel="0" collapsed="false">
      <c r="A854" s="21"/>
      <c r="B854" s="21"/>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ustomFormat="false" ht="14.25" hidden="false" customHeight="true" outlineLevel="0" collapsed="false">
      <c r="A855" s="21"/>
      <c r="B855" s="21"/>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ustomFormat="false" ht="14.25" hidden="false" customHeight="true" outlineLevel="0" collapsed="false">
      <c r="A856" s="21"/>
      <c r="B856" s="21"/>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ustomFormat="false" ht="14.25" hidden="false" customHeight="true" outlineLevel="0" collapsed="false">
      <c r="A857" s="21"/>
      <c r="B857" s="21"/>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ustomFormat="false" ht="14.25" hidden="false" customHeight="true" outlineLevel="0" collapsed="false">
      <c r="A858" s="21"/>
      <c r="B858" s="21"/>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ustomFormat="false" ht="14.25" hidden="false" customHeight="true" outlineLevel="0" collapsed="false">
      <c r="A859" s="21"/>
      <c r="B859" s="21"/>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ustomFormat="false" ht="14.25" hidden="false" customHeight="true" outlineLevel="0" collapsed="false">
      <c r="A860" s="21"/>
      <c r="B860" s="21"/>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ustomFormat="false" ht="14.25" hidden="false" customHeight="true" outlineLevel="0" collapsed="false">
      <c r="A861" s="21"/>
      <c r="B861" s="21"/>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ustomFormat="false" ht="14.25" hidden="false" customHeight="true" outlineLevel="0" collapsed="false">
      <c r="A862" s="21"/>
      <c r="B862" s="21"/>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ustomFormat="false" ht="14.25" hidden="false" customHeight="true" outlineLevel="0" collapsed="false">
      <c r="A863" s="21"/>
      <c r="B863" s="21"/>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ustomFormat="false" ht="14.25" hidden="false" customHeight="true" outlineLevel="0" collapsed="false">
      <c r="A864" s="21"/>
      <c r="B864" s="21"/>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ustomFormat="false" ht="14.25" hidden="false" customHeight="true" outlineLevel="0" collapsed="false">
      <c r="A865" s="21"/>
      <c r="B865" s="21"/>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ustomFormat="false" ht="14.25" hidden="false" customHeight="true" outlineLevel="0" collapsed="false">
      <c r="A866" s="21"/>
      <c r="B866" s="21"/>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ustomFormat="false" ht="14.25" hidden="false" customHeight="true" outlineLevel="0" collapsed="false">
      <c r="A867" s="21"/>
      <c r="B867" s="21"/>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ustomFormat="false" ht="14.25" hidden="false" customHeight="true" outlineLevel="0" collapsed="false">
      <c r="A868" s="21"/>
      <c r="B868" s="21"/>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ustomFormat="false" ht="14.25" hidden="false" customHeight="true" outlineLevel="0" collapsed="false">
      <c r="A869" s="21"/>
      <c r="B869" s="21"/>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ustomFormat="false" ht="14.25" hidden="false" customHeight="true" outlineLevel="0" collapsed="false">
      <c r="A870" s="21"/>
      <c r="B870" s="21"/>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ustomFormat="false" ht="14.25" hidden="false" customHeight="true" outlineLevel="0" collapsed="false">
      <c r="A871" s="21"/>
      <c r="B871" s="21"/>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ustomFormat="false" ht="14.25" hidden="false" customHeight="true" outlineLevel="0" collapsed="false">
      <c r="A872" s="21"/>
      <c r="B872" s="21"/>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ustomFormat="false" ht="14.25" hidden="false" customHeight="true" outlineLevel="0" collapsed="false">
      <c r="A873" s="21"/>
      <c r="B873" s="21"/>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ustomFormat="false" ht="14.25" hidden="false" customHeight="true" outlineLevel="0" collapsed="false">
      <c r="A874" s="21"/>
      <c r="B874" s="21"/>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ustomFormat="false" ht="14.25" hidden="false" customHeight="true" outlineLevel="0" collapsed="false">
      <c r="A875" s="21"/>
      <c r="B875" s="21"/>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ustomFormat="false" ht="14.25" hidden="false" customHeight="true" outlineLevel="0" collapsed="false">
      <c r="A876" s="21"/>
      <c r="B876" s="21"/>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ustomFormat="false" ht="14.25" hidden="false" customHeight="true" outlineLevel="0" collapsed="false">
      <c r="A877" s="21"/>
      <c r="B877" s="21"/>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ustomFormat="false" ht="14.25" hidden="false" customHeight="true" outlineLevel="0" collapsed="false">
      <c r="A878" s="21"/>
      <c r="B878" s="21"/>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ustomFormat="false" ht="14.25" hidden="false" customHeight="true" outlineLevel="0" collapsed="false">
      <c r="A879" s="21"/>
      <c r="B879" s="21"/>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ustomFormat="false" ht="14.25" hidden="false" customHeight="true" outlineLevel="0" collapsed="false">
      <c r="A880" s="21"/>
      <c r="B880" s="21"/>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ustomFormat="false" ht="14.25" hidden="false" customHeight="true" outlineLevel="0" collapsed="false">
      <c r="A881" s="21"/>
      <c r="B881" s="21"/>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ustomFormat="false" ht="14.25" hidden="false" customHeight="true" outlineLevel="0" collapsed="false">
      <c r="A882" s="21"/>
      <c r="B882" s="21"/>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ustomFormat="false" ht="14.25" hidden="false" customHeight="true" outlineLevel="0" collapsed="false">
      <c r="A883" s="21"/>
      <c r="B883" s="21"/>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ustomFormat="false" ht="14.25" hidden="false" customHeight="true" outlineLevel="0" collapsed="false">
      <c r="A884" s="21"/>
      <c r="B884" s="21"/>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ustomFormat="false" ht="14.25" hidden="false" customHeight="true" outlineLevel="0" collapsed="false">
      <c r="A885" s="21"/>
      <c r="B885" s="21"/>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ustomFormat="false" ht="14.25" hidden="false" customHeight="true" outlineLevel="0" collapsed="false">
      <c r="A886" s="21"/>
      <c r="B886" s="21"/>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ustomFormat="false" ht="14.25" hidden="false" customHeight="true" outlineLevel="0" collapsed="false">
      <c r="A887" s="21"/>
      <c r="B887" s="21"/>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ustomFormat="false" ht="14.25" hidden="false" customHeight="true" outlineLevel="0" collapsed="false">
      <c r="A888" s="21"/>
      <c r="B888" s="21"/>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ustomFormat="false" ht="14.25" hidden="false" customHeight="true" outlineLevel="0" collapsed="false">
      <c r="A889" s="21"/>
      <c r="B889" s="21"/>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ustomFormat="false" ht="14.25" hidden="false" customHeight="true" outlineLevel="0" collapsed="false">
      <c r="A890" s="21"/>
      <c r="B890" s="21"/>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ustomFormat="false" ht="14.25" hidden="false" customHeight="true" outlineLevel="0" collapsed="false">
      <c r="A891" s="21"/>
      <c r="B891" s="21"/>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ustomFormat="false" ht="14.25" hidden="false" customHeight="true" outlineLevel="0" collapsed="false">
      <c r="A892" s="21"/>
      <c r="B892" s="21"/>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ustomFormat="false" ht="14.25" hidden="false" customHeight="true" outlineLevel="0" collapsed="false">
      <c r="A893" s="21"/>
      <c r="B893" s="21"/>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ustomFormat="false" ht="14.25" hidden="false" customHeight="true" outlineLevel="0" collapsed="false">
      <c r="A894" s="21"/>
      <c r="B894" s="21"/>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ustomFormat="false" ht="14.25" hidden="false" customHeight="true" outlineLevel="0" collapsed="false">
      <c r="A895" s="21"/>
      <c r="B895" s="21"/>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ustomFormat="false" ht="14.25" hidden="false" customHeight="true" outlineLevel="0" collapsed="false">
      <c r="A896" s="21"/>
      <c r="B896" s="21"/>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ustomFormat="false" ht="14.25" hidden="false" customHeight="true" outlineLevel="0" collapsed="false">
      <c r="A897" s="21"/>
      <c r="B897" s="21"/>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ustomFormat="false" ht="14.25" hidden="false" customHeight="true" outlineLevel="0" collapsed="false">
      <c r="A898" s="21"/>
      <c r="B898" s="21"/>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ustomFormat="false" ht="14.25" hidden="false" customHeight="true" outlineLevel="0" collapsed="false">
      <c r="A899" s="21"/>
      <c r="B899" s="21"/>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ustomFormat="false" ht="14.25" hidden="false" customHeight="true" outlineLevel="0" collapsed="false">
      <c r="A900" s="21"/>
      <c r="B900" s="21"/>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ustomFormat="false" ht="14.25" hidden="false" customHeight="true" outlineLevel="0" collapsed="false">
      <c r="A901" s="21"/>
      <c r="B901" s="21"/>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ustomFormat="false" ht="14.25" hidden="false" customHeight="true" outlineLevel="0" collapsed="false">
      <c r="A902" s="21"/>
      <c r="B902" s="21"/>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ustomFormat="false" ht="14.25" hidden="false" customHeight="true" outlineLevel="0" collapsed="false">
      <c r="A903" s="21"/>
      <c r="B903" s="21"/>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ustomFormat="false" ht="14.25" hidden="false" customHeight="true" outlineLevel="0" collapsed="false">
      <c r="A904" s="21"/>
      <c r="B904" s="21"/>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ustomFormat="false" ht="14.25" hidden="false" customHeight="true" outlineLevel="0" collapsed="false">
      <c r="A905" s="21"/>
      <c r="B905" s="21"/>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ustomFormat="false" ht="14.25" hidden="false" customHeight="true" outlineLevel="0" collapsed="false">
      <c r="A906" s="21"/>
      <c r="B906" s="21"/>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ustomFormat="false" ht="14.25" hidden="false" customHeight="true" outlineLevel="0" collapsed="false">
      <c r="A907" s="21"/>
      <c r="B907" s="21"/>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ustomFormat="false" ht="14.25" hidden="false" customHeight="true" outlineLevel="0" collapsed="false">
      <c r="A908" s="21"/>
      <c r="B908" s="21"/>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ustomFormat="false" ht="14.25" hidden="false" customHeight="true" outlineLevel="0" collapsed="false">
      <c r="A909" s="21"/>
      <c r="B909" s="21"/>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ustomFormat="false" ht="14.25" hidden="false" customHeight="true" outlineLevel="0" collapsed="false">
      <c r="A910" s="21"/>
      <c r="B910" s="21"/>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ustomFormat="false" ht="14.25" hidden="false" customHeight="true" outlineLevel="0" collapsed="false">
      <c r="A911" s="21"/>
      <c r="B911" s="21"/>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ustomFormat="false" ht="14.25" hidden="false" customHeight="true" outlineLevel="0" collapsed="false">
      <c r="A912" s="21"/>
      <c r="B912" s="21"/>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ustomFormat="false" ht="14.25" hidden="false" customHeight="true" outlineLevel="0" collapsed="false">
      <c r="A913" s="21"/>
      <c r="B913" s="21"/>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ustomFormat="false" ht="14.25" hidden="false" customHeight="true" outlineLevel="0" collapsed="false">
      <c r="A914" s="21"/>
      <c r="B914" s="21"/>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ustomFormat="false" ht="14.25" hidden="false" customHeight="true" outlineLevel="0" collapsed="false">
      <c r="A915" s="21"/>
      <c r="B915" s="21"/>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ustomFormat="false" ht="14.25" hidden="false" customHeight="true" outlineLevel="0" collapsed="false">
      <c r="A916" s="21"/>
      <c r="B916" s="21"/>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ustomFormat="false" ht="14.25" hidden="false" customHeight="true" outlineLevel="0" collapsed="false">
      <c r="A917" s="21"/>
      <c r="B917" s="21"/>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ustomFormat="false" ht="14.25" hidden="false" customHeight="true" outlineLevel="0" collapsed="false">
      <c r="A918" s="21"/>
      <c r="B918" s="21"/>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ustomFormat="false" ht="14.25" hidden="false" customHeight="true" outlineLevel="0" collapsed="false">
      <c r="A919" s="21"/>
      <c r="B919" s="21"/>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ustomFormat="false" ht="14.25" hidden="false" customHeight="true" outlineLevel="0" collapsed="false">
      <c r="A920" s="21"/>
      <c r="B920" s="21"/>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ustomFormat="false" ht="14.25" hidden="false" customHeight="true" outlineLevel="0" collapsed="false">
      <c r="A921" s="21"/>
      <c r="B921" s="21"/>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ustomFormat="false" ht="14.25" hidden="false" customHeight="true" outlineLevel="0" collapsed="false">
      <c r="A922" s="21"/>
      <c r="B922" s="21"/>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ustomFormat="false" ht="14.25" hidden="false" customHeight="true" outlineLevel="0" collapsed="false">
      <c r="A923" s="21"/>
      <c r="B923" s="21"/>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ustomFormat="false" ht="14.25" hidden="false" customHeight="true" outlineLevel="0" collapsed="false">
      <c r="A924" s="21"/>
      <c r="B924" s="21"/>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ustomFormat="false" ht="14.25" hidden="false" customHeight="true" outlineLevel="0" collapsed="false">
      <c r="A925" s="21"/>
      <c r="B925" s="21"/>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ustomFormat="false" ht="14.25" hidden="false" customHeight="true" outlineLevel="0" collapsed="false">
      <c r="A926" s="21"/>
      <c r="B926" s="21"/>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ustomFormat="false" ht="14.25" hidden="false" customHeight="true" outlineLevel="0" collapsed="false">
      <c r="A927" s="21"/>
      <c r="B927" s="21"/>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ustomFormat="false" ht="14.25" hidden="false" customHeight="true" outlineLevel="0" collapsed="false">
      <c r="A928" s="21"/>
      <c r="B928" s="21"/>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ustomFormat="false" ht="14.25" hidden="false" customHeight="true" outlineLevel="0" collapsed="false">
      <c r="A929" s="21"/>
      <c r="B929" s="21"/>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ustomFormat="false" ht="14.25" hidden="false" customHeight="true" outlineLevel="0" collapsed="false">
      <c r="A930" s="21"/>
      <c r="B930" s="21"/>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ustomFormat="false" ht="14.25" hidden="false" customHeight="true" outlineLevel="0" collapsed="false">
      <c r="A931" s="21"/>
      <c r="B931" s="21"/>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ustomFormat="false" ht="14.25" hidden="false" customHeight="true" outlineLevel="0" collapsed="false">
      <c r="A932" s="21"/>
      <c r="B932" s="21"/>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ustomFormat="false" ht="14.25" hidden="false" customHeight="true" outlineLevel="0" collapsed="false">
      <c r="A933" s="21"/>
      <c r="B933" s="21"/>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ustomFormat="false" ht="14.25" hidden="false" customHeight="true" outlineLevel="0" collapsed="false">
      <c r="A934" s="21"/>
      <c r="B934" s="21"/>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ustomFormat="false" ht="14.25" hidden="false" customHeight="true" outlineLevel="0" collapsed="false">
      <c r="A935" s="21"/>
      <c r="B935" s="21"/>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ustomFormat="false" ht="14.25" hidden="false" customHeight="true" outlineLevel="0" collapsed="false">
      <c r="A936" s="21"/>
      <c r="B936" s="21"/>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ustomFormat="false" ht="14.25" hidden="false" customHeight="true" outlineLevel="0" collapsed="false">
      <c r="A937" s="21"/>
      <c r="B937" s="21"/>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ustomFormat="false" ht="14.25" hidden="false" customHeight="true" outlineLevel="0" collapsed="false">
      <c r="A938" s="21"/>
      <c r="B938" s="21"/>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ustomFormat="false" ht="14.25" hidden="false" customHeight="true" outlineLevel="0" collapsed="false">
      <c r="A939" s="21"/>
      <c r="B939" s="21"/>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ustomFormat="false" ht="14.25" hidden="false" customHeight="true" outlineLevel="0" collapsed="false">
      <c r="A940" s="21"/>
      <c r="B940" s="21"/>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ustomFormat="false" ht="14.25" hidden="false" customHeight="true" outlineLevel="0" collapsed="false">
      <c r="A941" s="21"/>
      <c r="B941" s="21"/>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ustomFormat="false" ht="14.25" hidden="false" customHeight="true" outlineLevel="0" collapsed="false">
      <c r="A942" s="21"/>
      <c r="B942" s="21"/>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ustomFormat="false" ht="14.25" hidden="false" customHeight="true" outlineLevel="0" collapsed="false">
      <c r="A943" s="21"/>
      <c r="B943" s="21"/>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ustomFormat="false" ht="14.25" hidden="false" customHeight="true" outlineLevel="0" collapsed="false">
      <c r="A944" s="21"/>
      <c r="B944" s="21"/>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ustomFormat="false" ht="14.25" hidden="false" customHeight="true" outlineLevel="0" collapsed="false">
      <c r="A945" s="21"/>
      <c r="B945" s="21"/>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ustomFormat="false" ht="14.25" hidden="false" customHeight="true" outlineLevel="0" collapsed="false">
      <c r="A946" s="21"/>
      <c r="B946" s="21"/>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ustomFormat="false" ht="14.25" hidden="false" customHeight="true" outlineLevel="0" collapsed="false">
      <c r="A947" s="21"/>
      <c r="B947" s="21"/>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ustomFormat="false" ht="14.25" hidden="false" customHeight="true" outlineLevel="0" collapsed="false">
      <c r="A948" s="21"/>
      <c r="B948" s="21"/>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ustomFormat="false" ht="14.25" hidden="false" customHeight="true" outlineLevel="0" collapsed="false">
      <c r="A949" s="21"/>
      <c r="B949" s="21"/>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ustomFormat="false" ht="14.25" hidden="false" customHeight="true" outlineLevel="0" collapsed="false">
      <c r="A950" s="21"/>
      <c r="B950" s="21"/>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ustomFormat="false" ht="14.25" hidden="false" customHeight="true" outlineLevel="0" collapsed="false">
      <c r="A951" s="21"/>
      <c r="B951" s="21"/>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ustomFormat="false" ht="14.25" hidden="false" customHeight="true" outlineLevel="0" collapsed="false">
      <c r="A952" s="21"/>
      <c r="B952" s="21"/>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ustomFormat="false" ht="14.25" hidden="false" customHeight="true" outlineLevel="0" collapsed="false">
      <c r="A953" s="21"/>
      <c r="B953" s="21"/>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ustomFormat="false" ht="14.25" hidden="false" customHeight="true" outlineLevel="0" collapsed="false">
      <c r="A954" s="21"/>
      <c r="B954" s="21"/>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ustomFormat="false" ht="14.25" hidden="false" customHeight="true" outlineLevel="0" collapsed="false">
      <c r="A955" s="21"/>
      <c r="B955" s="21"/>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ustomFormat="false" ht="14.25" hidden="false" customHeight="true" outlineLevel="0" collapsed="false">
      <c r="A956" s="21"/>
      <c r="B956" s="21"/>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ustomFormat="false" ht="14.25" hidden="false" customHeight="true" outlineLevel="0" collapsed="false">
      <c r="A957" s="21"/>
      <c r="B957" s="21"/>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ustomFormat="false" ht="14.25" hidden="false" customHeight="true" outlineLevel="0" collapsed="false">
      <c r="A958" s="21"/>
      <c r="B958" s="21"/>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ustomFormat="false" ht="14.25" hidden="false" customHeight="true" outlineLevel="0" collapsed="false">
      <c r="A959" s="21"/>
      <c r="B959" s="21"/>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ustomFormat="false" ht="14.25" hidden="false" customHeight="true" outlineLevel="0" collapsed="false">
      <c r="A960" s="21"/>
      <c r="B960" s="21"/>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ustomFormat="false" ht="14.25" hidden="false" customHeight="true" outlineLevel="0" collapsed="false">
      <c r="A961" s="21"/>
      <c r="B961" s="21"/>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ustomFormat="false" ht="14.25" hidden="false" customHeight="true" outlineLevel="0" collapsed="false">
      <c r="A962" s="21"/>
      <c r="B962" s="21"/>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ustomFormat="false" ht="14.25" hidden="false" customHeight="true" outlineLevel="0" collapsed="false">
      <c r="A963" s="21"/>
      <c r="B963" s="21"/>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ustomFormat="false" ht="14.25" hidden="false" customHeight="true" outlineLevel="0" collapsed="false">
      <c r="A964" s="21"/>
      <c r="B964" s="21"/>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ustomFormat="false" ht="14.25" hidden="false" customHeight="true" outlineLevel="0" collapsed="false">
      <c r="A965" s="21"/>
      <c r="B965" s="21"/>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ustomFormat="false" ht="14.25" hidden="false" customHeight="true" outlineLevel="0" collapsed="false">
      <c r="A966" s="21"/>
      <c r="B966" s="21"/>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ustomFormat="false" ht="14.25" hidden="false" customHeight="true" outlineLevel="0" collapsed="false">
      <c r="A967" s="21"/>
      <c r="B967" s="21"/>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ustomFormat="false" ht="14.25" hidden="false" customHeight="true" outlineLevel="0" collapsed="false">
      <c r="A968" s="21"/>
      <c r="B968" s="21"/>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ustomFormat="false" ht="14.25" hidden="false" customHeight="true" outlineLevel="0" collapsed="false">
      <c r="A969" s="21"/>
      <c r="B969" s="21"/>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ustomFormat="false" ht="14.25" hidden="false" customHeight="true" outlineLevel="0" collapsed="false">
      <c r="A970" s="21"/>
      <c r="B970" s="21"/>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ustomFormat="false" ht="14.25" hidden="false" customHeight="true" outlineLevel="0" collapsed="false">
      <c r="A971" s="21"/>
      <c r="B971" s="21"/>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ustomFormat="false" ht="14.25" hidden="false" customHeight="true" outlineLevel="0" collapsed="false">
      <c r="A972" s="21"/>
      <c r="B972" s="21"/>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ustomFormat="false" ht="14.25" hidden="false" customHeight="true" outlineLevel="0" collapsed="false">
      <c r="A973" s="21"/>
      <c r="B973" s="21"/>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ustomFormat="false" ht="14.25" hidden="false" customHeight="true" outlineLevel="0" collapsed="false">
      <c r="A974" s="21"/>
      <c r="B974" s="21"/>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ustomFormat="false" ht="14.25" hidden="false" customHeight="true" outlineLevel="0" collapsed="false">
      <c r="A975" s="21"/>
      <c r="B975" s="21"/>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ustomFormat="false" ht="14.25" hidden="false" customHeight="true" outlineLevel="0" collapsed="false">
      <c r="A976" s="21"/>
      <c r="B976" s="21"/>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ustomFormat="false" ht="14.25" hidden="false" customHeight="true" outlineLevel="0" collapsed="false">
      <c r="A977" s="21"/>
      <c r="B977" s="21"/>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ustomFormat="false" ht="14.25" hidden="false" customHeight="true" outlineLevel="0" collapsed="false">
      <c r="A978" s="21"/>
      <c r="B978" s="21"/>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ustomFormat="false" ht="14.25" hidden="false" customHeight="true" outlineLevel="0" collapsed="false">
      <c r="A979" s="21"/>
      <c r="B979" s="21"/>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ustomFormat="false" ht="14.25" hidden="false" customHeight="true" outlineLevel="0" collapsed="false">
      <c r="A980" s="21"/>
      <c r="B980" s="21"/>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ustomFormat="false" ht="14.25" hidden="false" customHeight="true" outlineLevel="0" collapsed="false">
      <c r="A981" s="21"/>
      <c r="B981" s="21"/>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ustomFormat="false" ht="14.25" hidden="false" customHeight="true" outlineLevel="0" collapsed="false">
      <c r="A982" s="21"/>
      <c r="B982" s="21"/>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ustomFormat="false" ht="14.25" hidden="false" customHeight="true" outlineLevel="0" collapsed="false">
      <c r="A983" s="21"/>
      <c r="B983" s="21"/>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ustomFormat="false" ht="14.25" hidden="false" customHeight="true" outlineLevel="0" collapsed="false">
      <c r="A984" s="21"/>
      <c r="B984" s="21"/>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ustomFormat="false" ht="14.25" hidden="false" customHeight="true" outlineLevel="0" collapsed="false">
      <c r="A985" s="21"/>
      <c r="B985" s="21"/>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ustomFormat="false" ht="14.25" hidden="false" customHeight="true" outlineLevel="0" collapsed="false">
      <c r="A986" s="21"/>
      <c r="B986" s="21"/>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ustomFormat="false" ht="14.25" hidden="false" customHeight="true" outlineLevel="0" collapsed="false">
      <c r="A987" s="21"/>
      <c r="B987" s="21"/>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ustomFormat="false" ht="14.25" hidden="false" customHeight="true" outlineLevel="0" collapsed="false">
      <c r="A988" s="21"/>
      <c r="B988" s="21"/>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ustomFormat="false" ht="14.25" hidden="false" customHeight="true" outlineLevel="0" collapsed="false">
      <c r="A989" s="21"/>
      <c r="B989" s="21"/>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ustomFormat="false" ht="14.25" hidden="false" customHeight="true" outlineLevel="0" collapsed="false">
      <c r="A990" s="21"/>
      <c r="B990" s="21"/>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ustomFormat="false" ht="14.25" hidden="false" customHeight="true" outlineLevel="0" collapsed="false">
      <c r="A991" s="21"/>
      <c r="B991" s="21"/>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ustomFormat="false" ht="14.25" hidden="false" customHeight="true" outlineLevel="0" collapsed="false">
      <c r="A992" s="21"/>
      <c r="B992" s="21"/>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ustomFormat="false" ht="14.25" hidden="false" customHeight="true" outlineLevel="0" collapsed="false">
      <c r="A993" s="21"/>
      <c r="B993" s="21"/>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ustomFormat="false" ht="14.25" hidden="false" customHeight="true" outlineLevel="0" collapsed="false">
      <c r="A994" s="21"/>
      <c r="B994" s="21"/>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ustomFormat="false" ht="14.25" hidden="false" customHeight="true" outlineLevel="0" collapsed="false">
      <c r="A995" s="21"/>
      <c r="B995" s="21"/>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ustomFormat="false" ht="14.25" hidden="false" customHeight="true" outlineLevel="0" collapsed="false">
      <c r="A996" s="21"/>
      <c r="B996" s="21"/>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ustomFormat="false" ht="14.25" hidden="false" customHeight="true" outlineLevel="0" collapsed="false">
      <c r="A997" s="21"/>
      <c r="B997" s="21"/>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ustomFormat="false" ht="14.25" hidden="false" customHeight="true" outlineLevel="0" collapsed="false">
      <c r="A998" s="21"/>
      <c r="B998" s="21"/>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ustomFormat="false" ht="14.25" hidden="false" customHeight="true" outlineLevel="0" collapsed="false">
      <c r="A999" s="21"/>
      <c r="B999" s="21"/>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ustomFormat="false" ht="14.25" hidden="false" customHeight="true" outlineLevel="0" collapsed="false">
      <c r="A1000" s="21"/>
      <c r="B1000" s="21"/>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C38:D3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4.36328125" defaultRowHeight="14.25" zeroHeight="false" outlineLevelRow="0" outlineLevelCol="0"/>
  <cols>
    <col collapsed="false" customWidth="true" hidden="false" outlineLevel="0" max="1" min="1" style="1" width="19.73"/>
    <col collapsed="false" customWidth="true" hidden="true" outlineLevel="0" max="2" min="2" style="1" width="16.36"/>
    <col collapsed="false" customWidth="true" hidden="false" outlineLevel="0" max="3" min="3" style="1" width="15.54"/>
    <col collapsed="false" customWidth="true" hidden="false" outlineLevel="0" max="4" min="4" style="1" width="21.36"/>
    <col collapsed="false" customWidth="true" hidden="false" outlineLevel="0" max="26" min="5" style="1" width="8.73"/>
    <col collapsed="false" customWidth="false" hidden="false" outlineLevel="0" max="16384" min="27" style="1" width="14.36"/>
  </cols>
  <sheetData>
    <row r="1" customFormat="false" ht="14.25" hidden="false" customHeight="true" outlineLevel="0" collapsed="false">
      <c r="A1" s="46"/>
      <c r="B1" s="47"/>
      <c r="C1" s="47"/>
      <c r="D1" s="46"/>
      <c r="E1" s="46"/>
      <c r="F1" s="46"/>
      <c r="G1" s="46"/>
      <c r="H1" s="46"/>
      <c r="I1" s="46"/>
      <c r="J1" s="46"/>
      <c r="K1" s="46"/>
      <c r="L1" s="46"/>
      <c r="M1" s="46"/>
      <c r="N1" s="46"/>
      <c r="O1" s="46"/>
      <c r="P1" s="46"/>
      <c r="Q1" s="46"/>
      <c r="R1" s="46"/>
      <c r="S1" s="46"/>
      <c r="T1" s="46"/>
      <c r="U1" s="46"/>
      <c r="V1" s="46"/>
      <c r="W1" s="46"/>
      <c r="X1" s="46"/>
      <c r="Y1" s="46"/>
      <c r="Z1" s="46"/>
    </row>
    <row r="2" customFormat="false" ht="14.25" hidden="false" customHeight="true" outlineLevel="0" collapsed="false">
      <c r="A2" s="46"/>
      <c r="B2" s="47"/>
      <c r="C2" s="47"/>
      <c r="D2" s="46"/>
      <c r="E2" s="46"/>
      <c r="F2" s="46"/>
      <c r="G2" s="46"/>
      <c r="H2" s="46"/>
      <c r="I2" s="46"/>
      <c r="J2" s="46"/>
      <c r="K2" s="46"/>
      <c r="L2" s="46"/>
      <c r="M2" s="46"/>
      <c r="N2" s="46"/>
      <c r="O2" s="46"/>
      <c r="P2" s="46"/>
      <c r="Q2" s="46"/>
      <c r="R2" s="46"/>
      <c r="S2" s="46"/>
      <c r="T2" s="46"/>
      <c r="U2" s="46"/>
      <c r="V2" s="46"/>
      <c r="W2" s="46"/>
      <c r="X2" s="46"/>
      <c r="Y2" s="46"/>
      <c r="Z2" s="46"/>
    </row>
    <row r="3" customFormat="false" ht="35.25" hidden="false" customHeight="true" outlineLevel="0" collapsed="false">
      <c r="A3" s="48" t="s">
        <v>75</v>
      </c>
      <c r="B3" s="49" t="s">
        <v>98</v>
      </c>
      <c r="C3" s="49" t="s">
        <v>99</v>
      </c>
      <c r="D3" s="50" t="s">
        <v>100</v>
      </c>
      <c r="E3" s="46"/>
      <c r="F3" s="46"/>
      <c r="G3" s="46"/>
      <c r="H3" s="46"/>
      <c r="I3" s="46"/>
      <c r="J3" s="46"/>
      <c r="K3" s="46"/>
      <c r="L3" s="46"/>
      <c r="M3" s="46"/>
      <c r="N3" s="46"/>
      <c r="O3" s="46"/>
      <c r="P3" s="46"/>
      <c r="Q3" s="46"/>
      <c r="R3" s="46"/>
      <c r="S3" s="46"/>
      <c r="T3" s="46"/>
      <c r="U3" s="46"/>
      <c r="V3" s="46"/>
      <c r="W3" s="46"/>
      <c r="X3" s="46"/>
      <c r="Y3" s="46"/>
      <c r="Z3" s="46"/>
    </row>
    <row r="4" customFormat="false" ht="28.5" hidden="false" customHeight="true" outlineLevel="0" collapsed="false">
      <c r="A4" s="37" t="s">
        <v>101</v>
      </c>
      <c r="B4" s="51"/>
      <c r="C4" s="51" t="n">
        <v>0.179</v>
      </c>
      <c r="D4" s="52" t="s">
        <v>102</v>
      </c>
      <c r="E4" s="46"/>
      <c r="F4" s="46"/>
      <c r="G4" s="46"/>
      <c r="H4" s="46"/>
      <c r="I4" s="46"/>
      <c r="J4" s="46"/>
      <c r="K4" s="46"/>
      <c r="L4" s="46"/>
      <c r="M4" s="46"/>
      <c r="N4" s="46"/>
      <c r="O4" s="46"/>
      <c r="P4" s="46"/>
      <c r="Q4" s="46"/>
      <c r="R4" s="46"/>
      <c r="S4" s="46"/>
      <c r="T4" s="46"/>
      <c r="U4" s="46"/>
      <c r="V4" s="46"/>
      <c r="W4" s="46"/>
      <c r="X4" s="46"/>
      <c r="Y4" s="46"/>
      <c r="Z4" s="46"/>
    </row>
    <row r="5" customFormat="false" ht="14.25" hidden="false" customHeight="true" outlineLevel="0" collapsed="false">
      <c r="A5" s="38"/>
      <c r="B5" s="51"/>
      <c r="C5" s="51"/>
      <c r="D5" s="52"/>
      <c r="E5" s="46"/>
      <c r="F5" s="46"/>
      <c r="G5" s="46"/>
      <c r="H5" s="46"/>
      <c r="I5" s="46"/>
      <c r="J5" s="46"/>
      <c r="K5" s="46"/>
      <c r="L5" s="46"/>
      <c r="M5" s="46"/>
      <c r="N5" s="46"/>
      <c r="O5" s="46"/>
      <c r="P5" s="46"/>
      <c r="Q5" s="46"/>
      <c r="R5" s="46"/>
      <c r="S5" s="46"/>
      <c r="T5" s="46"/>
      <c r="U5" s="46"/>
      <c r="V5" s="46"/>
      <c r="W5" s="46"/>
      <c r="X5" s="46"/>
      <c r="Y5" s="46"/>
      <c r="Z5" s="46"/>
    </row>
    <row r="6" customFormat="false" ht="14.25" hidden="false" customHeight="true" outlineLevel="0" collapsed="false">
      <c r="A6" s="38"/>
      <c r="B6" s="51"/>
      <c r="C6" s="51"/>
      <c r="D6" s="52"/>
      <c r="E6" s="46"/>
      <c r="F6" s="46"/>
      <c r="G6" s="46"/>
      <c r="H6" s="46"/>
      <c r="I6" s="46"/>
      <c r="J6" s="46"/>
      <c r="K6" s="46"/>
      <c r="L6" s="46"/>
      <c r="M6" s="46"/>
      <c r="N6" s="46"/>
      <c r="O6" s="46"/>
      <c r="P6" s="46"/>
      <c r="Q6" s="46"/>
      <c r="R6" s="46"/>
      <c r="S6" s="46"/>
      <c r="T6" s="46"/>
      <c r="U6" s="46"/>
      <c r="V6" s="46"/>
      <c r="W6" s="46"/>
      <c r="X6" s="46"/>
      <c r="Y6" s="46"/>
      <c r="Z6" s="46"/>
    </row>
    <row r="7" customFormat="false" ht="14.25" hidden="false" customHeight="true" outlineLevel="0" collapsed="false">
      <c r="A7" s="38"/>
      <c r="B7" s="51"/>
      <c r="C7" s="51"/>
      <c r="D7" s="52"/>
      <c r="E7" s="46"/>
      <c r="F7" s="46"/>
      <c r="G7" s="46"/>
      <c r="H7" s="46"/>
      <c r="I7" s="46"/>
      <c r="J7" s="46"/>
      <c r="K7" s="46"/>
      <c r="L7" s="46"/>
      <c r="M7" s="46"/>
      <c r="N7" s="46"/>
      <c r="O7" s="46"/>
      <c r="P7" s="46"/>
      <c r="Q7" s="46"/>
      <c r="R7" s="46"/>
      <c r="S7" s="46"/>
      <c r="T7" s="46"/>
      <c r="U7" s="46"/>
      <c r="V7" s="46"/>
      <c r="W7" s="46"/>
      <c r="X7" s="46"/>
      <c r="Y7" s="46"/>
      <c r="Z7" s="46"/>
    </row>
    <row r="8" customFormat="false" ht="14.25" hidden="false" customHeight="true" outlineLevel="0" collapsed="false">
      <c r="A8" s="38"/>
      <c r="B8" s="51"/>
      <c r="C8" s="51"/>
      <c r="D8" s="52"/>
      <c r="E8" s="46"/>
      <c r="F8" s="46"/>
      <c r="G8" s="46"/>
      <c r="H8" s="46"/>
      <c r="I8" s="46"/>
      <c r="J8" s="46"/>
      <c r="K8" s="46"/>
      <c r="L8" s="46"/>
      <c r="M8" s="46"/>
      <c r="N8" s="46"/>
      <c r="O8" s="46"/>
      <c r="P8" s="46"/>
      <c r="Q8" s="46"/>
      <c r="R8" s="46"/>
      <c r="S8" s="46"/>
      <c r="T8" s="46"/>
      <c r="U8" s="46"/>
      <c r="V8" s="46"/>
      <c r="W8" s="46"/>
      <c r="X8" s="46"/>
      <c r="Y8" s="46"/>
      <c r="Z8" s="46"/>
    </row>
    <row r="9" customFormat="false" ht="14.25" hidden="false" customHeight="true" outlineLevel="0" collapsed="false">
      <c r="A9" s="48"/>
      <c r="B9" s="53"/>
      <c r="C9" s="49" t="s">
        <v>103</v>
      </c>
      <c r="D9" s="50" t="n">
        <f aca="false">1/C4</f>
        <v>5.58659217877095</v>
      </c>
      <c r="E9" s="46"/>
      <c r="F9" s="46"/>
      <c r="G9" s="46"/>
      <c r="H9" s="46"/>
      <c r="I9" s="46"/>
      <c r="J9" s="46"/>
      <c r="K9" s="46"/>
      <c r="L9" s="46"/>
      <c r="M9" s="46"/>
      <c r="N9" s="46"/>
      <c r="O9" s="46"/>
      <c r="P9" s="46"/>
      <c r="Q9" s="46"/>
      <c r="R9" s="46"/>
      <c r="S9" s="46"/>
      <c r="T9" s="46"/>
      <c r="U9" s="46"/>
      <c r="V9" s="46"/>
      <c r="W9" s="46"/>
      <c r="X9" s="46"/>
      <c r="Y9" s="46"/>
      <c r="Z9" s="46"/>
    </row>
    <row r="10" customFormat="false" ht="14.25" hidden="false" customHeight="true" outlineLevel="0" collapsed="false">
      <c r="A10" s="46"/>
      <c r="B10" s="47"/>
      <c r="C10" s="47"/>
      <c r="D10" s="46" t="s">
        <v>104</v>
      </c>
      <c r="E10" s="46"/>
      <c r="F10" s="46"/>
      <c r="G10" s="46"/>
      <c r="H10" s="46"/>
      <c r="I10" s="46"/>
      <c r="J10" s="46"/>
      <c r="K10" s="46"/>
      <c r="L10" s="46"/>
      <c r="M10" s="46"/>
      <c r="N10" s="46"/>
      <c r="O10" s="46"/>
      <c r="P10" s="46"/>
      <c r="Q10" s="46"/>
      <c r="R10" s="46"/>
      <c r="S10" s="46"/>
      <c r="T10" s="46"/>
      <c r="U10" s="46"/>
      <c r="V10" s="46"/>
      <c r="W10" s="46"/>
      <c r="X10" s="46"/>
      <c r="Y10" s="46"/>
      <c r="Z10" s="46"/>
    </row>
    <row r="11" customFormat="false" ht="14.25" hidden="false" customHeight="true" outlineLevel="0" collapsed="false">
      <c r="A11" s="46"/>
      <c r="B11" s="47"/>
      <c r="C11" s="47"/>
      <c r="D11" s="46"/>
      <c r="E11" s="46"/>
      <c r="F11" s="46"/>
      <c r="G11" s="46"/>
      <c r="H11" s="46"/>
      <c r="I11" s="46"/>
      <c r="J11" s="46"/>
      <c r="K11" s="46"/>
      <c r="L11" s="46"/>
      <c r="M11" s="46"/>
      <c r="N11" s="46"/>
      <c r="O11" s="46"/>
      <c r="P11" s="46"/>
      <c r="Q11" s="46"/>
      <c r="R11" s="46"/>
      <c r="S11" s="46"/>
      <c r="T11" s="46"/>
      <c r="U11" s="46"/>
      <c r="V11" s="46"/>
      <c r="W11" s="46"/>
      <c r="X11" s="46"/>
      <c r="Y11" s="46"/>
      <c r="Z11" s="46"/>
    </row>
    <row r="12" customFormat="false" ht="14.25" hidden="false" customHeight="true" outlineLevel="0" collapsed="false">
      <c r="A12" s="46"/>
      <c r="B12" s="47"/>
      <c r="C12" s="47"/>
      <c r="D12" s="46"/>
      <c r="E12" s="46"/>
      <c r="F12" s="46"/>
      <c r="G12" s="46"/>
      <c r="H12" s="46"/>
      <c r="I12" s="46"/>
      <c r="J12" s="46"/>
      <c r="K12" s="46"/>
      <c r="L12" s="46"/>
      <c r="M12" s="46"/>
      <c r="N12" s="46"/>
      <c r="O12" s="46"/>
      <c r="P12" s="46"/>
      <c r="Q12" s="46"/>
      <c r="R12" s="46"/>
      <c r="S12" s="46"/>
      <c r="T12" s="46"/>
      <c r="U12" s="46"/>
      <c r="V12" s="46"/>
      <c r="W12" s="46"/>
      <c r="X12" s="46"/>
      <c r="Y12" s="46"/>
      <c r="Z12" s="46"/>
    </row>
    <row r="13" customFormat="false" ht="14.25" hidden="false" customHeight="true" outlineLevel="0" collapsed="false">
      <c r="A13" s="46"/>
      <c r="B13" s="47"/>
      <c r="C13" s="47"/>
      <c r="D13" s="46"/>
      <c r="E13" s="46"/>
      <c r="F13" s="46"/>
      <c r="G13" s="46"/>
      <c r="H13" s="46"/>
      <c r="I13" s="46"/>
      <c r="J13" s="46"/>
      <c r="K13" s="46"/>
      <c r="L13" s="46"/>
      <c r="M13" s="46"/>
      <c r="N13" s="46"/>
      <c r="O13" s="46"/>
      <c r="P13" s="46"/>
      <c r="Q13" s="46"/>
      <c r="R13" s="46"/>
      <c r="S13" s="46"/>
      <c r="T13" s="46"/>
      <c r="U13" s="46"/>
      <c r="V13" s="46"/>
      <c r="W13" s="46"/>
      <c r="X13" s="46"/>
      <c r="Y13" s="46"/>
      <c r="Z13" s="46"/>
    </row>
    <row r="14" customFormat="false" ht="14.25" hidden="false" customHeight="true" outlineLevel="0" collapsed="false">
      <c r="A14" s="46"/>
      <c r="B14" s="47"/>
      <c r="C14" s="47"/>
      <c r="D14" s="46"/>
      <c r="E14" s="46"/>
      <c r="F14" s="46"/>
      <c r="G14" s="46"/>
      <c r="H14" s="46"/>
      <c r="I14" s="46"/>
      <c r="J14" s="46"/>
      <c r="K14" s="46"/>
      <c r="L14" s="46"/>
      <c r="M14" s="46"/>
      <c r="N14" s="46"/>
      <c r="O14" s="46"/>
      <c r="P14" s="46"/>
      <c r="Q14" s="46"/>
      <c r="R14" s="46"/>
      <c r="S14" s="46"/>
      <c r="T14" s="46"/>
      <c r="U14" s="46"/>
      <c r="V14" s="46"/>
      <c r="W14" s="46"/>
      <c r="X14" s="46"/>
      <c r="Y14" s="46"/>
      <c r="Z14" s="46"/>
    </row>
    <row r="15" customFormat="false" ht="14.25" hidden="false" customHeight="true" outlineLevel="0" collapsed="false">
      <c r="A15" s="46"/>
      <c r="B15" s="47"/>
      <c r="C15" s="47"/>
      <c r="D15" s="46"/>
      <c r="E15" s="46"/>
      <c r="F15" s="46"/>
      <c r="G15" s="46"/>
      <c r="H15" s="46"/>
      <c r="I15" s="46"/>
      <c r="J15" s="46"/>
      <c r="K15" s="46"/>
      <c r="L15" s="46"/>
      <c r="M15" s="46"/>
      <c r="N15" s="46"/>
      <c r="O15" s="46"/>
      <c r="P15" s="46"/>
      <c r="Q15" s="46"/>
      <c r="R15" s="46"/>
      <c r="S15" s="46"/>
      <c r="T15" s="46"/>
      <c r="U15" s="46"/>
      <c r="V15" s="46"/>
      <c r="W15" s="46"/>
      <c r="X15" s="46"/>
      <c r="Y15" s="46"/>
      <c r="Z15" s="46"/>
    </row>
    <row r="16" customFormat="false" ht="14.25" hidden="false" customHeight="true" outlineLevel="0" collapsed="false">
      <c r="A16" s="46"/>
      <c r="B16" s="47"/>
      <c r="C16" s="47"/>
      <c r="D16" s="46"/>
      <c r="E16" s="46"/>
      <c r="F16" s="46"/>
      <c r="G16" s="46"/>
      <c r="H16" s="46"/>
      <c r="I16" s="46"/>
      <c r="J16" s="46"/>
      <c r="K16" s="46"/>
      <c r="L16" s="46"/>
      <c r="M16" s="46"/>
      <c r="N16" s="46"/>
      <c r="O16" s="46"/>
      <c r="P16" s="46"/>
      <c r="Q16" s="46"/>
      <c r="R16" s="46"/>
      <c r="S16" s="46"/>
      <c r="T16" s="46"/>
      <c r="U16" s="46"/>
      <c r="V16" s="46"/>
      <c r="W16" s="46"/>
      <c r="X16" s="46"/>
      <c r="Y16" s="46"/>
      <c r="Z16" s="46"/>
    </row>
    <row r="17" customFormat="false" ht="14.25" hidden="false" customHeight="true" outlineLevel="0" collapsed="false">
      <c r="A17" s="46"/>
      <c r="B17" s="47"/>
      <c r="C17" s="47"/>
      <c r="D17" s="46"/>
      <c r="E17" s="46"/>
      <c r="F17" s="46"/>
      <c r="G17" s="46"/>
      <c r="H17" s="46"/>
      <c r="I17" s="46"/>
      <c r="J17" s="46"/>
      <c r="K17" s="46"/>
      <c r="L17" s="46"/>
      <c r="M17" s="46"/>
      <c r="N17" s="46"/>
      <c r="O17" s="46"/>
      <c r="P17" s="46"/>
      <c r="Q17" s="46"/>
      <c r="R17" s="46"/>
      <c r="S17" s="46"/>
      <c r="T17" s="46"/>
      <c r="U17" s="46"/>
      <c r="V17" s="46"/>
      <c r="W17" s="46"/>
      <c r="X17" s="46"/>
      <c r="Y17" s="46"/>
      <c r="Z17" s="46"/>
    </row>
    <row r="18" customFormat="false" ht="14.25" hidden="false" customHeight="true" outlineLevel="0" collapsed="false">
      <c r="A18" s="46"/>
      <c r="B18" s="47"/>
      <c r="C18" s="47"/>
      <c r="D18" s="46"/>
      <c r="E18" s="46"/>
      <c r="F18" s="46"/>
      <c r="G18" s="46"/>
      <c r="H18" s="46"/>
      <c r="I18" s="46"/>
      <c r="J18" s="46"/>
      <c r="K18" s="46"/>
      <c r="L18" s="46"/>
      <c r="M18" s="46"/>
      <c r="N18" s="46"/>
      <c r="O18" s="46"/>
      <c r="P18" s="46"/>
      <c r="Q18" s="46"/>
      <c r="R18" s="46"/>
      <c r="S18" s="46"/>
      <c r="T18" s="46"/>
      <c r="U18" s="46"/>
      <c r="V18" s="46"/>
      <c r="W18" s="46"/>
      <c r="X18" s="46"/>
      <c r="Y18" s="46"/>
      <c r="Z18" s="46"/>
    </row>
    <row r="19" customFormat="false" ht="14.25" hidden="false" customHeight="true" outlineLevel="0" collapsed="false">
      <c r="A19" s="46"/>
      <c r="B19" s="47"/>
      <c r="C19" s="47"/>
      <c r="D19" s="46"/>
      <c r="E19" s="46"/>
      <c r="F19" s="46"/>
      <c r="G19" s="46"/>
      <c r="H19" s="46"/>
      <c r="I19" s="46"/>
      <c r="J19" s="46"/>
      <c r="K19" s="46"/>
      <c r="L19" s="46"/>
      <c r="M19" s="46"/>
      <c r="N19" s="46"/>
      <c r="O19" s="46"/>
      <c r="P19" s="46"/>
      <c r="Q19" s="46"/>
      <c r="R19" s="46"/>
      <c r="S19" s="46"/>
      <c r="T19" s="46"/>
      <c r="U19" s="46"/>
      <c r="V19" s="46"/>
      <c r="W19" s="46"/>
      <c r="X19" s="46"/>
      <c r="Y19" s="46"/>
      <c r="Z19" s="46"/>
    </row>
    <row r="20" customFormat="false" ht="14.25" hidden="false" customHeight="true" outlineLevel="0" collapsed="false">
      <c r="A20" s="46"/>
      <c r="B20" s="47"/>
      <c r="C20" s="47"/>
      <c r="D20" s="46"/>
      <c r="E20" s="46"/>
      <c r="F20" s="46"/>
      <c r="G20" s="46"/>
      <c r="H20" s="46"/>
      <c r="I20" s="46"/>
      <c r="J20" s="46"/>
      <c r="K20" s="46"/>
      <c r="L20" s="46"/>
      <c r="M20" s="46"/>
      <c r="N20" s="46"/>
      <c r="O20" s="46"/>
      <c r="P20" s="46"/>
      <c r="Q20" s="46"/>
      <c r="R20" s="46"/>
      <c r="S20" s="46"/>
      <c r="T20" s="46"/>
      <c r="U20" s="46"/>
      <c r="V20" s="46"/>
      <c r="W20" s="46"/>
      <c r="X20" s="46"/>
      <c r="Y20" s="46"/>
      <c r="Z20" s="46"/>
    </row>
    <row r="21" customFormat="false" ht="14.25" hidden="false" customHeight="true" outlineLevel="0" collapsed="false">
      <c r="A21" s="46"/>
      <c r="B21" s="47"/>
      <c r="C21" s="47"/>
      <c r="D21" s="46"/>
      <c r="E21" s="46"/>
      <c r="F21" s="46"/>
      <c r="G21" s="46"/>
      <c r="H21" s="46"/>
      <c r="I21" s="46"/>
      <c r="J21" s="46"/>
      <c r="K21" s="46"/>
      <c r="L21" s="46"/>
      <c r="M21" s="46"/>
      <c r="N21" s="46"/>
      <c r="O21" s="46"/>
      <c r="P21" s="46"/>
      <c r="Q21" s="46"/>
      <c r="R21" s="46"/>
      <c r="S21" s="46"/>
      <c r="T21" s="46"/>
      <c r="U21" s="46"/>
      <c r="V21" s="46"/>
      <c r="W21" s="46"/>
      <c r="X21" s="46"/>
      <c r="Y21" s="46"/>
      <c r="Z21" s="46"/>
    </row>
    <row r="22" customFormat="false" ht="14.25" hidden="false" customHeight="true" outlineLevel="0" collapsed="false">
      <c r="A22" s="46"/>
      <c r="B22" s="47"/>
      <c r="C22" s="47"/>
      <c r="D22" s="46"/>
      <c r="E22" s="46"/>
      <c r="F22" s="46"/>
      <c r="G22" s="46"/>
      <c r="H22" s="46"/>
      <c r="I22" s="46"/>
      <c r="J22" s="46"/>
      <c r="K22" s="46"/>
      <c r="L22" s="46"/>
      <c r="M22" s="46"/>
      <c r="N22" s="46"/>
      <c r="O22" s="46"/>
      <c r="P22" s="46"/>
      <c r="Q22" s="46"/>
      <c r="R22" s="46"/>
      <c r="S22" s="46"/>
      <c r="T22" s="46"/>
      <c r="U22" s="46"/>
      <c r="V22" s="46"/>
      <c r="W22" s="46"/>
      <c r="X22" s="46"/>
      <c r="Y22" s="46"/>
      <c r="Z22" s="46"/>
    </row>
    <row r="23" customFormat="false" ht="14.25" hidden="false" customHeight="true" outlineLevel="0" collapsed="false">
      <c r="A23" s="46"/>
      <c r="B23" s="47"/>
      <c r="C23" s="47"/>
      <c r="D23" s="46"/>
      <c r="E23" s="46"/>
      <c r="F23" s="46"/>
      <c r="G23" s="46"/>
      <c r="H23" s="46"/>
      <c r="I23" s="46"/>
      <c r="J23" s="46"/>
      <c r="K23" s="46"/>
      <c r="L23" s="46"/>
      <c r="M23" s="46"/>
      <c r="N23" s="46"/>
      <c r="O23" s="46"/>
      <c r="P23" s="46"/>
      <c r="Q23" s="46"/>
      <c r="R23" s="46"/>
      <c r="S23" s="46"/>
      <c r="T23" s="46"/>
      <c r="U23" s="46"/>
      <c r="V23" s="46"/>
      <c r="W23" s="46"/>
      <c r="X23" s="46"/>
      <c r="Y23" s="46"/>
      <c r="Z23" s="46"/>
    </row>
    <row r="24" customFormat="false" ht="14.25" hidden="false" customHeight="true" outlineLevel="0" collapsed="false">
      <c r="A24" s="46"/>
      <c r="B24" s="47"/>
      <c r="C24" s="47"/>
      <c r="D24" s="46"/>
      <c r="E24" s="46"/>
      <c r="F24" s="46"/>
      <c r="G24" s="46"/>
      <c r="H24" s="46"/>
      <c r="I24" s="46"/>
      <c r="J24" s="46"/>
      <c r="K24" s="46"/>
      <c r="L24" s="46"/>
      <c r="M24" s="46"/>
      <c r="N24" s="46"/>
      <c r="O24" s="46"/>
      <c r="P24" s="46"/>
      <c r="Q24" s="46"/>
      <c r="R24" s="46"/>
      <c r="S24" s="46"/>
      <c r="T24" s="46"/>
      <c r="U24" s="46"/>
      <c r="V24" s="46"/>
      <c r="W24" s="46"/>
      <c r="X24" s="46"/>
      <c r="Y24" s="46"/>
      <c r="Z24" s="46"/>
    </row>
    <row r="25" customFormat="false" ht="14.25" hidden="false" customHeight="true" outlineLevel="0" collapsed="false">
      <c r="A25" s="46"/>
      <c r="B25" s="47"/>
      <c r="C25" s="47"/>
      <c r="D25" s="46"/>
      <c r="E25" s="46"/>
      <c r="F25" s="46"/>
      <c r="G25" s="46"/>
      <c r="H25" s="46"/>
      <c r="I25" s="46"/>
      <c r="J25" s="46"/>
      <c r="K25" s="46"/>
      <c r="L25" s="46"/>
      <c r="M25" s="46"/>
      <c r="N25" s="46"/>
      <c r="O25" s="46"/>
      <c r="P25" s="46"/>
      <c r="Q25" s="46"/>
      <c r="R25" s="46"/>
      <c r="S25" s="46"/>
      <c r="T25" s="46"/>
      <c r="U25" s="46"/>
      <c r="V25" s="46"/>
      <c r="W25" s="46"/>
      <c r="X25" s="46"/>
      <c r="Y25" s="46"/>
      <c r="Z25" s="46"/>
    </row>
    <row r="26" customFormat="false" ht="14.25" hidden="false" customHeight="true" outlineLevel="0" collapsed="false">
      <c r="A26" s="46"/>
      <c r="B26" s="47"/>
      <c r="C26" s="47"/>
      <c r="D26" s="46"/>
      <c r="E26" s="46"/>
      <c r="F26" s="46"/>
      <c r="G26" s="46"/>
      <c r="H26" s="46"/>
      <c r="I26" s="46"/>
      <c r="J26" s="46"/>
      <c r="K26" s="46"/>
      <c r="L26" s="46"/>
      <c r="M26" s="46"/>
      <c r="N26" s="46"/>
      <c r="O26" s="46"/>
      <c r="P26" s="46"/>
      <c r="Q26" s="46"/>
      <c r="R26" s="46"/>
      <c r="S26" s="46"/>
      <c r="T26" s="46"/>
      <c r="U26" s="46"/>
      <c r="V26" s="46"/>
      <c r="W26" s="46"/>
      <c r="X26" s="46"/>
      <c r="Y26" s="46"/>
      <c r="Z26" s="46"/>
    </row>
    <row r="27" customFormat="false" ht="14.25" hidden="false" customHeight="true" outlineLevel="0" collapsed="false">
      <c r="A27" s="46"/>
      <c r="B27" s="47"/>
      <c r="C27" s="47"/>
      <c r="D27" s="46"/>
      <c r="E27" s="46"/>
      <c r="F27" s="46"/>
      <c r="G27" s="46"/>
      <c r="H27" s="46"/>
      <c r="I27" s="46"/>
      <c r="J27" s="46"/>
      <c r="K27" s="46"/>
      <c r="L27" s="46"/>
      <c r="M27" s="46"/>
      <c r="N27" s="46"/>
      <c r="O27" s="46"/>
      <c r="P27" s="46"/>
      <c r="Q27" s="46"/>
      <c r="R27" s="46"/>
      <c r="S27" s="46"/>
      <c r="T27" s="46"/>
      <c r="U27" s="46"/>
      <c r="V27" s="46"/>
      <c r="W27" s="46"/>
      <c r="X27" s="46"/>
      <c r="Y27" s="46"/>
      <c r="Z27" s="46"/>
    </row>
    <row r="28" customFormat="false" ht="14.25" hidden="false" customHeight="true" outlineLevel="0" collapsed="false">
      <c r="A28" s="46"/>
      <c r="B28" s="47"/>
      <c r="C28" s="47"/>
      <c r="D28" s="46"/>
      <c r="E28" s="46"/>
      <c r="F28" s="46"/>
      <c r="G28" s="46"/>
      <c r="H28" s="46"/>
      <c r="I28" s="46"/>
      <c r="J28" s="46"/>
      <c r="K28" s="46"/>
      <c r="L28" s="46"/>
      <c r="M28" s="46"/>
      <c r="N28" s="46"/>
      <c r="O28" s="46"/>
      <c r="P28" s="46"/>
      <c r="Q28" s="46"/>
      <c r="R28" s="46"/>
      <c r="S28" s="46"/>
      <c r="T28" s="46"/>
      <c r="U28" s="46"/>
      <c r="V28" s="46"/>
      <c r="W28" s="46"/>
      <c r="X28" s="46"/>
      <c r="Y28" s="46"/>
      <c r="Z28" s="46"/>
    </row>
    <row r="29" customFormat="false" ht="14.25" hidden="false" customHeight="true" outlineLevel="0" collapsed="false">
      <c r="A29" s="46"/>
      <c r="B29" s="47"/>
      <c r="C29" s="47"/>
      <c r="D29" s="46"/>
      <c r="E29" s="46"/>
      <c r="F29" s="46"/>
      <c r="G29" s="46"/>
      <c r="H29" s="46"/>
      <c r="I29" s="46"/>
      <c r="J29" s="46"/>
      <c r="K29" s="46"/>
      <c r="L29" s="46"/>
      <c r="M29" s="46"/>
      <c r="N29" s="46"/>
      <c r="O29" s="46"/>
      <c r="P29" s="46"/>
      <c r="Q29" s="46"/>
      <c r="R29" s="46"/>
      <c r="S29" s="46"/>
      <c r="T29" s="46"/>
      <c r="U29" s="46"/>
      <c r="V29" s="46"/>
      <c r="W29" s="46"/>
      <c r="X29" s="46"/>
      <c r="Y29" s="46"/>
      <c r="Z29" s="46"/>
    </row>
    <row r="30" customFormat="false" ht="14.25" hidden="false" customHeight="true" outlineLevel="0" collapsed="false">
      <c r="A30" s="46"/>
      <c r="B30" s="47"/>
      <c r="C30" s="47"/>
      <c r="D30" s="46"/>
      <c r="E30" s="46"/>
      <c r="F30" s="46"/>
      <c r="G30" s="46"/>
      <c r="H30" s="46"/>
      <c r="I30" s="46"/>
      <c r="J30" s="46"/>
      <c r="K30" s="46"/>
      <c r="L30" s="46"/>
      <c r="M30" s="46"/>
      <c r="N30" s="46"/>
      <c r="O30" s="46"/>
      <c r="P30" s="46"/>
      <c r="Q30" s="46"/>
      <c r="R30" s="46"/>
      <c r="S30" s="46"/>
      <c r="T30" s="46"/>
      <c r="U30" s="46"/>
      <c r="V30" s="46"/>
      <c r="W30" s="46"/>
      <c r="X30" s="46"/>
      <c r="Y30" s="46"/>
      <c r="Z30" s="46"/>
    </row>
    <row r="31" customFormat="false" ht="14.25" hidden="false" customHeight="true" outlineLevel="0" collapsed="false">
      <c r="A31" s="46"/>
      <c r="B31" s="47"/>
      <c r="C31" s="47"/>
      <c r="D31" s="46"/>
      <c r="E31" s="46"/>
      <c r="F31" s="46"/>
      <c r="G31" s="46"/>
      <c r="H31" s="46"/>
      <c r="I31" s="46"/>
      <c r="J31" s="46"/>
      <c r="K31" s="46"/>
      <c r="L31" s="46"/>
      <c r="M31" s="46"/>
      <c r="N31" s="46"/>
      <c r="O31" s="46"/>
      <c r="P31" s="46"/>
      <c r="Q31" s="46"/>
      <c r="R31" s="46"/>
      <c r="S31" s="46"/>
      <c r="T31" s="46"/>
      <c r="U31" s="46"/>
      <c r="V31" s="46"/>
      <c r="W31" s="46"/>
      <c r="X31" s="46"/>
      <c r="Y31" s="46"/>
      <c r="Z31" s="46"/>
    </row>
    <row r="32" customFormat="false" ht="14.25" hidden="false" customHeight="true" outlineLevel="0" collapsed="false">
      <c r="A32" s="46"/>
      <c r="B32" s="47"/>
      <c r="C32" s="47"/>
      <c r="D32" s="46"/>
      <c r="E32" s="46"/>
      <c r="F32" s="46"/>
      <c r="G32" s="46"/>
      <c r="H32" s="46"/>
      <c r="I32" s="46"/>
      <c r="J32" s="46"/>
      <c r="K32" s="46"/>
      <c r="L32" s="46"/>
      <c r="M32" s="46"/>
      <c r="N32" s="46"/>
      <c r="O32" s="46"/>
      <c r="P32" s="46"/>
      <c r="Q32" s="46"/>
      <c r="R32" s="46"/>
      <c r="S32" s="46"/>
      <c r="T32" s="46"/>
      <c r="U32" s="46"/>
      <c r="V32" s="46"/>
      <c r="W32" s="46"/>
      <c r="X32" s="46"/>
      <c r="Y32" s="46"/>
      <c r="Z32" s="46"/>
    </row>
    <row r="33" customFormat="false" ht="14.25" hidden="false" customHeight="true" outlineLevel="0" collapsed="false">
      <c r="A33" s="46"/>
      <c r="B33" s="47"/>
      <c r="C33" s="47"/>
      <c r="D33" s="46"/>
      <c r="E33" s="46"/>
      <c r="F33" s="46"/>
      <c r="G33" s="46"/>
      <c r="H33" s="46"/>
      <c r="I33" s="46"/>
      <c r="J33" s="46"/>
      <c r="K33" s="46"/>
      <c r="L33" s="46"/>
      <c r="M33" s="46"/>
      <c r="N33" s="46"/>
      <c r="O33" s="46"/>
      <c r="P33" s="46"/>
      <c r="Q33" s="46"/>
      <c r="R33" s="46"/>
      <c r="S33" s="46"/>
      <c r="T33" s="46"/>
      <c r="U33" s="46"/>
      <c r="V33" s="46"/>
      <c r="W33" s="46"/>
      <c r="X33" s="46"/>
      <c r="Y33" s="46"/>
      <c r="Z33" s="46"/>
    </row>
    <row r="34" customFormat="false" ht="14.25" hidden="false" customHeight="true" outlineLevel="0" collapsed="false">
      <c r="A34" s="46"/>
      <c r="B34" s="47"/>
      <c r="C34" s="47"/>
      <c r="D34" s="46"/>
      <c r="E34" s="46"/>
      <c r="F34" s="46"/>
      <c r="G34" s="46"/>
      <c r="H34" s="46"/>
      <c r="I34" s="46"/>
      <c r="J34" s="46"/>
      <c r="K34" s="46"/>
      <c r="L34" s="46"/>
      <c r="M34" s="46"/>
      <c r="N34" s="46"/>
      <c r="O34" s="46"/>
      <c r="P34" s="46"/>
      <c r="Q34" s="46"/>
      <c r="R34" s="46"/>
      <c r="S34" s="46"/>
      <c r="T34" s="46"/>
      <c r="U34" s="46"/>
      <c r="V34" s="46"/>
      <c r="W34" s="46"/>
      <c r="X34" s="46"/>
      <c r="Y34" s="46"/>
      <c r="Z34" s="46"/>
    </row>
    <row r="35" customFormat="false" ht="14.25" hidden="false" customHeight="true" outlineLevel="0" collapsed="false">
      <c r="A35" s="46"/>
      <c r="B35" s="47"/>
      <c r="C35" s="47"/>
      <c r="D35" s="46"/>
      <c r="E35" s="46"/>
      <c r="F35" s="46"/>
      <c r="G35" s="46"/>
      <c r="H35" s="46"/>
      <c r="I35" s="46"/>
      <c r="J35" s="46"/>
      <c r="K35" s="46"/>
      <c r="L35" s="46"/>
      <c r="M35" s="46"/>
      <c r="N35" s="46"/>
      <c r="O35" s="46"/>
      <c r="P35" s="46"/>
      <c r="Q35" s="46"/>
      <c r="R35" s="46"/>
      <c r="S35" s="46"/>
      <c r="T35" s="46"/>
      <c r="U35" s="46"/>
      <c r="V35" s="46"/>
      <c r="W35" s="46"/>
      <c r="X35" s="46"/>
      <c r="Y35" s="46"/>
      <c r="Z35" s="46"/>
    </row>
    <row r="36" customFormat="false" ht="14.25" hidden="false" customHeight="true" outlineLevel="0" collapsed="false">
      <c r="A36" s="46"/>
      <c r="B36" s="47"/>
      <c r="C36" s="47"/>
      <c r="D36" s="46"/>
      <c r="E36" s="46"/>
      <c r="F36" s="46"/>
      <c r="G36" s="46"/>
      <c r="H36" s="46"/>
      <c r="I36" s="46"/>
      <c r="J36" s="46"/>
      <c r="K36" s="46"/>
      <c r="L36" s="46"/>
      <c r="M36" s="46"/>
      <c r="N36" s="46"/>
      <c r="O36" s="46"/>
      <c r="P36" s="46"/>
      <c r="Q36" s="46"/>
      <c r="R36" s="46"/>
      <c r="S36" s="46"/>
      <c r="T36" s="46"/>
      <c r="U36" s="46"/>
      <c r="V36" s="46"/>
      <c r="W36" s="46"/>
      <c r="X36" s="46"/>
      <c r="Y36" s="46"/>
      <c r="Z36" s="46"/>
    </row>
    <row r="37" customFormat="false" ht="14.25" hidden="false" customHeight="true" outlineLevel="0" collapsed="false">
      <c r="A37" s="46"/>
      <c r="B37" s="47"/>
      <c r="C37" s="47"/>
      <c r="D37" s="46"/>
      <c r="E37" s="46"/>
      <c r="F37" s="46"/>
      <c r="G37" s="46"/>
      <c r="H37" s="46"/>
      <c r="I37" s="46"/>
      <c r="J37" s="46"/>
      <c r="K37" s="46"/>
      <c r="L37" s="46"/>
      <c r="M37" s="46"/>
      <c r="N37" s="46"/>
      <c r="O37" s="46"/>
      <c r="P37" s="46"/>
      <c r="Q37" s="46"/>
      <c r="R37" s="46"/>
      <c r="S37" s="46"/>
      <c r="T37" s="46"/>
      <c r="U37" s="46"/>
      <c r="V37" s="46"/>
      <c r="W37" s="46"/>
      <c r="X37" s="46"/>
      <c r="Y37" s="46"/>
      <c r="Z37" s="46"/>
    </row>
    <row r="38" customFormat="false" ht="14.25" hidden="false" customHeight="true" outlineLevel="0" collapsed="false">
      <c r="A38" s="46"/>
      <c r="B38" s="47"/>
      <c r="C38" s="47"/>
      <c r="D38" s="46"/>
      <c r="E38" s="46"/>
      <c r="F38" s="46"/>
      <c r="G38" s="46"/>
      <c r="H38" s="46"/>
      <c r="I38" s="46"/>
      <c r="J38" s="46"/>
      <c r="K38" s="46"/>
      <c r="L38" s="46"/>
      <c r="M38" s="46"/>
      <c r="N38" s="46"/>
      <c r="O38" s="46"/>
      <c r="P38" s="46"/>
      <c r="Q38" s="46"/>
      <c r="R38" s="46"/>
      <c r="S38" s="46"/>
      <c r="T38" s="46"/>
      <c r="U38" s="46"/>
      <c r="V38" s="46"/>
      <c r="W38" s="46"/>
      <c r="X38" s="46"/>
      <c r="Y38" s="46"/>
      <c r="Z38" s="46"/>
    </row>
    <row r="39" customFormat="false" ht="14.25" hidden="false" customHeight="true" outlineLevel="0" collapsed="false">
      <c r="A39" s="46"/>
      <c r="B39" s="47"/>
      <c r="C39" s="47"/>
      <c r="D39" s="46"/>
      <c r="E39" s="46"/>
      <c r="F39" s="46"/>
      <c r="G39" s="46"/>
      <c r="H39" s="46"/>
      <c r="I39" s="46"/>
      <c r="J39" s="46"/>
      <c r="K39" s="46"/>
      <c r="L39" s="46"/>
      <c r="M39" s="46"/>
      <c r="N39" s="46"/>
      <c r="O39" s="46"/>
      <c r="P39" s="46"/>
      <c r="Q39" s="46"/>
      <c r="R39" s="46"/>
      <c r="S39" s="46"/>
      <c r="T39" s="46"/>
      <c r="U39" s="46"/>
      <c r="V39" s="46"/>
      <c r="W39" s="46"/>
      <c r="X39" s="46"/>
      <c r="Y39" s="46"/>
      <c r="Z39" s="46"/>
    </row>
    <row r="40" customFormat="false" ht="14.25" hidden="false" customHeight="true" outlineLevel="0" collapsed="false">
      <c r="A40" s="46"/>
      <c r="B40" s="47"/>
      <c r="C40" s="47"/>
      <c r="D40" s="46"/>
      <c r="E40" s="46"/>
      <c r="F40" s="46"/>
      <c r="G40" s="46"/>
      <c r="H40" s="46"/>
      <c r="I40" s="46"/>
      <c r="J40" s="46"/>
      <c r="K40" s="46"/>
      <c r="L40" s="46"/>
      <c r="M40" s="46"/>
      <c r="N40" s="46"/>
      <c r="O40" s="46"/>
      <c r="P40" s="46"/>
      <c r="Q40" s="46"/>
      <c r="R40" s="46"/>
      <c r="S40" s="46"/>
      <c r="T40" s="46"/>
      <c r="U40" s="46"/>
      <c r="V40" s="46"/>
      <c r="W40" s="46"/>
      <c r="X40" s="46"/>
      <c r="Y40" s="46"/>
      <c r="Z40" s="46"/>
    </row>
    <row r="41" customFormat="false" ht="14.25" hidden="false" customHeight="true" outlineLevel="0" collapsed="false">
      <c r="A41" s="46"/>
      <c r="B41" s="47"/>
      <c r="C41" s="47"/>
      <c r="D41" s="46"/>
      <c r="E41" s="46"/>
      <c r="F41" s="46"/>
      <c r="G41" s="46"/>
      <c r="H41" s="46"/>
      <c r="I41" s="46"/>
      <c r="J41" s="46"/>
      <c r="K41" s="46"/>
      <c r="L41" s="46"/>
      <c r="M41" s="46"/>
      <c r="N41" s="46"/>
      <c r="O41" s="46"/>
      <c r="P41" s="46"/>
      <c r="Q41" s="46"/>
      <c r="R41" s="46"/>
      <c r="S41" s="46"/>
      <c r="T41" s="46"/>
      <c r="U41" s="46"/>
      <c r="V41" s="46"/>
      <c r="W41" s="46"/>
      <c r="X41" s="46"/>
      <c r="Y41" s="46"/>
      <c r="Z41" s="46"/>
    </row>
    <row r="42" customFormat="false" ht="14.25" hidden="false" customHeight="true" outlineLevel="0" collapsed="false">
      <c r="A42" s="46"/>
      <c r="B42" s="47"/>
      <c r="C42" s="47"/>
      <c r="D42" s="46"/>
      <c r="E42" s="46"/>
      <c r="F42" s="46"/>
      <c r="G42" s="46"/>
      <c r="H42" s="46"/>
      <c r="I42" s="46"/>
      <c r="J42" s="46"/>
      <c r="K42" s="46"/>
      <c r="L42" s="46"/>
      <c r="M42" s="46"/>
      <c r="N42" s="46"/>
      <c r="O42" s="46"/>
      <c r="P42" s="46"/>
      <c r="Q42" s="46"/>
      <c r="R42" s="46"/>
      <c r="S42" s="46"/>
      <c r="T42" s="46"/>
      <c r="U42" s="46"/>
      <c r="V42" s="46"/>
      <c r="W42" s="46"/>
      <c r="X42" s="46"/>
      <c r="Y42" s="46"/>
      <c r="Z42" s="46"/>
    </row>
    <row r="43" customFormat="false" ht="14.25" hidden="false" customHeight="true" outlineLevel="0" collapsed="false">
      <c r="A43" s="46"/>
      <c r="B43" s="47"/>
      <c r="C43" s="47"/>
      <c r="D43" s="46"/>
      <c r="E43" s="46"/>
      <c r="F43" s="46"/>
      <c r="G43" s="46"/>
      <c r="H43" s="46"/>
      <c r="I43" s="46"/>
      <c r="J43" s="46"/>
      <c r="K43" s="46"/>
      <c r="L43" s="46"/>
      <c r="M43" s="46"/>
      <c r="N43" s="46"/>
      <c r="O43" s="46"/>
      <c r="P43" s="46"/>
      <c r="Q43" s="46"/>
      <c r="R43" s="46"/>
      <c r="S43" s="46"/>
      <c r="T43" s="46"/>
      <c r="U43" s="46"/>
      <c r="V43" s="46"/>
      <c r="W43" s="46"/>
      <c r="X43" s="46"/>
      <c r="Y43" s="46"/>
      <c r="Z43" s="46"/>
    </row>
    <row r="44" customFormat="false" ht="14.25" hidden="false" customHeight="true" outlineLevel="0" collapsed="false">
      <c r="A44" s="46"/>
      <c r="B44" s="47"/>
      <c r="C44" s="47"/>
      <c r="D44" s="46"/>
      <c r="E44" s="46"/>
      <c r="F44" s="46"/>
      <c r="G44" s="46"/>
      <c r="H44" s="46"/>
      <c r="I44" s="46"/>
      <c r="J44" s="46"/>
      <c r="K44" s="46"/>
      <c r="L44" s="46"/>
      <c r="M44" s="46"/>
      <c r="N44" s="46"/>
      <c r="O44" s="46"/>
      <c r="P44" s="46"/>
      <c r="Q44" s="46"/>
      <c r="R44" s="46"/>
      <c r="S44" s="46"/>
      <c r="T44" s="46"/>
      <c r="U44" s="46"/>
      <c r="V44" s="46"/>
      <c r="W44" s="46"/>
      <c r="X44" s="46"/>
      <c r="Y44" s="46"/>
      <c r="Z44" s="46"/>
    </row>
    <row r="45" customFormat="false" ht="14.25" hidden="false" customHeight="true" outlineLevel="0" collapsed="false">
      <c r="A45" s="46"/>
      <c r="B45" s="47"/>
      <c r="C45" s="47"/>
      <c r="D45" s="46"/>
      <c r="E45" s="46"/>
      <c r="F45" s="46"/>
      <c r="G45" s="46"/>
      <c r="H45" s="46"/>
      <c r="I45" s="46"/>
      <c r="J45" s="46"/>
      <c r="K45" s="46"/>
      <c r="L45" s="46"/>
      <c r="M45" s="46"/>
      <c r="N45" s="46"/>
      <c r="O45" s="46"/>
      <c r="P45" s="46"/>
      <c r="Q45" s="46"/>
      <c r="R45" s="46"/>
      <c r="S45" s="46"/>
      <c r="T45" s="46"/>
      <c r="U45" s="46"/>
      <c r="V45" s="46"/>
      <c r="W45" s="46"/>
      <c r="X45" s="46"/>
      <c r="Y45" s="46"/>
      <c r="Z45" s="46"/>
    </row>
    <row r="46" customFormat="false" ht="14.25" hidden="false" customHeight="true" outlineLevel="0" collapsed="false">
      <c r="A46" s="46"/>
      <c r="B46" s="47"/>
      <c r="C46" s="47"/>
      <c r="D46" s="46"/>
      <c r="E46" s="46"/>
      <c r="F46" s="46"/>
      <c r="G46" s="46"/>
      <c r="H46" s="46"/>
      <c r="I46" s="46"/>
      <c r="J46" s="46"/>
      <c r="K46" s="46"/>
      <c r="L46" s="46"/>
      <c r="M46" s="46"/>
      <c r="N46" s="46"/>
      <c r="O46" s="46"/>
      <c r="P46" s="46"/>
      <c r="Q46" s="46"/>
      <c r="R46" s="46"/>
      <c r="S46" s="46"/>
      <c r="T46" s="46"/>
      <c r="U46" s="46"/>
      <c r="V46" s="46"/>
      <c r="W46" s="46"/>
      <c r="X46" s="46"/>
      <c r="Y46" s="46"/>
      <c r="Z46" s="46"/>
    </row>
    <row r="47" customFormat="false" ht="14.25" hidden="false" customHeight="true" outlineLevel="0" collapsed="false">
      <c r="A47" s="46"/>
      <c r="B47" s="47"/>
      <c r="C47" s="47"/>
      <c r="D47" s="46"/>
      <c r="E47" s="46"/>
      <c r="F47" s="46"/>
      <c r="G47" s="46"/>
      <c r="H47" s="46"/>
      <c r="I47" s="46"/>
      <c r="J47" s="46"/>
      <c r="K47" s="46"/>
      <c r="L47" s="46"/>
      <c r="M47" s="46"/>
      <c r="N47" s="46"/>
      <c r="O47" s="46"/>
      <c r="P47" s="46"/>
      <c r="Q47" s="46"/>
      <c r="R47" s="46"/>
      <c r="S47" s="46"/>
      <c r="T47" s="46"/>
      <c r="U47" s="46"/>
      <c r="V47" s="46"/>
      <c r="W47" s="46"/>
      <c r="X47" s="46"/>
      <c r="Y47" s="46"/>
      <c r="Z47" s="46"/>
    </row>
    <row r="48" customFormat="false" ht="14.25" hidden="false" customHeight="true" outlineLevel="0" collapsed="false">
      <c r="A48" s="46"/>
      <c r="B48" s="47"/>
      <c r="C48" s="47"/>
      <c r="D48" s="46"/>
      <c r="E48" s="46"/>
      <c r="F48" s="46"/>
      <c r="G48" s="46"/>
      <c r="H48" s="46"/>
      <c r="I48" s="46"/>
      <c r="J48" s="46"/>
      <c r="K48" s="46"/>
      <c r="L48" s="46"/>
      <c r="M48" s="46"/>
      <c r="N48" s="46"/>
      <c r="O48" s="46"/>
      <c r="P48" s="46"/>
      <c r="Q48" s="46"/>
      <c r="R48" s="46"/>
      <c r="S48" s="46"/>
      <c r="T48" s="46"/>
      <c r="U48" s="46"/>
      <c r="V48" s="46"/>
      <c r="W48" s="46"/>
      <c r="X48" s="46"/>
      <c r="Y48" s="46"/>
      <c r="Z48" s="46"/>
    </row>
    <row r="49" customFormat="false" ht="14.25" hidden="false" customHeight="true" outlineLevel="0" collapsed="false">
      <c r="A49" s="46"/>
      <c r="B49" s="47"/>
      <c r="C49" s="47"/>
      <c r="D49" s="46"/>
      <c r="E49" s="46"/>
      <c r="F49" s="46"/>
      <c r="G49" s="46"/>
      <c r="H49" s="46"/>
      <c r="I49" s="46"/>
      <c r="J49" s="46"/>
      <c r="K49" s="46"/>
      <c r="L49" s="46"/>
      <c r="M49" s="46"/>
      <c r="N49" s="46"/>
      <c r="O49" s="46"/>
      <c r="P49" s="46"/>
      <c r="Q49" s="46"/>
      <c r="R49" s="46"/>
      <c r="S49" s="46"/>
      <c r="T49" s="46"/>
      <c r="U49" s="46"/>
      <c r="V49" s="46"/>
      <c r="W49" s="46"/>
      <c r="X49" s="46"/>
      <c r="Y49" s="46"/>
      <c r="Z49" s="46"/>
    </row>
    <row r="50" customFormat="false" ht="14.25" hidden="false" customHeight="true" outlineLevel="0" collapsed="false">
      <c r="A50" s="46"/>
      <c r="B50" s="47"/>
      <c r="C50" s="47"/>
      <c r="D50" s="46"/>
      <c r="E50" s="46"/>
      <c r="F50" s="46"/>
      <c r="G50" s="46"/>
      <c r="H50" s="46"/>
      <c r="I50" s="46"/>
      <c r="J50" s="46"/>
      <c r="K50" s="46"/>
      <c r="L50" s="46"/>
      <c r="M50" s="46"/>
      <c r="N50" s="46"/>
      <c r="O50" s="46"/>
      <c r="P50" s="46"/>
      <c r="Q50" s="46"/>
      <c r="R50" s="46"/>
      <c r="S50" s="46"/>
      <c r="T50" s="46"/>
      <c r="U50" s="46"/>
      <c r="V50" s="46"/>
      <c r="W50" s="46"/>
      <c r="X50" s="46"/>
      <c r="Y50" s="46"/>
      <c r="Z50" s="46"/>
    </row>
    <row r="51" customFormat="false" ht="14.25" hidden="false" customHeight="true" outlineLevel="0" collapsed="false">
      <c r="A51" s="46"/>
      <c r="B51" s="47"/>
      <c r="C51" s="47"/>
      <c r="D51" s="46"/>
      <c r="E51" s="46"/>
      <c r="F51" s="46"/>
      <c r="G51" s="46"/>
      <c r="H51" s="46"/>
      <c r="I51" s="46"/>
      <c r="J51" s="46"/>
      <c r="K51" s="46"/>
      <c r="L51" s="46"/>
      <c r="M51" s="46"/>
      <c r="N51" s="46"/>
      <c r="O51" s="46"/>
      <c r="P51" s="46"/>
      <c r="Q51" s="46"/>
      <c r="R51" s="46"/>
      <c r="S51" s="46"/>
      <c r="T51" s="46"/>
      <c r="U51" s="46"/>
      <c r="V51" s="46"/>
      <c r="W51" s="46"/>
      <c r="X51" s="46"/>
      <c r="Y51" s="46"/>
      <c r="Z51" s="46"/>
    </row>
    <row r="52" customFormat="false" ht="14.25" hidden="false" customHeight="true" outlineLevel="0" collapsed="false">
      <c r="A52" s="46"/>
      <c r="B52" s="47"/>
      <c r="C52" s="47"/>
      <c r="D52" s="46"/>
      <c r="E52" s="46"/>
      <c r="F52" s="46"/>
      <c r="G52" s="46"/>
      <c r="H52" s="46"/>
      <c r="I52" s="46"/>
      <c r="J52" s="46"/>
      <c r="K52" s="46"/>
      <c r="L52" s="46"/>
      <c r="M52" s="46"/>
      <c r="N52" s="46"/>
      <c r="O52" s="46"/>
      <c r="P52" s="46"/>
      <c r="Q52" s="46"/>
      <c r="R52" s="46"/>
      <c r="S52" s="46"/>
      <c r="T52" s="46"/>
      <c r="U52" s="46"/>
      <c r="V52" s="46"/>
      <c r="W52" s="46"/>
      <c r="X52" s="46"/>
      <c r="Y52" s="46"/>
      <c r="Z52" s="46"/>
    </row>
    <row r="53" customFormat="false" ht="14.25" hidden="false" customHeight="true" outlineLevel="0" collapsed="false">
      <c r="A53" s="46"/>
      <c r="B53" s="47"/>
      <c r="C53" s="47"/>
      <c r="D53" s="46"/>
      <c r="E53" s="46"/>
      <c r="F53" s="46"/>
      <c r="G53" s="46"/>
      <c r="H53" s="46"/>
      <c r="I53" s="46"/>
      <c r="J53" s="46"/>
      <c r="K53" s="46"/>
      <c r="L53" s="46"/>
      <c r="M53" s="46"/>
      <c r="N53" s="46"/>
      <c r="O53" s="46"/>
      <c r="P53" s="46"/>
      <c r="Q53" s="46"/>
      <c r="R53" s="46"/>
      <c r="S53" s="46"/>
      <c r="T53" s="46"/>
      <c r="U53" s="46"/>
      <c r="V53" s="46"/>
      <c r="W53" s="46"/>
      <c r="X53" s="46"/>
      <c r="Y53" s="46"/>
      <c r="Z53" s="46"/>
    </row>
    <row r="54" customFormat="false" ht="14.25" hidden="false" customHeight="true" outlineLevel="0" collapsed="false">
      <c r="A54" s="46"/>
      <c r="B54" s="47"/>
      <c r="C54" s="47"/>
      <c r="D54" s="46"/>
      <c r="E54" s="46"/>
      <c r="F54" s="46"/>
      <c r="G54" s="46"/>
      <c r="H54" s="46"/>
      <c r="I54" s="46"/>
      <c r="J54" s="46"/>
      <c r="K54" s="46"/>
      <c r="L54" s="46"/>
      <c r="M54" s="46"/>
      <c r="N54" s="46"/>
      <c r="O54" s="46"/>
      <c r="P54" s="46"/>
      <c r="Q54" s="46"/>
      <c r="R54" s="46"/>
      <c r="S54" s="46"/>
      <c r="T54" s="46"/>
      <c r="U54" s="46"/>
      <c r="V54" s="46"/>
      <c r="W54" s="46"/>
      <c r="X54" s="46"/>
      <c r="Y54" s="46"/>
      <c r="Z54" s="46"/>
    </row>
    <row r="55" customFormat="false" ht="14.25" hidden="false" customHeight="true" outlineLevel="0" collapsed="false">
      <c r="A55" s="46"/>
      <c r="B55" s="47"/>
      <c r="C55" s="47"/>
      <c r="D55" s="46"/>
      <c r="E55" s="46"/>
      <c r="F55" s="46"/>
      <c r="G55" s="46"/>
      <c r="H55" s="46"/>
      <c r="I55" s="46"/>
      <c r="J55" s="46"/>
      <c r="K55" s="46"/>
      <c r="L55" s="46"/>
      <c r="M55" s="46"/>
      <c r="N55" s="46"/>
      <c r="O55" s="46"/>
      <c r="P55" s="46"/>
      <c r="Q55" s="46"/>
      <c r="R55" s="46"/>
      <c r="S55" s="46"/>
      <c r="T55" s="46"/>
      <c r="U55" s="46"/>
      <c r="V55" s="46"/>
      <c r="W55" s="46"/>
      <c r="X55" s="46"/>
      <c r="Y55" s="46"/>
      <c r="Z55" s="46"/>
    </row>
    <row r="56" customFormat="false" ht="14.25" hidden="false" customHeight="true" outlineLevel="0" collapsed="false">
      <c r="A56" s="46"/>
      <c r="B56" s="47"/>
      <c r="C56" s="47"/>
      <c r="D56" s="46"/>
      <c r="E56" s="46"/>
      <c r="F56" s="46"/>
      <c r="G56" s="46"/>
      <c r="H56" s="46"/>
      <c r="I56" s="46"/>
      <c r="J56" s="46"/>
      <c r="K56" s="46"/>
      <c r="L56" s="46"/>
      <c r="M56" s="46"/>
      <c r="N56" s="46"/>
      <c r="O56" s="46"/>
      <c r="P56" s="46"/>
      <c r="Q56" s="46"/>
      <c r="R56" s="46"/>
      <c r="S56" s="46"/>
      <c r="T56" s="46"/>
      <c r="U56" s="46"/>
      <c r="V56" s="46"/>
      <c r="W56" s="46"/>
      <c r="X56" s="46"/>
      <c r="Y56" s="46"/>
      <c r="Z56" s="46"/>
    </row>
    <row r="57" customFormat="false" ht="14.25" hidden="false" customHeight="true" outlineLevel="0" collapsed="false">
      <c r="A57" s="46"/>
      <c r="B57" s="47"/>
      <c r="C57" s="47"/>
      <c r="D57" s="46"/>
      <c r="E57" s="46"/>
      <c r="F57" s="46"/>
      <c r="G57" s="46"/>
      <c r="H57" s="46"/>
      <c r="I57" s="46"/>
      <c r="J57" s="46"/>
      <c r="K57" s="46"/>
      <c r="L57" s="46"/>
      <c r="M57" s="46"/>
      <c r="N57" s="46"/>
      <c r="O57" s="46"/>
      <c r="P57" s="46"/>
      <c r="Q57" s="46"/>
      <c r="R57" s="46"/>
      <c r="S57" s="46"/>
      <c r="T57" s="46"/>
      <c r="U57" s="46"/>
      <c r="V57" s="46"/>
      <c r="W57" s="46"/>
      <c r="X57" s="46"/>
      <c r="Y57" s="46"/>
      <c r="Z57" s="46"/>
    </row>
    <row r="58" customFormat="false" ht="14.25" hidden="false" customHeight="true" outlineLevel="0" collapsed="false">
      <c r="A58" s="46"/>
      <c r="B58" s="47"/>
      <c r="C58" s="47"/>
      <c r="D58" s="46"/>
      <c r="E58" s="46"/>
      <c r="F58" s="46"/>
      <c r="G58" s="46"/>
      <c r="H58" s="46"/>
      <c r="I58" s="46"/>
      <c r="J58" s="46"/>
      <c r="K58" s="46"/>
      <c r="L58" s="46"/>
      <c r="M58" s="46"/>
      <c r="N58" s="46"/>
      <c r="O58" s="46"/>
      <c r="P58" s="46"/>
      <c r="Q58" s="46"/>
      <c r="R58" s="46"/>
      <c r="S58" s="46"/>
      <c r="T58" s="46"/>
      <c r="U58" s="46"/>
      <c r="V58" s="46"/>
      <c r="W58" s="46"/>
      <c r="X58" s="46"/>
      <c r="Y58" s="46"/>
      <c r="Z58" s="46"/>
    </row>
    <row r="59" customFormat="false" ht="14.25" hidden="false" customHeight="true" outlineLevel="0" collapsed="false">
      <c r="A59" s="46"/>
      <c r="B59" s="47"/>
      <c r="C59" s="47"/>
      <c r="D59" s="46"/>
      <c r="E59" s="46"/>
      <c r="F59" s="46"/>
      <c r="G59" s="46"/>
      <c r="H59" s="46"/>
      <c r="I59" s="46"/>
      <c r="J59" s="46"/>
      <c r="K59" s="46"/>
      <c r="L59" s="46"/>
      <c r="M59" s="46"/>
      <c r="N59" s="46"/>
      <c r="O59" s="46"/>
      <c r="P59" s="46"/>
      <c r="Q59" s="46"/>
      <c r="R59" s="46"/>
      <c r="S59" s="46"/>
      <c r="T59" s="46"/>
      <c r="U59" s="46"/>
      <c r="V59" s="46"/>
      <c r="W59" s="46"/>
      <c r="X59" s="46"/>
      <c r="Y59" s="46"/>
      <c r="Z59" s="46"/>
    </row>
    <row r="60" customFormat="false" ht="14.25" hidden="false" customHeight="true" outlineLevel="0" collapsed="false">
      <c r="A60" s="46"/>
      <c r="B60" s="47"/>
      <c r="C60" s="47"/>
      <c r="D60" s="46"/>
      <c r="E60" s="46"/>
      <c r="F60" s="46"/>
      <c r="G60" s="46"/>
      <c r="H60" s="46"/>
      <c r="I60" s="46"/>
      <c r="J60" s="46"/>
      <c r="K60" s="46"/>
      <c r="L60" s="46"/>
      <c r="M60" s="46"/>
      <c r="N60" s="46"/>
      <c r="O60" s="46"/>
      <c r="P60" s="46"/>
      <c r="Q60" s="46"/>
      <c r="R60" s="46"/>
      <c r="S60" s="46"/>
      <c r="T60" s="46"/>
      <c r="U60" s="46"/>
      <c r="V60" s="46"/>
      <c r="W60" s="46"/>
      <c r="X60" s="46"/>
      <c r="Y60" s="46"/>
      <c r="Z60" s="46"/>
    </row>
    <row r="61" customFormat="false" ht="14.25" hidden="false" customHeight="true" outlineLevel="0" collapsed="false">
      <c r="A61" s="46"/>
      <c r="B61" s="47"/>
      <c r="C61" s="47"/>
      <c r="D61" s="46"/>
      <c r="E61" s="46"/>
      <c r="F61" s="46"/>
      <c r="G61" s="46"/>
      <c r="H61" s="46"/>
      <c r="I61" s="46"/>
      <c r="J61" s="46"/>
      <c r="K61" s="46"/>
      <c r="L61" s="46"/>
      <c r="M61" s="46"/>
      <c r="N61" s="46"/>
      <c r="O61" s="46"/>
      <c r="P61" s="46"/>
      <c r="Q61" s="46"/>
      <c r="R61" s="46"/>
      <c r="S61" s="46"/>
      <c r="T61" s="46"/>
      <c r="U61" s="46"/>
      <c r="V61" s="46"/>
      <c r="W61" s="46"/>
      <c r="X61" s="46"/>
      <c r="Y61" s="46"/>
      <c r="Z61" s="46"/>
    </row>
    <row r="62" customFormat="false" ht="14.25" hidden="false" customHeight="true" outlineLevel="0" collapsed="false">
      <c r="A62" s="46"/>
      <c r="B62" s="47"/>
      <c r="C62" s="47"/>
      <c r="D62" s="46"/>
      <c r="E62" s="46"/>
      <c r="F62" s="46"/>
      <c r="G62" s="46"/>
      <c r="H62" s="46"/>
      <c r="I62" s="46"/>
      <c r="J62" s="46"/>
      <c r="K62" s="46"/>
      <c r="L62" s="46"/>
      <c r="M62" s="46"/>
      <c r="N62" s="46"/>
      <c r="O62" s="46"/>
      <c r="P62" s="46"/>
      <c r="Q62" s="46"/>
      <c r="R62" s="46"/>
      <c r="S62" s="46"/>
      <c r="T62" s="46"/>
      <c r="U62" s="46"/>
      <c r="V62" s="46"/>
      <c r="W62" s="46"/>
      <c r="X62" s="46"/>
      <c r="Y62" s="46"/>
      <c r="Z62" s="46"/>
    </row>
    <row r="63" customFormat="false" ht="14.25" hidden="false" customHeight="true" outlineLevel="0" collapsed="false">
      <c r="A63" s="46"/>
      <c r="B63" s="47"/>
      <c r="C63" s="47"/>
      <c r="D63" s="46"/>
      <c r="E63" s="46"/>
      <c r="F63" s="46"/>
      <c r="G63" s="46"/>
      <c r="H63" s="46"/>
      <c r="I63" s="46"/>
      <c r="J63" s="46"/>
      <c r="K63" s="46"/>
      <c r="L63" s="46"/>
      <c r="M63" s="46"/>
      <c r="N63" s="46"/>
      <c r="O63" s="46"/>
      <c r="P63" s="46"/>
      <c r="Q63" s="46"/>
      <c r="R63" s="46"/>
      <c r="S63" s="46"/>
      <c r="T63" s="46"/>
      <c r="U63" s="46"/>
      <c r="V63" s="46"/>
      <c r="W63" s="46"/>
      <c r="X63" s="46"/>
      <c r="Y63" s="46"/>
      <c r="Z63" s="46"/>
    </row>
    <row r="64" customFormat="false" ht="14.25" hidden="false" customHeight="true" outlineLevel="0" collapsed="false">
      <c r="A64" s="46"/>
      <c r="B64" s="47"/>
      <c r="C64" s="47"/>
      <c r="D64" s="46"/>
      <c r="E64" s="46"/>
      <c r="F64" s="46"/>
      <c r="G64" s="46"/>
      <c r="H64" s="46"/>
      <c r="I64" s="46"/>
      <c r="J64" s="46"/>
      <c r="K64" s="46"/>
      <c r="L64" s="46"/>
      <c r="M64" s="46"/>
      <c r="N64" s="46"/>
      <c r="O64" s="46"/>
      <c r="P64" s="46"/>
      <c r="Q64" s="46"/>
      <c r="R64" s="46"/>
      <c r="S64" s="46"/>
      <c r="T64" s="46"/>
      <c r="U64" s="46"/>
      <c r="V64" s="46"/>
      <c r="W64" s="46"/>
      <c r="X64" s="46"/>
      <c r="Y64" s="46"/>
      <c r="Z64" s="46"/>
    </row>
    <row r="65" customFormat="false" ht="14.25" hidden="false" customHeight="true" outlineLevel="0" collapsed="false">
      <c r="A65" s="46"/>
      <c r="B65" s="47"/>
      <c r="C65" s="47"/>
      <c r="D65" s="46"/>
      <c r="E65" s="46"/>
      <c r="F65" s="46"/>
      <c r="G65" s="46"/>
      <c r="H65" s="46"/>
      <c r="I65" s="46"/>
      <c r="J65" s="46"/>
      <c r="K65" s="46"/>
      <c r="L65" s="46"/>
      <c r="M65" s="46"/>
      <c r="N65" s="46"/>
      <c r="O65" s="46"/>
      <c r="P65" s="46"/>
      <c r="Q65" s="46"/>
      <c r="R65" s="46"/>
      <c r="S65" s="46"/>
      <c r="T65" s="46"/>
      <c r="U65" s="46"/>
      <c r="V65" s="46"/>
      <c r="W65" s="46"/>
      <c r="X65" s="46"/>
      <c r="Y65" s="46"/>
      <c r="Z65" s="46"/>
    </row>
    <row r="66" customFormat="false" ht="14.25" hidden="false" customHeight="true" outlineLevel="0" collapsed="false">
      <c r="A66" s="46"/>
      <c r="B66" s="47"/>
      <c r="C66" s="47"/>
      <c r="D66" s="46"/>
      <c r="E66" s="46"/>
      <c r="F66" s="46"/>
      <c r="G66" s="46"/>
      <c r="H66" s="46"/>
      <c r="I66" s="46"/>
      <c r="J66" s="46"/>
      <c r="K66" s="46"/>
      <c r="L66" s="46"/>
      <c r="M66" s="46"/>
      <c r="N66" s="46"/>
      <c r="O66" s="46"/>
      <c r="P66" s="46"/>
      <c r="Q66" s="46"/>
      <c r="R66" s="46"/>
      <c r="S66" s="46"/>
      <c r="T66" s="46"/>
      <c r="U66" s="46"/>
      <c r="V66" s="46"/>
      <c r="W66" s="46"/>
      <c r="X66" s="46"/>
      <c r="Y66" s="46"/>
      <c r="Z66" s="46"/>
    </row>
    <row r="67" customFormat="false" ht="14.25" hidden="false" customHeight="true" outlineLevel="0" collapsed="false">
      <c r="A67" s="46"/>
      <c r="B67" s="47"/>
      <c r="C67" s="47"/>
      <c r="D67" s="46"/>
      <c r="E67" s="46"/>
      <c r="F67" s="46"/>
      <c r="G67" s="46"/>
      <c r="H67" s="46"/>
      <c r="I67" s="46"/>
      <c r="J67" s="46"/>
      <c r="K67" s="46"/>
      <c r="L67" s="46"/>
      <c r="M67" s="46"/>
      <c r="N67" s="46"/>
      <c r="O67" s="46"/>
      <c r="P67" s="46"/>
      <c r="Q67" s="46"/>
      <c r="R67" s="46"/>
      <c r="S67" s="46"/>
      <c r="T67" s="46"/>
      <c r="U67" s="46"/>
      <c r="V67" s="46"/>
      <c r="W67" s="46"/>
      <c r="X67" s="46"/>
      <c r="Y67" s="46"/>
      <c r="Z67" s="46"/>
    </row>
    <row r="68" customFormat="false" ht="14.25" hidden="false" customHeight="true" outlineLevel="0" collapsed="false">
      <c r="A68" s="46"/>
      <c r="B68" s="47"/>
      <c r="C68" s="47"/>
      <c r="D68" s="46"/>
      <c r="E68" s="46"/>
      <c r="F68" s="46"/>
      <c r="G68" s="46"/>
      <c r="H68" s="46"/>
      <c r="I68" s="46"/>
      <c r="J68" s="46"/>
      <c r="K68" s="46"/>
      <c r="L68" s="46"/>
      <c r="M68" s="46"/>
      <c r="N68" s="46"/>
      <c r="O68" s="46"/>
      <c r="P68" s="46"/>
      <c r="Q68" s="46"/>
      <c r="R68" s="46"/>
      <c r="S68" s="46"/>
      <c r="T68" s="46"/>
      <c r="U68" s="46"/>
      <c r="V68" s="46"/>
      <c r="W68" s="46"/>
      <c r="X68" s="46"/>
      <c r="Y68" s="46"/>
      <c r="Z68" s="46"/>
    </row>
    <row r="69" customFormat="false" ht="14.25" hidden="false" customHeight="true" outlineLevel="0" collapsed="false">
      <c r="A69" s="46"/>
      <c r="B69" s="47"/>
      <c r="C69" s="47"/>
      <c r="D69" s="46"/>
      <c r="E69" s="46"/>
      <c r="F69" s="46"/>
      <c r="G69" s="46"/>
      <c r="H69" s="46"/>
      <c r="I69" s="46"/>
      <c r="J69" s="46"/>
      <c r="K69" s="46"/>
      <c r="L69" s="46"/>
      <c r="M69" s="46"/>
      <c r="N69" s="46"/>
      <c r="O69" s="46"/>
      <c r="P69" s="46"/>
      <c r="Q69" s="46"/>
      <c r="R69" s="46"/>
      <c r="S69" s="46"/>
      <c r="T69" s="46"/>
      <c r="U69" s="46"/>
      <c r="V69" s="46"/>
      <c r="W69" s="46"/>
      <c r="X69" s="46"/>
      <c r="Y69" s="46"/>
      <c r="Z69" s="46"/>
    </row>
    <row r="70" customFormat="false" ht="14.25" hidden="false" customHeight="true" outlineLevel="0" collapsed="false">
      <c r="A70" s="46"/>
      <c r="B70" s="47"/>
      <c r="C70" s="47"/>
      <c r="D70" s="46"/>
      <c r="E70" s="46"/>
      <c r="F70" s="46"/>
      <c r="G70" s="46"/>
      <c r="H70" s="46"/>
      <c r="I70" s="46"/>
      <c r="J70" s="46"/>
      <c r="K70" s="46"/>
      <c r="L70" s="46"/>
      <c r="M70" s="46"/>
      <c r="N70" s="46"/>
      <c r="O70" s="46"/>
      <c r="P70" s="46"/>
      <c r="Q70" s="46"/>
      <c r="R70" s="46"/>
      <c r="S70" s="46"/>
      <c r="T70" s="46"/>
      <c r="U70" s="46"/>
      <c r="V70" s="46"/>
      <c r="W70" s="46"/>
      <c r="X70" s="46"/>
      <c r="Y70" s="46"/>
      <c r="Z70" s="46"/>
    </row>
    <row r="71" customFormat="false" ht="14.25" hidden="false" customHeight="true" outlineLevel="0" collapsed="false">
      <c r="A71" s="46"/>
      <c r="B71" s="47"/>
      <c r="C71" s="47"/>
      <c r="D71" s="46"/>
      <c r="E71" s="46"/>
      <c r="F71" s="46"/>
      <c r="G71" s="46"/>
      <c r="H71" s="46"/>
      <c r="I71" s="46"/>
      <c r="J71" s="46"/>
      <c r="K71" s="46"/>
      <c r="L71" s="46"/>
      <c r="M71" s="46"/>
      <c r="N71" s="46"/>
      <c r="O71" s="46"/>
      <c r="P71" s="46"/>
      <c r="Q71" s="46"/>
      <c r="R71" s="46"/>
      <c r="S71" s="46"/>
      <c r="T71" s="46"/>
      <c r="U71" s="46"/>
      <c r="V71" s="46"/>
      <c r="W71" s="46"/>
      <c r="X71" s="46"/>
      <c r="Y71" s="46"/>
      <c r="Z71" s="46"/>
    </row>
    <row r="72" customFormat="false" ht="14.25" hidden="false" customHeight="true" outlineLevel="0" collapsed="false">
      <c r="A72" s="46"/>
      <c r="B72" s="47"/>
      <c r="C72" s="47"/>
      <c r="D72" s="46"/>
      <c r="E72" s="46"/>
      <c r="F72" s="46"/>
      <c r="G72" s="46"/>
      <c r="H72" s="46"/>
      <c r="I72" s="46"/>
      <c r="J72" s="46"/>
      <c r="K72" s="46"/>
      <c r="L72" s="46"/>
      <c r="M72" s="46"/>
      <c r="N72" s="46"/>
      <c r="O72" s="46"/>
      <c r="P72" s="46"/>
      <c r="Q72" s="46"/>
      <c r="R72" s="46"/>
      <c r="S72" s="46"/>
      <c r="T72" s="46"/>
      <c r="U72" s="46"/>
      <c r="V72" s="46"/>
      <c r="W72" s="46"/>
      <c r="X72" s="46"/>
      <c r="Y72" s="46"/>
      <c r="Z72" s="46"/>
    </row>
    <row r="73" customFormat="false" ht="14.25" hidden="false" customHeight="true" outlineLevel="0" collapsed="false">
      <c r="A73" s="46"/>
      <c r="B73" s="47"/>
      <c r="C73" s="47"/>
      <c r="D73" s="46"/>
      <c r="E73" s="46"/>
      <c r="F73" s="46"/>
      <c r="G73" s="46"/>
      <c r="H73" s="46"/>
      <c r="I73" s="46"/>
      <c r="J73" s="46"/>
      <c r="K73" s="46"/>
      <c r="L73" s="46"/>
      <c r="M73" s="46"/>
      <c r="N73" s="46"/>
      <c r="O73" s="46"/>
      <c r="P73" s="46"/>
      <c r="Q73" s="46"/>
      <c r="R73" s="46"/>
      <c r="S73" s="46"/>
      <c r="T73" s="46"/>
      <c r="U73" s="46"/>
      <c r="V73" s="46"/>
      <c r="W73" s="46"/>
      <c r="X73" s="46"/>
      <c r="Y73" s="46"/>
      <c r="Z73" s="46"/>
    </row>
    <row r="74" customFormat="false" ht="14.25" hidden="false" customHeight="true" outlineLevel="0" collapsed="false">
      <c r="A74" s="46"/>
      <c r="B74" s="47"/>
      <c r="C74" s="47"/>
      <c r="D74" s="46"/>
      <c r="E74" s="46"/>
      <c r="F74" s="46"/>
      <c r="G74" s="46"/>
      <c r="H74" s="46"/>
      <c r="I74" s="46"/>
      <c r="J74" s="46"/>
      <c r="K74" s="46"/>
      <c r="L74" s="46"/>
      <c r="M74" s="46"/>
      <c r="N74" s="46"/>
      <c r="O74" s="46"/>
      <c r="P74" s="46"/>
      <c r="Q74" s="46"/>
      <c r="R74" s="46"/>
      <c r="S74" s="46"/>
      <c r="T74" s="46"/>
      <c r="U74" s="46"/>
      <c r="V74" s="46"/>
      <c r="W74" s="46"/>
      <c r="X74" s="46"/>
      <c r="Y74" s="46"/>
      <c r="Z74" s="46"/>
    </row>
    <row r="75" customFormat="false" ht="14.25" hidden="false" customHeight="true" outlineLevel="0" collapsed="false">
      <c r="A75" s="46"/>
      <c r="B75" s="47"/>
      <c r="C75" s="47"/>
      <c r="D75" s="46"/>
      <c r="E75" s="46"/>
      <c r="F75" s="46"/>
      <c r="G75" s="46"/>
      <c r="H75" s="46"/>
      <c r="I75" s="46"/>
      <c r="J75" s="46"/>
      <c r="K75" s="46"/>
      <c r="L75" s="46"/>
      <c r="M75" s="46"/>
      <c r="N75" s="46"/>
      <c r="O75" s="46"/>
      <c r="P75" s="46"/>
      <c r="Q75" s="46"/>
      <c r="R75" s="46"/>
      <c r="S75" s="46"/>
      <c r="T75" s="46"/>
      <c r="U75" s="46"/>
      <c r="V75" s="46"/>
      <c r="W75" s="46"/>
      <c r="X75" s="46"/>
      <c r="Y75" s="46"/>
      <c r="Z75" s="46"/>
    </row>
    <row r="76" customFormat="false" ht="14.25" hidden="false" customHeight="true" outlineLevel="0" collapsed="false">
      <c r="A76" s="46"/>
      <c r="B76" s="47"/>
      <c r="C76" s="47"/>
      <c r="D76" s="46"/>
      <c r="E76" s="46"/>
      <c r="F76" s="46"/>
      <c r="G76" s="46"/>
      <c r="H76" s="46"/>
      <c r="I76" s="46"/>
      <c r="J76" s="46"/>
      <c r="K76" s="46"/>
      <c r="L76" s="46"/>
      <c r="M76" s="46"/>
      <c r="N76" s="46"/>
      <c r="O76" s="46"/>
      <c r="P76" s="46"/>
      <c r="Q76" s="46"/>
      <c r="R76" s="46"/>
      <c r="S76" s="46"/>
      <c r="T76" s="46"/>
      <c r="U76" s="46"/>
      <c r="V76" s="46"/>
      <c r="W76" s="46"/>
      <c r="X76" s="46"/>
      <c r="Y76" s="46"/>
      <c r="Z76" s="46"/>
    </row>
    <row r="77" customFormat="false" ht="14.25" hidden="false" customHeight="true" outlineLevel="0" collapsed="false">
      <c r="A77" s="46"/>
      <c r="B77" s="47"/>
      <c r="C77" s="47"/>
      <c r="D77" s="46"/>
      <c r="E77" s="46"/>
      <c r="F77" s="46"/>
      <c r="G77" s="46"/>
      <c r="H77" s="46"/>
      <c r="I77" s="46"/>
      <c r="J77" s="46"/>
      <c r="K77" s="46"/>
      <c r="L77" s="46"/>
      <c r="M77" s="46"/>
      <c r="N77" s="46"/>
      <c r="O77" s="46"/>
      <c r="P77" s="46"/>
      <c r="Q77" s="46"/>
      <c r="R77" s="46"/>
      <c r="S77" s="46"/>
      <c r="T77" s="46"/>
      <c r="U77" s="46"/>
      <c r="V77" s="46"/>
      <c r="W77" s="46"/>
      <c r="X77" s="46"/>
      <c r="Y77" s="46"/>
      <c r="Z77" s="46"/>
    </row>
    <row r="78" customFormat="false" ht="14.25" hidden="false" customHeight="true" outlineLevel="0" collapsed="false">
      <c r="A78" s="46"/>
      <c r="B78" s="47"/>
      <c r="C78" s="47"/>
      <c r="D78" s="46"/>
      <c r="E78" s="46"/>
      <c r="F78" s="46"/>
      <c r="G78" s="46"/>
      <c r="H78" s="46"/>
      <c r="I78" s="46"/>
      <c r="J78" s="46"/>
      <c r="K78" s="46"/>
      <c r="L78" s="46"/>
      <c r="M78" s="46"/>
      <c r="N78" s="46"/>
      <c r="O78" s="46"/>
      <c r="P78" s="46"/>
      <c r="Q78" s="46"/>
      <c r="R78" s="46"/>
      <c r="S78" s="46"/>
      <c r="T78" s="46"/>
      <c r="U78" s="46"/>
      <c r="V78" s="46"/>
      <c r="W78" s="46"/>
      <c r="X78" s="46"/>
      <c r="Y78" s="46"/>
      <c r="Z78" s="46"/>
    </row>
    <row r="79" customFormat="false" ht="14.25" hidden="false" customHeight="true" outlineLevel="0" collapsed="false">
      <c r="A79" s="46"/>
      <c r="B79" s="47"/>
      <c r="C79" s="47"/>
      <c r="D79" s="46"/>
      <c r="E79" s="46"/>
      <c r="F79" s="46"/>
      <c r="G79" s="46"/>
      <c r="H79" s="46"/>
      <c r="I79" s="46"/>
      <c r="J79" s="46"/>
      <c r="K79" s="46"/>
      <c r="L79" s="46"/>
      <c r="M79" s="46"/>
      <c r="N79" s="46"/>
      <c r="O79" s="46"/>
      <c r="P79" s="46"/>
      <c r="Q79" s="46"/>
      <c r="R79" s="46"/>
      <c r="S79" s="46"/>
      <c r="T79" s="46"/>
      <c r="U79" s="46"/>
      <c r="V79" s="46"/>
      <c r="W79" s="46"/>
      <c r="X79" s="46"/>
      <c r="Y79" s="46"/>
      <c r="Z79" s="46"/>
    </row>
    <row r="80" customFormat="false" ht="14.25" hidden="false" customHeight="true" outlineLevel="0" collapsed="false">
      <c r="A80" s="46"/>
      <c r="B80" s="47"/>
      <c r="C80" s="47"/>
      <c r="D80" s="46"/>
      <c r="E80" s="46"/>
      <c r="F80" s="46"/>
      <c r="G80" s="46"/>
      <c r="H80" s="46"/>
      <c r="I80" s="46"/>
      <c r="J80" s="46"/>
      <c r="K80" s="46"/>
      <c r="L80" s="46"/>
      <c r="M80" s="46"/>
      <c r="N80" s="46"/>
      <c r="O80" s="46"/>
      <c r="P80" s="46"/>
      <c r="Q80" s="46"/>
      <c r="R80" s="46"/>
      <c r="S80" s="46"/>
      <c r="T80" s="46"/>
      <c r="U80" s="46"/>
      <c r="V80" s="46"/>
      <c r="W80" s="46"/>
      <c r="X80" s="46"/>
      <c r="Y80" s="46"/>
      <c r="Z80" s="46"/>
    </row>
    <row r="81" customFormat="false" ht="14.25" hidden="false" customHeight="true" outlineLevel="0" collapsed="false">
      <c r="A81" s="46"/>
      <c r="B81" s="47"/>
      <c r="C81" s="47"/>
      <c r="D81" s="46"/>
      <c r="E81" s="46"/>
      <c r="F81" s="46"/>
      <c r="G81" s="46"/>
      <c r="H81" s="46"/>
      <c r="I81" s="46"/>
      <c r="J81" s="46"/>
      <c r="K81" s="46"/>
      <c r="L81" s="46"/>
      <c r="M81" s="46"/>
      <c r="N81" s="46"/>
      <c r="O81" s="46"/>
      <c r="P81" s="46"/>
      <c r="Q81" s="46"/>
      <c r="R81" s="46"/>
      <c r="S81" s="46"/>
      <c r="T81" s="46"/>
      <c r="U81" s="46"/>
      <c r="V81" s="46"/>
      <c r="W81" s="46"/>
      <c r="X81" s="46"/>
      <c r="Y81" s="46"/>
      <c r="Z81" s="46"/>
    </row>
    <row r="82" customFormat="false" ht="14.25" hidden="false" customHeight="true" outlineLevel="0" collapsed="false">
      <c r="A82" s="46"/>
      <c r="B82" s="47"/>
      <c r="C82" s="47"/>
      <c r="D82" s="46"/>
      <c r="E82" s="46"/>
      <c r="F82" s="46"/>
      <c r="G82" s="46"/>
      <c r="H82" s="46"/>
      <c r="I82" s="46"/>
      <c r="J82" s="46"/>
      <c r="K82" s="46"/>
      <c r="L82" s="46"/>
      <c r="M82" s="46"/>
      <c r="N82" s="46"/>
      <c r="O82" s="46"/>
      <c r="P82" s="46"/>
      <c r="Q82" s="46"/>
      <c r="R82" s="46"/>
      <c r="S82" s="46"/>
      <c r="T82" s="46"/>
      <c r="U82" s="46"/>
      <c r="V82" s="46"/>
      <c r="W82" s="46"/>
      <c r="X82" s="46"/>
      <c r="Y82" s="46"/>
      <c r="Z82" s="46"/>
    </row>
    <row r="83" customFormat="false" ht="14.25" hidden="false" customHeight="true" outlineLevel="0" collapsed="false">
      <c r="A83" s="46"/>
      <c r="B83" s="47"/>
      <c r="C83" s="47"/>
      <c r="D83" s="46"/>
      <c r="E83" s="46"/>
      <c r="F83" s="46"/>
      <c r="G83" s="46"/>
      <c r="H83" s="46"/>
      <c r="I83" s="46"/>
      <c r="J83" s="46"/>
      <c r="K83" s="46"/>
      <c r="L83" s="46"/>
      <c r="M83" s="46"/>
      <c r="N83" s="46"/>
      <c r="O83" s="46"/>
      <c r="P83" s="46"/>
      <c r="Q83" s="46"/>
      <c r="R83" s="46"/>
      <c r="S83" s="46"/>
      <c r="T83" s="46"/>
      <c r="U83" s="46"/>
      <c r="V83" s="46"/>
      <c r="W83" s="46"/>
      <c r="X83" s="46"/>
      <c r="Y83" s="46"/>
      <c r="Z83" s="46"/>
    </row>
    <row r="84" customFormat="false" ht="14.25" hidden="false" customHeight="true" outlineLevel="0" collapsed="false">
      <c r="A84" s="46"/>
      <c r="B84" s="47"/>
      <c r="C84" s="47"/>
      <c r="D84" s="46"/>
      <c r="E84" s="46"/>
      <c r="F84" s="46"/>
      <c r="G84" s="46"/>
      <c r="H84" s="46"/>
      <c r="I84" s="46"/>
      <c r="J84" s="46"/>
      <c r="K84" s="46"/>
      <c r="L84" s="46"/>
      <c r="M84" s="46"/>
      <c r="N84" s="46"/>
      <c r="O84" s="46"/>
      <c r="P84" s="46"/>
      <c r="Q84" s="46"/>
      <c r="R84" s="46"/>
      <c r="S84" s="46"/>
      <c r="T84" s="46"/>
      <c r="U84" s="46"/>
      <c r="V84" s="46"/>
      <c r="W84" s="46"/>
      <c r="X84" s="46"/>
      <c r="Y84" s="46"/>
      <c r="Z84" s="46"/>
    </row>
    <row r="85" customFormat="false" ht="14.25" hidden="false" customHeight="true" outlineLevel="0" collapsed="false">
      <c r="A85" s="46"/>
      <c r="B85" s="47"/>
      <c r="C85" s="47"/>
      <c r="D85" s="46"/>
      <c r="E85" s="46"/>
      <c r="F85" s="46"/>
      <c r="G85" s="46"/>
      <c r="H85" s="46"/>
      <c r="I85" s="46"/>
      <c r="J85" s="46"/>
      <c r="K85" s="46"/>
      <c r="L85" s="46"/>
      <c r="M85" s="46"/>
      <c r="N85" s="46"/>
      <c r="O85" s="46"/>
      <c r="P85" s="46"/>
      <c r="Q85" s="46"/>
      <c r="R85" s="46"/>
      <c r="S85" s="46"/>
      <c r="T85" s="46"/>
      <c r="U85" s="46"/>
      <c r="V85" s="46"/>
      <c r="W85" s="46"/>
      <c r="X85" s="46"/>
      <c r="Y85" s="46"/>
      <c r="Z85" s="46"/>
    </row>
    <row r="86" customFormat="false" ht="14.25" hidden="false" customHeight="true" outlineLevel="0" collapsed="false">
      <c r="A86" s="46"/>
      <c r="B86" s="47"/>
      <c r="C86" s="47"/>
      <c r="D86" s="46"/>
      <c r="E86" s="46"/>
      <c r="F86" s="46"/>
      <c r="G86" s="46"/>
      <c r="H86" s="46"/>
      <c r="I86" s="46"/>
      <c r="J86" s="46"/>
      <c r="K86" s="46"/>
      <c r="L86" s="46"/>
      <c r="M86" s="46"/>
      <c r="N86" s="46"/>
      <c r="O86" s="46"/>
      <c r="P86" s="46"/>
      <c r="Q86" s="46"/>
      <c r="R86" s="46"/>
      <c r="S86" s="46"/>
      <c r="T86" s="46"/>
      <c r="U86" s="46"/>
      <c r="V86" s="46"/>
      <c r="W86" s="46"/>
      <c r="X86" s="46"/>
      <c r="Y86" s="46"/>
      <c r="Z86" s="46"/>
    </row>
    <row r="87" customFormat="false" ht="14.25" hidden="false" customHeight="true" outlineLevel="0" collapsed="false">
      <c r="A87" s="46"/>
      <c r="B87" s="47"/>
      <c r="C87" s="47"/>
      <c r="D87" s="46"/>
      <c r="E87" s="46"/>
      <c r="F87" s="46"/>
      <c r="G87" s="46"/>
      <c r="H87" s="46"/>
      <c r="I87" s="46"/>
      <c r="J87" s="46"/>
      <c r="K87" s="46"/>
      <c r="L87" s="46"/>
      <c r="M87" s="46"/>
      <c r="N87" s="46"/>
      <c r="O87" s="46"/>
      <c r="P87" s="46"/>
      <c r="Q87" s="46"/>
      <c r="R87" s="46"/>
      <c r="S87" s="46"/>
      <c r="T87" s="46"/>
      <c r="U87" s="46"/>
      <c r="V87" s="46"/>
      <c r="W87" s="46"/>
      <c r="X87" s="46"/>
      <c r="Y87" s="46"/>
      <c r="Z87" s="46"/>
    </row>
    <row r="88" customFormat="false" ht="14.25" hidden="false" customHeight="true" outlineLevel="0" collapsed="false">
      <c r="A88" s="46"/>
      <c r="B88" s="47"/>
      <c r="C88" s="47"/>
      <c r="D88" s="46"/>
      <c r="E88" s="46"/>
      <c r="F88" s="46"/>
      <c r="G88" s="46"/>
      <c r="H88" s="46"/>
      <c r="I88" s="46"/>
      <c r="J88" s="46"/>
      <c r="K88" s="46"/>
      <c r="L88" s="46"/>
      <c r="M88" s="46"/>
      <c r="N88" s="46"/>
      <c r="O88" s="46"/>
      <c r="P88" s="46"/>
      <c r="Q88" s="46"/>
      <c r="R88" s="46"/>
      <c r="S88" s="46"/>
      <c r="T88" s="46"/>
      <c r="U88" s="46"/>
      <c r="V88" s="46"/>
      <c r="W88" s="46"/>
      <c r="X88" s="46"/>
      <c r="Y88" s="46"/>
      <c r="Z88" s="46"/>
    </row>
    <row r="89" customFormat="false" ht="14.25" hidden="false" customHeight="true" outlineLevel="0" collapsed="false">
      <c r="A89" s="46"/>
      <c r="B89" s="47"/>
      <c r="C89" s="47"/>
      <c r="D89" s="46"/>
      <c r="E89" s="46"/>
      <c r="F89" s="46"/>
      <c r="G89" s="46"/>
      <c r="H89" s="46"/>
      <c r="I89" s="46"/>
      <c r="J89" s="46"/>
      <c r="K89" s="46"/>
      <c r="L89" s="46"/>
      <c r="M89" s="46"/>
      <c r="N89" s="46"/>
      <c r="O89" s="46"/>
      <c r="P89" s="46"/>
      <c r="Q89" s="46"/>
      <c r="R89" s="46"/>
      <c r="S89" s="46"/>
      <c r="T89" s="46"/>
      <c r="U89" s="46"/>
      <c r="V89" s="46"/>
      <c r="W89" s="46"/>
      <c r="X89" s="46"/>
      <c r="Y89" s="46"/>
      <c r="Z89" s="46"/>
    </row>
    <row r="90" customFormat="false" ht="14.25" hidden="false" customHeight="true" outlineLevel="0" collapsed="false">
      <c r="A90" s="46"/>
      <c r="B90" s="47"/>
      <c r="C90" s="47"/>
      <c r="D90" s="46"/>
      <c r="E90" s="46"/>
      <c r="F90" s="46"/>
      <c r="G90" s="46"/>
      <c r="H90" s="46"/>
      <c r="I90" s="46"/>
      <c r="J90" s="46"/>
      <c r="K90" s="46"/>
      <c r="L90" s="46"/>
      <c r="M90" s="46"/>
      <c r="N90" s="46"/>
      <c r="O90" s="46"/>
      <c r="P90" s="46"/>
      <c r="Q90" s="46"/>
      <c r="R90" s="46"/>
      <c r="S90" s="46"/>
      <c r="T90" s="46"/>
      <c r="U90" s="46"/>
      <c r="V90" s="46"/>
      <c r="W90" s="46"/>
      <c r="X90" s="46"/>
      <c r="Y90" s="46"/>
      <c r="Z90" s="46"/>
    </row>
    <row r="91" customFormat="false" ht="14.25" hidden="false" customHeight="true" outlineLevel="0" collapsed="false">
      <c r="A91" s="46"/>
      <c r="B91" s="47"/>
      <c r="C91" s="47"/>
      <c r="D91" s="46"/>
      <c r="E91" s="46"/>
      <c r="F91" s="46"/>
      <c r="G91" s="46"/>
      <c r="H91" s="46"/>
      <c r="I91" s="46"/>
      <c r="J91" s="46"/>
      <c r="K91" s="46"/>
      <c r="L91" s="46"/>
      <c r="M91" s="46"/>
      <c r="N91" s="46"/>
      <c r="O91" s="46"/>
      <c r="P91" s="46"/>
      <c r="Q91" s="46"/>
      <c r="R91" s="46"/>
      <c r="S91" s="46"/>
      <c r="T91" s="46"/>
      <c r="U91" s="46"/>
      <c r="V91" s="46"/>
      <c r="W91" s="46"/>
      <c r="X91" s="46"/>
      <c r="Y91" s="46"/>
      <c r="Z91" s="46"/>
    </row>
    <row r="92" customFormat="false" ht="14.25" hidden="false" customHeight="true" outlineLevel="0" collapsed="false">
      <c r="A92" s="46"/>
      <c r="B92" s="47"/>
      <c r="C92" s="47"/>
      <c r="D92" s="46"/>
      <c r="E92" s="46"/>
      <c r="F92" s="46"/>
      <c r="G92" s="46"/>
      <c r="H92" s="46"/>
      <c r="I92" s="46"/>
      <c r="J92" s="46"/>
      <c r="K92" s="46"/>
      <c r="L92" s="46"/>
      <c r="M92" s="46"/>
      <c r="N92" s="46"/>
      <c r="O92" s="46"/>
      <c r="P92" s="46"/>
      <c r="Q92" s="46"/>
      <c r="R92" s="46"/>
      <c r="S92" s="46"/>
      <c r="T92" s="46"/>
      <c r="U92" s="46"/>
      <c r="V92" s="46"/>
      <c r="W92" s="46"/>
      <c r="X92" s="46"/>
      <c r="Y92" s="46"/>
      <c r="Z92" s="46"/>
    </row>
    <row r="93" customFormat="false" ht="14.25" hidden="false" customHeight="true" outlineLevel="0" collapsed="false">
      <c r="A93" s="46"/>
      <c r="B93" s="47"/>
      <c r="C93" s="47"/>
      <c r="D93" s="46"/>
      <c r="E93" s="46"/>
      <c r="F93" s="46"/>
      <c r="G93" s="46"/>
      <c r="H93" s="46"/>
      <c r="I93" s="46"/>
      <c r="J93" s="46"/>
      <c r="K93" s="46"/>
      <c r="L93" s="46"/>
      <c r="M93" s="46"/>
      <c r="N93" s="46"/>
      <c r="O93" s="46"/>
      <c r="P93" s="46"/>
      <c r="Q93" s="46"/>
      <c r="R93" s="46"/>
      <c r="S93" s="46"/>
      <c r="T93" s="46"/>
      <c r="U93" s="46"/>
      <c r="V93" s="46"/>
      <c r="W93" s="46"/>
      <c r="X93" s="46"/>
      <c r="Y93" s="46"/>
      <c r="Z93" s="46"/>
    </row>
    <row r="94" customFormat="false" ht="14.25" hidden="false" customHeight="true" outlineLevel="0" collapsed="false">
      <c r="A94" s="46"/>
      <c r="B94" s="47"/>
      <c r="C94" s="47"/>
      <c r="D94" s="46"/>
      <c r="E94" s="46"/>
      <c r="F94" s="46"/>
      <c r="G94" s="46"/>
      <c r="H94" s="46"/>
      <c r="I94" s="46"/>
      <c r="J94" s="46"/>
      <c r="K94" s="46"/>
      <c r="L94" s="46"/>
      <c r="M94" s="46"/>
      <c r="N94" s="46"/>
      <c r="O94" s="46"/>
      <c r="P94" s="46"/>
      <c r="Q94" s="46"/>
      <c r="R94" s="46"/>
      <c r="S94" s="46"/>
      <c r="T94" s="46"/>
      <c r="U94" s="46"/>
      <c r="V94" s="46"/>
      <c r="W94" s="46"/>
      <c r="X94" s="46"/>
      <c r="Y94" s="46"/>
      <c r="Z94" s="46"/>
    </row>
    <row r="95" customFormat="false" ht="14.25" hidden="false" customHeight="true" outlineLevel="0" collapsed="false">
      <c r="A95" s="46"/>
      <c r="B95" s="47"/>
      <c r="C95" s="47"/>
      <c r="D95" s="46"/>
      <c r="E95" s="46"/>
      <c r="F95" s="46"/>
      <c r="G95" s="46"/>
      <c r="H95" s="46"/>
      <c r="I95" s="46"/>
      <c r="J95" s="46"/>
      <c r="K95" s="46"/>
      <c r="L95" s="46"/>
      <c r="M95" s="46"/>
      <c r="N95" s="46"/>
      <c r="O95" s="46"/>
      <c r="P95" s="46"/>
      <c r="Q95" s="46"/>
      <c r="R95" s="46"/>
      <c r="S95" s="46"/>
      <c r="T95" s="46"/>
      <c r="U95" s="46"/>
      <c r="V95" s="46"/>
      <c r="W95" s="46"/>
      <c r="X95" s="46"/>
      <c r="Y95" s="46"/>
      <c r="Z95" s="46"/>
    </row>
    <row r="96" customFormat="false" ht="14.25" hidden="false" customHeight="true" outlineLevel="0" collapsed="false">
      <c r="A96" s="46"/>
      <c r="B96" s="47"/>
      <c r="C96" s="47"/>
      <c r="D96" s="46"/>
      <c r="E96" s="46"/>
      <c r="F96" s="46"/>
      <c r="G96" s="46"/>
      <c r="H96" s="46"/>
      <c r="I96" s="46"/>
      <c r="J96" s="46"/>
      <c r="K96" s="46"/>
      <c r="L96" s="46"/>
      <c r="M96" s="46"/>
      <c r="N96" s="46"/>
      <c r="O96" s="46"/>
      <c r="P96" s="46"/>
      <c r="Q96" s="46"/>
      <c r="R96" s="46"/>
      <c r="S96" s="46"/>
      <c r="T96" s="46"/>
      <c r="U96" s="46"/>
      <c r="V96" s="46"/>
      <c r="W96" s="46"/>
      <c r="X96" s="46"/>
      <c r="Y96" s="46"/>
      <c r="Z96" s="46"/>
    </row>
    <row r="97" customFormat="false" ht="14.25" hidden="false" customHeight="true" outlineLevel="0" collapsed="false">
      <c r="A97" s="46"/>
      <c r="B97" s="47"/>
      <c r="C97" s="47"/>
      <c r="D97" s="46"/>
      <c r="E97" s="46"/>
      <c r="F97" s="46"/>
      <c r="G97" s="46"/>
      <c r="H97" s="46"/>
      <c r="I97" s="46"/>
      <c r="J97" s="46"/>
      <c r="K97" s="46"/>
      <c r="L97" s="46"/>
      <c r="M97" s="46"/>
      <c r="N97" s="46"/>
      <c r="O97" s="46"/>
      <c r="P97" s="46"/>
      <c r="Q97" s="46"/>
      <c r="R97" s="46"/>
      <c r="S97" s="46"/>
      <c r="T97" s="46"/>
      <c r="U97" s="46"/>
      <c r="V97" s="46"/>
      <c r="W97" s="46"/>
      <c r="X97" s="46"/>
      <c r="Y97" s="46"/>
      <c r="Z97" s="46"/>
    </row>
    <row r="98" customFormat="false" ht="14.25" hidden="false" customHeight="true" outlineLevel="0" collapsed="false">
      <c r="A98" s="46"/>
      <c r="B98" s="47"/>
      <c r="C98" s="47"/>
      <c r="D98" s="46"/>
      <c r="E98" s="46"/>
      <c r="F98" s="46"/>
      <c r="G98" s="46"/>
      <c r="H98" s="46"/>
      <c r="I98" s="46"/>
      <c r="J98" s="46"/>
      <c r="K98" s="46"/>
      <c r="L98" s="46"/>
      <c r="M98" s="46"/>
      <c r="N98" s="46"/>
      <c r="O98" s="46"/>
      <c r="P98" s="46"/>
      <c r="Q98" s="46"/>
      <c r="R98" s="46"/>
      <c r="S98" s="46"/>
      <c r="T98" s="46"/>
      <c r="U98" s="46"/>
      <c r="V98" s="46"/>
      <c r="W98" s="46"/>
      <c r="X98" s="46"/>
      <c r="Y98" s="46"/>
      <c r="Z98" s="46"/>
    </row>
    <row r="99" customFormat="false" ht="14.25" hidden="false" customHeight="true" outlineLevel="0" collapsed="false">
      <c r="A99" s="46"/>
      <c r="B99" s="47"/>
      <c r="C99" s="47"/>
      <c r="D99" s="46"/>
      <c r="E99" s="46"/>
      <c r="F99" s="46"/>
      <c r="G99" s="46"/>
      <c r="H99" s="46"/>
      <c r="I99" s="46"/>
      <c r="J99" s="46"/>
      <c r="K99" s="46"/>
      <c r="L99" s="46"/>
      <c r="M99" s="46"/>
      <c r="N99" s="46"/>
      <c r="O99" s="46"/>
      <c r="P99" s="46"/>
      <c r="Q99" s="46"/>
      <c r="R99" s="46"/>
      <c r="S99" s="46"/>
      <c r="T99" s="46"/>
      <c r="U99" s="46"/>
      <c r="V99" s="46"/>
      <c r="W99" s="46"/>
      <c r="X99" s="46"/>
      <c r="Y99" s="46"/>
      <c r="Z99" s="46"/>
    </row>
    <row r="100" customFormat="false" ht="14.25" hidden="false" customHeight="true" outlineLevel="0" collapsed="false">
      <c r="A100" s="46"/>
      <c r="B100" s="47"/>
      <c r="C100" s="47"/>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ustomFormat="false" ht="14.25" hidden="false" customHeight="true" outlineLevel="0" collapsed="false">
      <c r="A101" s="46"/>
      <c r="B101" s="47"/>
      <c r="C101" s="47"/>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ustomFormat="false" ht="14.25" hidden="false" customHeight="true" outlineLevel="0" collapsed="false">
      <c r="A102" s="46"/>
      <c r="B102" s="47"/>
      <c r="C102" s="47"/>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ustomFormat="false" ht="14.25" hidden="false" customHeight="true" outlineLevel="0" collapsed="false">
      <c r="A103" s="46"/>
      <c r="B103" s="47"/>
      <c r="C103" s="47"/>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ustomFormat="false" ht="14.25" hidden="false" customHeight="true" outlineLevel="0" collapsed="false">
      <c r="A104" s="46"/>
      <c r="B104" s="47"/>
      <c r="C104" s="47"/>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ustomFormat="false" ht="14.25" hidden="false" customHeight="true" outlineLevel="0" collapsed="false">
      <c r="A105" s="46"/>
      <c r="B105" s="47"/>
      <c r="C105" s="47"/>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ustomFormat="false" ht="14.25" hidden="false" customHeight="true" outlineLevel="0" collapsed="false">
      <c r="A106" s="46"/>
      <c r="B106" s="47"/>
      <c r="C106" s="47"/>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ustomFormat="false" ht="14.25" hidden="false" customHeight="true" outlineLevel="0" collapsed="false">
      <c r="A107" s="46"/>
      <c r="B107" s="47"/>
      <c r="C107" s="47"/>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ustomFormat="false" ht="14.25" hidden="false" customHeight="true" outlineLevel="0" collapsed="false">
      <c r="A108" s="46"/>
      <c r="B108" s="47"/>
      <c r="C108" s="47"/>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ustomFormat="false" ht="14.25" hidden="false" customHeight="true" outlineLevel="0" collapsed="false">
      <c r="A109" s="46"/>
      <c r="B109" s="47"/>
      <c r="C109" s="47"/>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ustomFormat="false" ht="14.25" hidden="false" customHeight="true" outlineLevel="0" collapsed="false">
      <c r="A110" s="46"/>
      <c r="B110" s="47"/>
      <c r="C110" s="47"/>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ustomFormat="false" ht="14.25" hidden="false" customHeight="true" outlineLevel="0" collapsed="false">
      <c r="A111" s="46"/>
      <c r="B111" s="47"/>
      <c r="C111" s="47"/>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ustomFormat="false" ht="14.25" hidden="false" customHeight="true" outlineLevel="0" collapsed="false">
      <c r="A112" s="46"/>
      <c r="B112" s="47"/>
      <c r="C112" s="47"/>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ustomFormat="false" ht="14.25" hidden="false" customHeight="true" outlineLevel="0" collapsed="false">
      <c r="A113" s="46"/>
      <c r="B113" s="47"/>
      <c r="C113" s="47"/>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ustomFormat="false" ht="14.25" hidden="false" customHeight="true" outlineLevel="0" collapsed="false">
      <c r="A114" s="46"/>
      <c r="B114" s="47"/>
      <c r="C114" s="47"/>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ustomFormat="false" ht="14.25" hidden="false" customHeight="true" outlineLevel="0" collapsed="false">
      <c r="A115" s="46"/>
      <c r="B115" s="47"/>
      <c r="C115" s="47"/>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ustomFormat="false" ht="14.25" hidden="false" customHeight="true" outlineLevel="0" collapsed="false">
      <c r="A116" s="46"/>
      <c r="B116" s="47"/>
      <c r="C116" s="47"/>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ustomFormat="false" ht="14.25" hidden="false" customHeight="true" outlineLevel="0" collapsed="false">
      <c r="A117" s="46"/>
      <c r="B117" s="47"/>
      <c r="C117" s="47"/>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ustomFormat="false" ht="14.25" hidden="false" customHeight="true" outlineLevel="0" collapsed="false">
      <c r="A118" s="46"/>
      <c r="B118" s="47"/>
      <c r="C118" s="47"/>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ustomFormat="false" ht="14.25" hidden="false" customHeight="true" outlineLevel="0" collapsed="false">
      <c r="A119" s="46"/>
      <c r="B119" s="47"/>
      <c r="C119" s="47"/>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ustomFormat="false" ht="14.25" hidden="false" customHeight="true" outlineLevel="0" collapsed="false">
      <c r="A120" s="46"/>
      <c r="B120" s="47"/>
      <c r="C120" s="47"/>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ustomFormat="false" ht="14.25" hidden="false" customHeight="true" outlineLevel="0" collapsed="false">
      <c r="A121" s="46"/>
      <c r="B121" s="47"/>
      <c r="C121" s="47"/>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ustomFormat="false" ht="14.25" hidden="false" customHeight="true" outlineLevel="0" collapsed="false">
      <c r="A122" s="46"/>
      <c r="B122" s="47"/>
      <c r="C122" s="47"/>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ustomFormat="false" ht="14.25" hidden="false" customHeight="true" outlineLevel="0" collapsed="false">
      <c r="A123" s="46"/>
      <c r="B123" s="47"/>
      <c r="C123" s="47"/>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ustomFormat="false" ht="14.25" hidden="false" customHeight="true" outlineLevel="0" collapsed="false">
      <c r="A124" s="46"/>
      <c r="B124" s="47"/>
      <c r="C124" s="47"/>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ustomFormat="false" ht="14.25" hidden="false" customHeight="true" outlineLevel="0" collapsed="false">
      <c r="A125" s="46"/>
      <c r="B125" s="47"/>
      <c r="C125" s="47"/>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ustomFormat="false" ht="14.25" hidden="false" customHeight="true" outlineLevel="0" collapsed="false">
      <c r="A126" s="46"/>
      <c r="B126" s="47"/>
      <c r="C126" s="47"/>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ustomFormat="false" ht="14.25" hidden="false" customHeight="true" outlineLevel="0" collapsed="false">
      <c r="A127" s="46"/>
      <c r="B127" s="47"/>
      <c r="C127" s="47"/>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ustomFormat="false" ht="14.25" hidden="false" customHeight="true" outlineLevel="0" collapsed="false">
      <c r="A128" s="46"/>
      <c r="B128" s="47"/>
      <c r="C128" s="47"/>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ustomFormat="false" ht="14.25" hidden="false" customHeight="true" outlineLevel="0" collapsed="false">
      <c r="A129" s="46"/>
      <c r="B129" s="47"/>
      <c r="C129" s="47"/>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ustomFormat="false" ht="14.25" hidden="false" customHeight="true" outlineLevel="0" collapsed="false">
      <c r="A130" s="46"/>
      <c r="B130" s="47"/>
      <c r="C130" s="47"/>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ustomFormat="false" ht="14.25" hidden="false" customHeight="true" outlineLevel="0" collapsed="false">
      <c r="A131" s="46"/>
      <c r="B131" s="47"/>
      <c r="C131" s="47"/>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ustomFormat="false" ht="14.25" hidden="false" customHeight="true" outlineLevel="0" collapsed="false">
      <c r="A132" s="46"/>
      <c r="B132" s="47"/>
      <c r="C132" s="47"/>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ustomFormat="false" ht="14.25" hidden="false" customHeight="true" outlineLevel="0" collapsed="false">
      <c r="A133" s="46"/>
      <c r="B133" s="47"/>
      <c r="C133" s="47"/>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ustomFormat="false" ht="14.25" hidden="false" customHeight="true" outlineLevel="0" collapsed="false">
      <c r="A134" s="46"/>
      <c r="B134" s="47"/>
      <c r="C134" s="47"/>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ustomFormat="false" ht="14.25" hidden="false" customHeight="true" outlineLevel="0" collapsed="false">
      <c r="A135" s="46"/>
      <c r="B135" s="47"/>
      <c r="C135" s="47"/>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ustomFormat="false" ht="14.25" hidden="false" customHeight="true" outlineLevel="0" collapsed="false">
      <c r="A136" s="46"/>
      <c r="B136" s="47"/>
      <c r="C136" s="47"/>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ustomFormat="false" ht="14.25" hidden="false" customHeight="true" outlineLevel="0" collapsed="false">
      <c r="A137" s="46"/>
      <c r="B137" s="47"/>
      <c r="C137" s="47"/>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ustomFormat="false" ht="14.25" hidden="false" customHeight="true" outlineLevel="0" collapsed="false">
      <c r="A138" s="46"/>
      <c r="B138" s="47"/>
      <c r="C138" s="47"/>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ustomFormat="false" ht="14.25" hidden="false" customHeight="true" outlineLevel="0" collapsed="false">
      <c r="A139" s="46"/>
      <c r="B139" s="47"/>
      <c r="C139" s="47"/>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ustomFormat="false" ht="14.25" hidden="false" customHeight="true" outlineLevel="0" collapsed="false">
      <c r="A140" s="46"/>
      <c r="B140" s="47"/>
      <c r="C140" s="47"/>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ustomFormat="false" ht="14.25" hidden="false" customHeight="true" outlineLevel="0" collapsed="false">
      <c r="A141" s="46"/>
      <c r="B141" s="47"/>
      <c r="C141" s="47"/>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ustomFormat="false" ht="14.25" hidden="false" customHeight="true" outlineLevel="0" collapsed="false">
      <c r="A142" s="46"/>
      <c r="B142" s="47"/>
      <c r="C142" s="47"/>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ustomFormat="false" ht="14.25" hidden="false" customHeight="true" outlineLevel="0" collapsed="false">
      <c r="A143" s="46"/>
      <c r="B143" s="47"/>
      <c r="C143" s="47"/>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ustomFormat="false" ht="14.25" hidden="false" customHeight="true" outlineLevel="0" collapsed="false">
      <c r="A144" s="46"/>
      <c r="B144" s="47"/>
      <c r="C144" s="47"/>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ustomFormat="false" ht="14.25" hidden="false" customHeight="true" outlineLevel="0" collapsed="false">
      <c r="A145" s="46"/>
      <c r="B145" s="47"/>
      <c r="C145" s="47"/>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ustomFormat="false" ht="14.25" hidden="false" customHeight="true" outlineLevel="0" collapsed="false">
      <c r="A146" s="46"/>
      <c r="B146" s="47"/>
      <c r="C146" s="47"/>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ustomFormat="false" ht="14.25" hidden="false" customHeight="true" outlineLevel="0" collapsed="false">
      <c r="A147" s="46"/>
      <c r="B147" s="47"/>
      <c r="C147" s="47"/>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ustomFormat="false" ht="14.25" hidden="false" customHeight="true" outlineLevel="0" collapsed="false">
      <c r="A148" s="46"/>
      <c r="B148" s="47"/>
      <c r="C148" s="47"/>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ustomFormat="false" ht="14.25" hidden="false" customHeight="true" outlineLevel="0" collapsed="false">
      <c r="A149" s="46"/>
      <c r="B149" s="47"/>
      <c r="C149" s="47"/>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ustomFormat="false" ht="14.25" hidden="false" customHeight="true" outlineLevel="0" collapsed="false">
      <c r="A150" s="46"/>
      <c r="B150" s="47"/>
      <c r="C150" s="47"/>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ustomFormat="false" ht="14.25" hidden="false" customHeight="true" outlineLevel="0" collapsed="false">
      <c r="A151" s="46"/>
      <c r="B151" s="47"/>
      <c r="C151" s="47"/>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ustomFormat="false" ht="14.25" hidden="false" customHeight="true" outlineLevel="0" collapsed="false">
      <c r="A152" s="46"/>
      <c r="B152" s="47"/>
      <c r="C152" s="47"/>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ustomFormat="false" ht="14.25" hidden="false" customHeight="true" outlineLevel="0" collapsed="false">
      <c r="A153" s="46"/>
      <c r="B153" s="47"/>
      <c r="C153" s="47"/>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ustomFormat="false" ht="14.25" hidden="false" customHeight="true" outlineLevel="0" collapsed="false">
      <c r="A154" s="46"/>
      <c r="B154" s="47"/>
      <c r="C154" s="47"/>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ustomFormat="false" ht="14.25" hidden="false" customHeight="true" outlineLevel="0" collapsed="false">
      <c r="A155" s="46"/>
      <c r="B155" s="47"/>
      <c r="C155" s="47"/>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ustomFormat="false" ht="14.25" hidden="false" customHeight="true" outlineLevel="0" collapsed="false">
      <c r="A156" s="46"/>
      <c r="B156" s="47"/>
      <c r="C156" s="47"/>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ustomFormat="false" ht="14.25" hidden="false" customHeight="true" outlineLevel="0" collapsed="false">
      <c r="A157" s="46"/>
      <c r="B157" s="47"/>
      <c r="C157" s="47"/>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ustomFormat="false" ht="14.25" hidden="false" customHeight="true" outlineLevel="0" collapsed="false">
      <c r="A158" s="46"/>
      <c r="B158" s="47"/>
      <c r="C158" s="47"/>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ustomFormat="false" ht="14.25" hidden="false" customHeight="true" outlineLevel="0" collapsed="false">
      <c r="A159" s="46"/>
      <c r="B159" s="47"/>
      <c r="C159" s="47"/>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ustomFormat="false" ht="14.25" hidden="false" customHeight="true" outlineLevel="0" collapsed="false">
      <c r="A160" s="46"/>
      <c r="B160" s="47"/>
      <c r="C160" s="47"/>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ustomFormat="false" ht="14.25" hidden="false" customHeight="true" outlineLevel="0" collapsed="false">
      <c r="A161" s="46"/>
      <c r="B161" s="47"/>
      <c r="C161" s="47"/>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ustomFormat="false" ht="14.25" hidden="false" customHeight="true" outlineLevel="0" collapsed="false">
      <c r="A162" s="46"/>
      <c r="B162" s="47"/>
      <c r="C162" s="47"/>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ustomFormat="false" ht="14.25" hidden="false" customHeight="true" outlineLevel="0" collapsed="false">
      <c r="A163" s="46"/>
      <c r="B163" s="47"/>
      <c r="C163" s="47"/>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ustomFormat="false" ht="14.25" hidden="false" customHeight="true" outlineLevel="0" collapsed="false">
      <c r="A164" s="46"/>
      <c r="B164" s="47"/>
      <c r="C164" s="47"/>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ustomFormat="false" ht="14.25" hidden="false" customHeight="true" outlineLevel="0" collapsed="false">
      <c r="A165" s="46"/>
      <c r="B165" s="47"/>
      <c r="C165" s="47"/>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ustomFormat="false" ht="14.25" hidden="false" customHeight="true" outlineLevel="0" collapsed="false">
      <c r="A166" s="46"/>
      <c r="B166" s="47"/>
      <c r="C166" s="47"/>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ustomFormat="false" ht="14.25" hidden="false" customHeight="true" outlineLevel="0" collapsed="false">
      <c r="A167" s="46"/>
      <c r="B167" s="47"/>
      <c r="C167" s="47"/>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ustomFormat="false" ht="14.25" hidden="false" customHeight="true" outlineLevel="0" collapsed="false">
      <c r="A168" s="46"/>
      <c r="B168" s="47"/>
      <c r="C168" s="47"/>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ustomFormat="false" ht="14.25" hidden="false" customHeight="true" outlineLevel="0" collapsed="false">
      <c r="A169" s="46"/>
      <c r="B169" s="47"/>
      <c r="C169" s="47"/>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ustomFormat="false" ht="14.25" hidden="false" customHeight="true" outlineLevel="0" collapsed="false">
      <c r="A170" s="46"/>
      <c r="B170" s="47"/>
      <c r="C170" s="47"/>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ustomFormat="false" ht="14.25" hidden="false" customHeight="true" outlineLevel="0" collapsed="false">
      <c r="A171" s="46"/>
      <c r="B171" s="47"/>
      <c r="C171" s="47"/>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ustomFormat="false" ht="14.25" hidden="false" customHeight="true" outlineLevel="0" collapsed="false">
      <c r="A172" s="46"/>
      <c r="B172" s="47"/>
      <c r="C172" s="47"/>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ustomFormat="false" ht="14.25" hidden="false" customHeight="true" outlineLevel="0" collapsed="false">
      <c r="A173" s="46"/>
      <c r="B173" s="47"/>
      <c r="C173" s="47"/>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ustomFormat="false" ht="14.25" hidden="false" customHeight="true" outlineLevel="0" collapsed="false">
      <c r="A174" s="46"/>
      <c r="B174" s="47"/>
      <c r="C174" s="47"/>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ustomFormat="false" ht="14.25" hidden="false" customHeight="true" outlineLevel="0" collapsed="false">
      <c r="A175" s="46"/>
      <c r="B175" s="47"/>
      <c r="C175" s="47"/>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ustomFormat="false" ht="14.25" hidden="false" customHeight="true" outlineLevel="0" collapsed="false">
      <c r="A176" s="46"/>
      <c r="B176" s="47"/>
      <c r="C176" s="47"/>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ustomFormat="false" ht="14.25" hidden="false" customHeight="true" outlineLevel="0" collapsed="false">
      <c r="A177" s="46"/>
      <c r="B177" s="47"/>
      <c r="C177" s="47"/>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ustomFormat="false" ht="14.25" hidden="false" customHeight="true" outlineLevel="0" collapsed="false">
      <c r="A178" s="46"/>
      <c r="B178" s="47"/>
      <c r="C178" s="47"/>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ustomFormat="false" ht="14.25" hidden="false" customHeight="true" outlineLevel="0" collapsed="false">
      <c r="A179" s="46"/>
      <c r="B179" s="47"/>
      <c r="C179" s="47"/>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ustomFormat="false" ht="14.25" hidden="false" customHeight="true" outlineLevel="0" collapsed="false">
      <c r="A180" s="46"/>
      <c r="B180" s="47"/>
      <c r="C180" s="47"/>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ustomFormat="false" ht="14.25" hidden="false" customHeight="true" outlineLevel="0" collapsed="false">
      <c r="A181" s="46"/>
      <c r="B181" s="47"/>
      <c r="C181" s="47"/>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ustomFormat="false" ht="14.25" hidden="false" customHeight="true" outlineLevel="0" collapsed="false">
      <c r="A182" s="46"/>
      <c r="B182" s="47"/>
      <c r="C182" s="47"/>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ustomFormat="false" ht="14.25" hidden="false" customHeight="true" outlineLevel="0" collapsed="false">
      <c r="A183" s="46"/>
      <c r="B183" s="47"/>
      <c r="C183" s="47"/>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ustomFormat="false" ht="14.25" hidden="false" customHeight="true" outlineLevel="0" collapsed="false">
      <c r="A184" s="46"/>
      <c r="B184" s="47"/>
      <c r="C184" s="47"/>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ustomFormat="false" ht="14.25" hidden="false" customHeight="true" outlineLevel="0" collapsed="false">
      <c r="A185" s="46"/>
      <c r="B185" s="47"/>
      <c r="C185" s="47"/>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ustomFormat="false" ht="14.25" hidden="false" customHeight="true" outlineLevel="0" collapsed="false">
      <c r="A186" s="46"/>
      <c r="B186" s="47"/>
      <c r="C186" s="47"/>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ustomFormat="false" ht="14.25" hidden="false" customHeight="true" outlineLevel="0" collapsed="false">
      <c r="A187" s="46"/>
      <c r="B187" s="47"/>
      <c r="C187" s="47"/>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ustomFormat="false" ht="14.25" hidden="false" customHeight="true" outlineLevel="0" collapsed="false">
      <c r="A188" s="46"/>
      <c r="B188" s="47"/>
      <c r="C188" s="47"/>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ustomFormat="false" ht="14.25" hidden="false" customHeight="true" outlineLevel="0" collapsed="false">
      <c r="A189" s="46"/>
      <c r="B189" s="47"/>
      <c r="C189" s="47"/>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ustomFormat="false" ht="14.25" hidden="false" customHeight="true" outlineLevel="0" collapsed="false">
      <c r="A190" s="46"/>
      <c r="B190" s="47"/>
      <c r="C190" s="47"/>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ustomFormat="false" ht="14.25" hidden="false" customHeight="true" outlineLevel="0" collapsed="false">
      <c r="A191" s="46"/>
      <c r="B191" s="47"/>
      <c r="C191" s="47"/>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ustomFormat="false" ht="14.25" hidden="false" customHeight="true" outlineLevel="0" collapsed="false">
      <c r="A192" s="46"/>
      <c r="B192" s="47"/>
      <c r="C192" s="47"/>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ustomFormat="false" ht="14.25" hidden="false" customHeight="true" outlineLevel="0" collapsed="false">
      <c r="A193" s="46"/>
      <c r="B193" s="47"/>
      <c r="C193" s="47"/>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ustomFormat="false" ht="14.25" hidden="false" customHeight="true" outlineLevel="0" collapsed="false">
      <c r="A194" s="46"/>
      <c r="B194" s="47"/>
      <c r="C194" s="47"/>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ustomFormat="false" ht="14.25" hidden="false" customHeight="true" outlineLevel="0" collapsed="false">
      <c r="A195" s="46"/>
      <c r="B195" s="47"/>
      <c r="C195" s="47"/>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ustomFormat="false" ht="14.25" hidden="false" customHeight="true" outlineLevel="0" collapsed="false">
      <c r="A196" s="46"/>
      <c r="B196" s="47"/>
      <c r="C196" s="47"/>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ustomFormat="false" ht="14.25" hidden="false" customHeight="true" outlineLevel="0" collapsed="false">
      <c r="A197" s="46"/>
      <c r="B197" s="47"/>
      <c r="C197" s="47"/>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ustomFormat="false" ht="14.25" hidden="false" customHeight="true" outlineLevel="0" collapsed="false">
      <c r="A198" s="46"/>
      <c r="B198" s="47"/>
      <c r="C198" s="47"/>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ustomFormat="false" ht="14.25" hidden="false" customHeight="true" outlineLevel="0" collapsed="false">
      <c r="A199" s="46"/>
      <c r="B199" s="47"/>
      <c r="C199" s="47"/>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ustomFormat="false" ht="14.25" hidden="false" customHeight="true" outlineLevel="0" collapsed="false">
      <c r="A200" s="46"/>
      <c r="B200" s="47"/>
      <c r="C200" s="47"/>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ustomFormat="false" ht="14.25" hidden="false" customHeight="true" outlineLevel="0" collapsed="false">
      <c r="A201" s="46"/>
      <c r="B201" s="47"/>
      <c r="C201" s="47"/>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ustomFormat="false" ht="14.25" hidden="false" customHeight="true" outlineLevel="0" collapsed="false">
      <c r="A202" s="46"/>
      <c r="B202" s="47"/>
      <c r="C202" s="47"/>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ustomFormat="false" ht="14.25" hidden="false" customHeight="true" outlineLevel="0" collapsed="false">
      <c r="A203" s="46"/>
      <c r="B203" s="47"/>
      <c r="C203" s="47"/>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ustomFormat="false" ht="14.25" hidden="false" customHeight="true" outlineLevel="0" collapsed="false">
      <c r="A204" s="46"/>
      <c r="B204" s="47"/>
      <c r="C204" s="47"/>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ustomFormat="false" ht="14.25" hidden="false" customHeight="true" outlineLevel="0" collapsed="false">
      <c r="A205" s="46"/>
      <c r="B205" s="47"/>
      <c r="C205" s="47"/>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ustomFormat="false" ht="14.25" hidden="false" customHeight="true" outlineLevel="0" collapsed="false">
      <c r="A206" s="46"/>
      <c r="B206" s="47"/>
      <c r="C206" s="47"/>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ustomFormat="false" ht="14.25" hidden="false" customHeight="true" outlineLevel="0" collapsed="false">
      <c r="A207" s="46"/>
      <c r="B207" s="47"/>
      <c r="C207" s="47"/>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ustomFormat="false" ht="14.25" hidden="false" customHeight="true" outlineLevel="0" collapsed="false">
      <c r="A208" s="46"/>
      <c r="B208" s="47"/>
      <c r="C208" s="47"/>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ustomFormat="false" ht="14.25" hidden="false" customHeight="true" outlineLevel="0" collapsed="false">
      <c r="A209" s="46"/>
      <c r="B209" s="47"/>
      <c r="C209" s="47"/>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ustomFormat="false" ht="14.25" hidden="false" customHeight="true" outlineLevel="0" collapsed="false">
      <c r="A210" s="46"/>
      <c r="B210" s="47"/>
      <c r="C210" s="47"/>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ustomFormat="false" ht="14.25" hidden="false" customHeight="true" outlineLevel="0" collapsed="false">
      <c r="A211" s="46"/>
      <c r="B211" s="47"/>
      <c r="C211" s="47"/>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ustomFormat="false" ht="14.25" hidden="false" customHeight="true" outlineLevel="0" collapsed="false">
      <c r="A212" s="46"/>
      <c r="B212" s="47"/>
      <c r="C212" s="47"/>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ustomFormat="false" ht="14.25" hidden="false" customHeight="true" outlineLevel="0" collapsed="false">
      <c r="A213" s="46"/>
      <c r="B213" s="47"/>
      <c r="C213" s="47"/>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ustomFormat="false" ht="14.25" hidden="false" customHeight="true" outlineLevel="0" collapsed="false">
      <c r="A214" s="46"/>
      <c r="B214" s="47"/>
      <c r="C214" s="47"/>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ustomFormat="false" ht="14.25" hidden="false" customHeight="true" outlineLevel="0" collapsed="false">
      <c r="A215" s="46"/>
      <c r="B215" s="47"/>
      <c r="C215" s="47"/>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ustomFormat="false" ht="14.25" hidden="false" customHeight="true" outlineLevel="0" collapsed="false">
      <c r="A216" s="46"/>
      <c r="B216" s="47"/>
      <c r="C216" s="47"/>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ustomFormat="false" ht="14.25" hidden="false" customHeight="true" outlineLevel="0" collapsed="false">
      <c r="A217" s="46"/>
      <c r="B217" s="47"/>
      <c r="C217" s="47"/>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ustomFormat="false" ht="14.25" hidden="false" customHeight="true" outlineLevel="0" collapsed="false">
      <c r="A218" s="46"/>
      <c r="B218" s="47"/>
      <c r="C218" s="47"/>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ustomFormat="false" ht="14.25" hidden="false" customHeight="true" outlineLevel="0" collapsed="false">
      <c r="A219" s="46"/>
      <c r="B219" s="47"/>
      <c r="C219" s="47"/>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ustomFormat="false" ht="14.25" hidden="false" customHeight="true" outlineLevel="0" collapsed="false">
      <c r="A220" s="46"/>
      <c r="B220" s="47"/>
      <c r="C220" s="47"/>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ustomFormat="false" ht="14.25" hidden="false" customHeight="true" outlineLevel="0" collapsed="false">
      <c r="A221" s="46"/>
      <c r="B221" s="47"/>
      <c r="C221" s="47"/>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ustomFormat="false" ht="14.25" hidden="false" customHeight="true" outlineLevel="0" collapsed="false">
      <c r="A222" s="46"/>
      <c r="B222" s="47"/>
      <c r="C222" s="47"/>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ustomFormat="false" ht="14.25" hidden="false" customHeight="true" outlineLevel="0" collapsed="false">
      <c r="A223" s="46"/>
      <c r="B223" s="47"/>
      <c r="C223" s="47"/>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ustomFormat="false" ht="14.25" hidden="false" customHeight="true" outlineLevel="0" collapsed="false">
      <c r="A224" s="46"/>
      <c r="B224" s="47"/>
      <c r="C224" s="47"/>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ustomFormat="false" ht="14.25" hidden="false" customHeight="true" outlineLevel="0" collapsed="false">
      <c r="A225" s="46"/>
      <c r="B225" s="47"/>
      <c r="C225" s="47"/>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ustomFormat="false" ht="14.25" hidden="false" customHeight="true" outlineLevel="0" collapsed="false">
      <c r="A226" s="46"/>
      <c r="B226" s="47"/>
      <c r="C226" s="47"/>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ustomFormat="false" ht="14.25" hidden="false" customHeight="true" outlineLevel="0" collapsed="false">
      <c r="A227" s="46"/>
      <c r="B227" s="47"/>
      <c r="C227" s="47"/>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ustomFormat="false" ht="14.25" hidden="false" customHeight="true" outlineLevel="0" collapsed="false">
      <c r="A228" s="46"/>
      <c r="B228" s="47"/>
      <c r="C228" s="47"/>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ustomFormat="false" ht="14.25" hidden="false" customHeight="true" outlineLevel="0" collapsed="false">
      <c r="A229" s="46"/>
      <c r="B229" s="47"/>
      <c r="C229" s="47"/>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ustomFormat="false" ht="14.25" hidden="false" customHeight="true" outlineLevel="0" collapsed="false">
      <c r="A230" s="46"/>
      <c r="B230" s="47"/>
      <c r="C230" s="47"/>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ustomFormat="false" ht="14.25" hidden="false" customHeight="true" outlineLevel="0" collapsed="false">
      <c r="A231" s="46"/>
      <c r="B231" s="47"/>
      <c r="C231" s="47"/>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ustomFormat="false" ht="14.25" hidden="false" customHeight="true" outlineLevel="0" collapsed="false">
      <c r="A232" s="46"/>
      <c r="B232" s="47"/>
      <c r="C232" s="47"/>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ustomFormat="false" ht="14.25" hidden="false" customHeight="true" outlineLevel="0" collapsed="false">
      <c r="A233" s="46"/>
      <c r="B233" s="47"/>
      <c r="C233" s="47"/>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ustomFormat="false" ht="14.25" hidden="false" customHeight="true" outlineLevel="0" collapsed="false">
      <c r="A234" s="46"/>
      <c r="B234" s="47"/>
      <c r="C234" s="47"/>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ustomFormat="false" ht="14.25" hidden="false" customHeight="true" outlineLevel="0" collapsed="false">
      <c r="A235" s="46"/>
      <c r="B235" s="47"/>
      <c r="C235" s="47"/>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ustomFormat="false" ht="14.25" hidden="false" customHeight="true" outlineLevel="0" collapsed="false">
      <c r="A236" s="46"/>
      <c r="B236" s="47"/>
      <c r="C236" s="47"/>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ustomFormat="false" ht="14.25" hidden="false" customHeight="true" outlineLevel="0" collapsed="false">
      <c r="A237" s="46"/>
      <c r="B237" s="47"/>
      <c r="C237" s="47"/>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ustomFormat="false" ht="14.25" hidden="false" customHeight="true" outlineLevel="0" collapsed="false">
      <c r="A238" s="46"/>
      <c r="B238" s="47"/>
      <c r="C238" s="47"/>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ustomFormat="false" ht="14.25" hidden="false" customHeight="true" outlineLevel="0" collapsed="false">
      <c r="A239" s="46"/>
      <c r="B239" s="47"/>
      <c r="C239" s="47"/>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ustomFormat="false" ht="14.25" hidden="false" customHeight="true" outlineLevel="0" collapsed="false">
      <c r="A240" s="46"/>
      <c r="B240" s="47"/>
      <c r="C240" s="47"/>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ustomFormat="false" ht="14.25" hidden="false" customHeight="true" outlineLevel="0" collapsed="false">
      <c r="A241" s="46"/>
      <c r="B241" s="47"/>
      <c r="C241" s="47"/>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ustomFormat="false" ht="14.25" hidden="false" customHeight="true" outlineLevel="0" collapsed="false">
      <c r="A242" s="46"/>
      <c r="B242" s="47"/>
      <c r="C242" s="47"/>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ustomFormat="false" ht="14.25" hidden="false" customHeight="true" outlineLevel="0" collapsed="false">
      <c r="A243" s="46"/>
      <c r="B243" s="47"/>
      <c r="C243" s="47"/>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ustomFormat="false" ht="14.25" hidden="false" customHeight="true" outlineLevel="0" collapsed="false">
      <c r="A244" s="46"/>
      <c r="B244" s="47"/>
      <c r="C244" s="47"/>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ustomFormat="false" ht="14.25" hidden="false" customHeight="true" outlineLevel="0" collapsed="false">
      <c r="A245" s="46"/>
      <c r="B245" s="47"/>
      <c r="C245" s="47"/>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ustomFormat="false" ht="14.25" hidden="false" customHeight="true" outlineLevel="0" collapsed="false">
      <c r="A246" s="46"/>
      <c r="B246" s="47"/>
      <c r="C246" s="47"/>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ustomFormat="false" ht="14.25" hidden="false" customHeight="true" outlineLevel="0" collapsed="false">
      <c r="A247" s="46"/>
      <c r="B247" s="47"/>
      <c r="C247" s="47"/>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ustomFormat="false" ht="14.25" hidden="false" customHeight="true" outlineLevel="0" collapsed="false">
      <c r="A248" s="46"/>
      <c r="B248" s="47"/>
      <c r="C248" s="47"/>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ustomFormat="false" ht="14.25" hidden="false" customHeight="true" outlineLevel="0" collapsed="false">
      <c r="A249" s="46"/>
      <c r="B249" s="47"/>
      <c r="C249" s="47"/>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ustomFormat="false" ht="14.25" hidden="false" customHeight="true" outlineLevel="0" collapsed="false">
      <c r="A250" s="46"/>
      <c r="B250" s="47"/>
      <c r="C250" s="47"/>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ustomFormat="false" ht="14.25" hidden="false" customHeight="true" outlineLevel="0" collapsed="false">
      <c r="A251" s="46"/>
      <c r="B251" s="47"/>
      <c r="C251" s="47"/>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ustomFormat="false" ht="14.25" hidden="false" customHeight="true" outlineLevel="0" collapsed="false">
      <c r="A252" s="46"/>
      <c r="B252" s="47"/>
      <c r="C252" s="47"/>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ustomFormat="false" ht="14.25" hidden="false" customHeight="true" outlineLevel="0" collapsed="false">
      <c r="A253" s="46"/>
      <c r="B253" s="47"/>
      <c r="C253" s="47"/>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ustomFormat="false" ht="14.25" hidden="false" customHeight="true" outlineLevel="0" collapsed="false">
      <c r="A254" s="46"/>
      <c r="B254" s="47"/>
      <c r="C254" s="47"/>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ustomFormat="false" ht="14.25" hidden="false" customHeight="true" outlineLevel="0" collapsed="false">
      <c r="A255" s="46"/>
      <c r="B255" s="47"/>
      <c r="C255" s="47"/>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ustomFormat="false" ht="14.25" hidden="false" customHeight="true" outlineLevel="0" collapsed="false">
      <c r="A256" s="46"/>
      <c r="B256" s="47"/>
      <c r="C256" s="47"/>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ustomFormat="false" ht="14.25" hidden="false" customHeight="true" outlineLevel="0" collapsed="false">
      <c r="A257" s="46"/>
      <c r="B257" s="47"/>
      <c r="C257" s="47"/>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ustomFormat="false" ht="14.25" hidden="false" customHeight="true" outlineLevel="0" collapsed="false">
      <c r="A258" s="46"/>
      <c r="B258" s="47"/>
      <c r="C258" s="47"/>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ustomFormat="false" ht="14.25" hidden="false" customHeight="true" outlineLevel="0" collapsed="false">
      <c r="A259" s="46"/>
      <c r="B259" s="47"/>
      <c r="C259" s="47"/>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ustomFormat="false" ht="14.25" hidden="false" customHeight="true" outlineLevel="0" collapsed="false">
      <c r="A260" s="46"/>
      <c r="B260" s="47"/>
      <c r="C260" s="47"/>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ustomFormat="false" ht="14.25" hidden="false" customHeight="true" outlineLevel="0" collapsed="false">
      <c r="A261" s="46"/>
      <c r="B261" s="47"/>
      <c r="C261" s="47"/>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ustomFormat="false" ht="14.25" hidden="false" customHeight="true" outlineLevel="0" collapsed="false">
      <c r="A262" s="46"/>
      <c r="B262" s="47"/>
      <c r="C262" s="47"/>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ustomFormat="false" ht="14.25" hidden="false" customHeight="true" outlineLevel="0" collapsed="false">
      <c r="A263" s="46"/>
      <c r="B263" s="47"/>
      <c r="C263" s="47"/>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ustomFormat="false" ht="14.25" hidden="false" customHeight="true" outlineLevel="0" collapsed="false">
      <c r="A264" s="46"/>
      <c r="B264" s="47"/>
      <c r="C264" s="47"/>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ustomFormat="false" ht="14.25" hidden="false" customHeight="true" outlineLevel="0" collapsed="false">
      <c r="A265" s="46"/>
      <c r="B265" s="47"/>
      <c r="C265" s="47"/>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ustomFormat="false" ht="14.25" hidden="false" customHeight="true" outlineLevel="0" collapsed="false">
      <c r="A266" s="46"/>
      <c r="B266" s="47"/>
      <c r="C266" s="47"/>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ustomFormat="false" ht="14.25" hidden="false" customHeight="true" outlineLevel="0" collapsed="false">
      <c r="A267" s="46"/>
      <c r="B267" s="47"/>
      <c r="C267" s="47"/>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ustomFormat="false" ht="14.25" hidden="false" customHeight="true" outlineLevel="0" collapsed="false">
      <c r="A268" s="46"/>
      <c r="B268" s="47"/>
      <c r="C268" s="47"/>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ustomFormat="false" ht="14.25" hidden="false" customHeight="true" outlineLevel="0" collapsed="false">
      <c r="A269" s="46"/>
      <c r="B269" s="47"/>
      <c r="C269" s="47"/>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ustomFormat="false" ht="14.25" hidden="false" customHeight="true" outlineLevel="0" collapsed="false">
      <c r="A270" s="46"/>
      <c r="B270" s="47"/>
      <c r="C270" s="47"/>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ustomFormat="false" ht="14.25" hidden="false" customHeight="true" outlineLevel="0" collapsed="false">
      <c r="A271" s="46"/>
      <c r="B271" s="47"/>
      <c r="C271" s="47"/>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ustomFormat="false" ht="14.25" hidden="false" customHeight="true" outlineLevel="0" collapsed="false">
      <c r="A272" s="46"/>
      <c r="B272" s="47"/>
      <c r="C272" s="47"/>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ustomFormat="false" ht="14.25" hidden="false" customHeight="true" outlineLevel="0" collapsed="false">
      <c r="A273" s="46"/>
      <c r="B273" s="47"/>
      <c r="C273" s="47"/>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ustomFormat="false" ht="14.25" hidden="false" customHeight="true" outlineLevel="0" collapsed="false">
      <c r="A274" s="46"/>
      <c r="B274" s="47"/>
      <c r="C274" s="47"/>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ustomFormat="false" ht="14.25" hidden="false" customHeight="true" outlineLevel="0" collapsed="false">
      <c r="A275" s="46"/>
      <c r="B275" s="47"/>
      <c r="C275" s="47"/>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ustomFormat="false" ht="14.25" hidden="false" customHeight="true" outlineLevel="0" collapsed="false">
      <c r="A276" s="46"/>
      <c r="B276" s="47"/>
      <c r="C276" s="47"/>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ustomFormat="false" ht="14.25" hidden="false" customHeight="true" outlineLevel="0" collapsed="false">
      <c r="A277" s="46"/>
      <c r="B277" s="47"/>
      <c r="C277" s="47"/>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ustomFormat="false" ht="14.25" hidden="false" customHeight="true" outlineLevel="0" collapsed="false">
      <c r="A278" s="46"/>
      <c r="B278" s="47"/>
      <c r="C278" s="47"/>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ustomFormat="false" ht="14.25" hidden="false" customHeight="true" outlineLevel="0" collapsed="false">
      <c r="A279" s="46"/>
      <c r="B279" s="47"/>
      <c r="C279" s="47"/>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ustomFormat="false" ht="14.25" hidden="false" customHeight="true" outlineLevel="0" collapsed="false">
      <c r="A280" s="46"/>
      <c r="B280" s="47"/>
      <c r="C280" s="47"/>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ustomFormat="false" ht="14.25" hidden="false" customHeight="true" outlineLevel="0" collapsed="false">
      <c r="A281" s="46"/>
      <c r="B281" s="47"/>
      <c r="C281" s="47"/>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ustomFormat="false" ht="14.25" hidden="false" customHeight="true" outlineLevel="0" collapsed="false">
      <c r="A282" s="46"/>
      <c r="B282" s="47"/>
      <c r="C282" s="47"/>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ustomFormat="false" ht="14.25" hidden="false" customHeight="true" outlineLevel="0" collapsed="false">
      <c r="A283" s="46"/>
      <c r="B283" s="47"/>
      <c r="C283" s="47"/>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ustomFormat="false" ht="14.25" hidden="false" customHeight="true" outlineLevel="0" collapsed="false">
      <c r="A284" s="46"/>
      <c r="B284" s="47"/>
      <c r="C284" s="47"/>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ustomFormat="false" ht="14.25" hidden="false" customHeight="true" outlineLevel="0" collapsed="false">
      <c r="A285" s="46"/>
      <c r="B285" s="47"/>
      <c r="C285" s="47"/>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ustomFormat="false" ht="14.25" hidden="false" customHeight="true" outlineLevel="0" collapsed="false">
      <c r="A286" s="46"/>
      <c r="B286" s="47"/>
      <c r="C286" s="47"/>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ustomFormat="false" ht="14.25" hidden="false" customHeight="true" outlineLevel="0" collapsed="false">
      <c r="A287" s="46"/>
      <c r="B287" s="47"/>
      <c r="C287" s="47"/>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ustomFormat="false" ht="14.25" hidden="false" customHeight="true" outlineLevel="0" collapsed="false">
      <c r="A288" s="46"/>
      <c r="B288" s="47"/>
      <c r="C288" s="47"/>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ustomFormat="false" ht="14.25" hidden="false" customHeight="true" outlineLevel="0" collapsed="false">
      <c r="A289" s="46"/>
      <c r="B289" s="47"/>
      <c r="C289" s="47"/>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ustomFormat="false" ht="14.25" hidden="false" customHeight="true" outlineLevel="0" collapsed="false">
      <c r="A290" s="46"/>
      <c r="B290" s="47"/>
      <c r="C290" s="47"/>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ustomFormat="false" ht="14.25" hidden="false" customHeight="true" outlineLevel="0" collapsed="false">
      <c r="A291" s="46"/>
      <c r="B291" s="47"/>
      <c r="C291" s="47"/>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ustomFormat="false" ht="14.25" hidden="false" customHeight="true" outlineLevel="0" collapsed="false">
      <c r="A292" s="46"/>
      <c r="B292" s="47"/>
      <c r="C292" s="47"/>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ustomFormat="false" ht="14.25" hidden="false" customHeight="true" outlineLevel="0" collapsed="false">
      <c r="A293" s="46"/>
      <c r="B293" s="47"/>
      <c r="C293" s="47"/>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ustomFormat="false" ht="14.25" hidden="false" customHeight="true" outlineLevel="0" collapsed="false">
      <c r="A294" s="46"/>
      <c r="B294" s="47"/>
      <c r="C294" s="47"/>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ustomFormat="false" ht="14.25" hidden="false" customHeight="true" outlineLevel="0" collapsed="false">
      <c r="A295" s="46"/>
      <c r="B295" s="47"/>
      <c r="C295" s="47"/>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ustomFormat="false" ht="14.25" hidden="false" customHeight="true" outlineLevel="0" collapsed="false">
      <c r="A296" s="46"/>
      <c r="B296" s="47"/>
      <c r="C296" s="47"/>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ustomFormat="false" ht="14.25" hidden="false" customHeight="true" outlineLevel="0" collapsed="false">
      <c r="A297" s="46"/>
      <c r="B297" s="47"/>
      <c r="C297" s="47"/>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ustomFormat="false" ht="14.25" hidden="false" customHeight="true" outlineLevel="0" collapsed="false">
      <c r="A298" s="46"/>
      <c r="B298" s="47"/>
      <c r="C298" s="47"/>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ustomFormat="false" ht="14.25" hidden="false" customHeight="true" outlineLevel="0" collapsed="false">
      <c r="A299" s="46"/>
      <c r="B299" s="47"/>
      <c r="C299" s="47"/>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ustomFormat="false" ht="14.25" hidden="false" customHeight="true" outlineLevel="0" collapsed="false">
      <c r="A300" s="46"/>
      <c r="B300" s="47"/>
      <c r="C300" s="47"/>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ustomFormat="false" ht="14.25" hidden="false" customHeight="true" outlineLevel="0" collapsed="false">
      <c r="A301" s="46"/>
      <c r="B301" s="47"/>
      <c r="C301" s="47"/>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ustomFormat="false" ht="14.25" hidden="false" customHeight="true" outlineLevel="0" collapsed="false">
      <c r="A302" s="46"/>
      <c r="B302" s="47"/>
      <c r="C302" s="47"/>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ustomFormat="false" ht="14.25" hidden="false" customHeight="true" outlineLevel="0" collapsed="false">
      <c r="A303" s="46"/>
      <c r="B303" s="47"/>
      <c r="C303" s="47"/>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ustomFormat="false" ht="14.25" hidden="false" customHeight="true" outlineLevel="0" collapsed="false">
      <c r="A304" s="46"/>
      <c r="B304" s="47"/>
      <c r="C304" s="47"/>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ustomFormat="false" ht="14.25" hidden="false" customHeight="true" outlineLevel="0" collapsed="false">
      <c r="A305" s="46"/>
      <c r="B305" s="47"/>
      <c r="C305" s="47"/>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ustomFormat="false" ht="14.25" hidden="false" customHeight="true" outlineLevel="0" collapsed="false">
      <c r="A306" s="46"/>
      <c r="B306" s="47"/>
      <c r="C306" s="47"/>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ustomFormat="false" ht="14.25" hidden="false" customHeight="true" outlineLevel="0" collapsed="false">
      <c r="A307" s="46"/>
      <c r="B307" s="47"/>
      <c r="C307" s="47"/>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ustomFormat="false" ht="14.25" hidden="false" customHeight="true" outlineLevel="0" collapsed="false">
      <c r="A308" s="46"/>
      <c r="B308" s="47"/>
      <c r="C308" s="47"/>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ustomFormat="false" ht="14.25" hidden="false" customHeight="true" outlineLevel="0" collapsed="false">
      <c r="A309" s="46"/>
      <c r="B309" s="47"/>
      <c r="C309" s="47"/>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ustomFormat="false" ht="14.25" hidden="false" customHeight="true" outlineLevel="0" collapsed="false">
      <c r="A310" s="46"/>
      <c r="B310" s="47"/>
      <c r="C310" s="47"/>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ustomFormat="false" ht="14.25" hidden="false" customHeight="true" outlineLevel="0" collapsed="false">
      <c r="A311" s="46"/>
      <c r="B311" s="47"/>
      <c r="C311" s="47"/>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ustomFormat="false" ht="14.25" hidden="false" customHeight="true" outlineLevel="0" collapsed="false">
      <c r="A312" s="46"/>
      <c r="B312" s="47"/>
      <c r="C312" s="47"/>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ustomFormat="false" ht="14.25" hidden="false" customHeight="true" outlineLevel="0" collapsed="false">
      <c r="A313" s="46"/>
      <c r="B313" s="47"/>
      <c r="C313" s="47"/>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ustomFormat="false" ht="14.25" hidden="false" customHeight="true" outlineLevel="0" collapsed="false">
      <c r="A314" s="46"/>
      <c r="B314" s="47"/>
      <c r="C314" s="47"/>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ustomFormat="false" ht="14.25" hidden="false" customHeight="true" outlineLevel="0" collapsed="false">
      <c r="A315" s="46"/>
      <c r="B315" s="47"/>
      <c r="C315" s="47"/>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ustomFormat="false" ht="14.25" hidden="false" customHeight="true" outlineLevel="0" collapsed="false">
      <c r="A316" s="46"/>
      <c r="B316" s="47"/>
      <c r="C316" s="47"/>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ustomFormat="false" ht="14.25" hidden="false" customHeight="true" outlineLevel="0" collapsed="false">
      <c r="A317" s="46"/>
      <c r="B317" s="47"/>
      <c r="C317" s="47"/>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ustomFormat="false" ht="14.25" hidden="false" customHeight="true" outlineLevel="0" collapsed="false">
      <c r="A318" s="46"/>
      <c r="B318" s="47"/>
      <c r="C318" s="47"/>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ustomFormat="false" ht="14.25" hidden="false" customHeight="true" outlineLevel="0" collapsed="false">
      <c r="A319" s="46"/>
      <c r="B319" s="47"/>
      <c r="C319" s="47"/>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ustomFormat="false" ht="14.25" hidden="false" customHeight="true" outlineLevel="0" collapsed="false">
      <c r="A320" s="46"/>
      <c r="B320" s="47"/>
      <c r="C320" s="47"/>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ustomFormat="false" ht="14.25" hidden="false" customHeight="true" outlineLevel="0" collapsed="false">
      <c r="A321" s="46"/>
      <c r="B321" s="47"/>
      <c r="C321" s="47"/>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ustomFormat="false" ht="14.25" hidden="false" customHeight="true" outlineLevel="0" collapsed="false">
      <c r="A322" s="46"/>
      <c r="B322" s="47"/>
      <c r="C322" s="47"/>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ustomFormat="false" ht="14.25" hidden="false" customHeight="true" outlineLevel="0" collapsed="false">
      <c r="A323" s="46"/>
      <c r="B323" s="47"/>
      <c r="C323" s="47"/>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ustomFormat="false" ht="14.25" hidden="false" customHeight="true" outlineLevel="0" collapsed="false">
      <c r="A324" s="46"/>
      <c r="B324" s="47"/>
      <c r="C324" s="47"/>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ustomFormat="false" ht="14.25" hidden="false" customHeight="true" outlineLevel="0" collapsed="false">
      <c r="A325" s="46"/>
      <c r="B325" s="47"/>
      <c r="C325" s="47"/>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ustomFormat="false" ht="14.25" hidden="false" customHeight="true" outlineLevel="0" collapsed="false">
      <c r="A326" s="46"/>
      <c r="B326" s="47"/>
      <c r="C326" s="47"/>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ustomFormat="false" ht="14.25" hidden="false" customHeight="true" outlineLevel="0" collapsed="false">
      <c r="A327" s="46"/>
      <c r="B327" s="47"/>
      <c r="C327" s="47"/>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ustomFormat="false" ht="14.25" hidden="false" customHeight="true" outlineLevel="0" collapsed="false">
      <c r="A328" s="46"/>
      <c r="B328" s="47"/>
      <c r="C328" s="47"/>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ustomFormat="false" ht="14.25" hidden="false" customHeight="true" outlineLevel="0" collapsed="false">
      <c r="A329" s="46"/>
      <c r="B329" s="47"/>
      <c r="C329" s="47"/>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ustomFormat="false" ht="14.25" hidden="false" customHeight="true" outlineLevel="0" collapsed="false">
      <c r="A330" s="46"/>
      <c r="B330" s="47"/>
      <c r="C330" s="47"/>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ustomFormat="false" ht="14.25" hidden="false" customHeight="true" outlineLevel="0" collapsed="false">
      <c r="A331" s="46"/>
      <c r="B331" s="47"/>
      <c r="C331" s="47"/>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ustomFormat="false" ht="14.25" hidden="false" customHeight="true" outlineLevel="0" collapsed="false">
      <c r="A332" s="46"/>
      <c r="B332" s="47"/>
      <c r="C332" s="47"/>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ustomFormat="false" ht="14.25" hidden="false" customHeight="true" outlineLevel="0" collapsed="false">
      <c r="A333" s="46"/>
      <c r="B333" s="47"/>
      <c r="C333" s="47"/>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ustomFormat="false" ht="14.25" hidden="false" customHeight="true" outlineLevel="0" collapsed="false">
      <c r="A334" s="46"/>
      <c r="B334" s="47"/>
      <c r="C334" s="47"/>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ustomFormat="false" ht="14.25" hidden="false" customHeight="true" outlineLevel="0" collapsed="false">
      <c r="A335" s="46"/>
      <c r="B335" s="47"/>
      <c r="C335" s="47"/>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ustomFormat="false" ht="14.25" hidden="false" customHeight="true" outlineLevel="0" collapsed="false">
      <c r="A336" s="46"/>
      <c r="B336" s="47"/>
      <c r="C336" s="47"/>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ustomFormat="false" ht="14.25" hidden="false" customHeight="true" outlineLevel="0" collapsed="false">
      <c r="A337" s="46"/>
      <c r="B337" s="47"/>
      <c r="C337" s="47"/>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ustomFormat="false" ht="14.25" hidden="false" customHeight="true" outlineLevel="0" collapsed="false">
      <c r="A338" s="46"/>
      <c r="B338" s="47"/>
      <c r="C338" s="47"/>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ustomFormat="false" ht="14.25" hidden="false" customHeight="true" outlineLevel="0" collapsed="false">
      <c r="A339" s="46"/>
      <c r="B339" s="47"/>
      <c r="C339" s="47"/>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ustomFormat="false" ht="14.25" hidden="false" customHeight="true" outlineLevel="0" collapsed="false">
      <c r="A340" s="46"/>
      <c r="B340" s="47"/>
      <c r="C340" s="47"/>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ustomFormat="false" ht="14.25" hidden="false" customHeight="true" outlineLevel="0" collapsed="false">
      <c r="A341" s="46"/>
      <c r="B341" s="47"/>
      <c r="C341" s="47"/>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ustomFormat="false" ht="14.25" hidden="false" customHeight="true" outlineLevel="0" collapsed="false">
      <c r="A342" s="46"/>
      <c r="B342" s="47"/>
      <c r="C342" s="47"/>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ustomFormat="false" ht="14.25" hidden="false" customHeight="true" outlineLevel="0" collapsed="false">
      <c r="A343" s="46"/>
      <c r="B343" s="47"/>
      <c r="C343" s="47"/>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ustomFormat="false" ht="14.25" hidden="false" customHeight="true" outlineLevel="0" collapsed="false">
      <c r="A344" s="46"/>
      <c r="B344" s="47"/>
      <c r="C344" s="47"/>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ustomFormat="false" ht="14.25" hidden="false" customHeight="true" outlineLevel="0" collapsed="false">
      <c r="A345" s="46"/>
      <c r="B345" s="47"/>
      <c r="C345" s="47"/>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ustomFormat="false" ht="14.25" hidden="false" customHeight="true" outlineLevel="0" collapsed="false">
      <c r="A346" s="46"/>
      <c r="B346" s="47"/>
      <c r="C346" s="47"/>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ustomFormat="false" ht="14.25" hidden="false" customHeight="true" outlineLevel="0" collapsed="false">
      <c r="A347" s="46"/>
      <c r="B347" s="47"/>
      <c r="C347" s="47"/>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ustomFormat="false" ht="14.25" hidden="false" customHeight="true" outlineLevel="0" collapsed="false">
      <c r="A348" s="46"/>
      <c r="B348" s="47"/>
      <c r="C348" s="47"/>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ustomFormat="false" ht="14.25" hidden="false" customHeight="true" outlineLevel="0" collapsed="false">
      <c r="A349" s="46"/>
      <c r="B349" s="47"/>
      <c r="C349" s="47"/>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ustomFormat="false" ht="14.25" hidden="false" customHeight="true" outlineLevel="0" collapsed="false">
      <c r="A350" s="46"/>
      <c r="B350" s="47"/>
      <c r="C350" s="47"/>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ustomFormat="false" ht="14.25" hidden="false" customHeight="true" outlineLevel="0" collapsed="false">
      <c r="A351" s="46"/>
      <c r="B351" s="47"/>
      <c r="C351" s="47"/>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ustomFormat="false" ht="14.25" hidden="false" customHeight="true" outlineLevel="0" collapsed="false">
      <c r="A352" s="46"/>
      <c r="B352" s="47"/>
      <c r="C352" s="47"/>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ustomFormat="false" ht="14.25" hidden="false" customHeight="true" outlineLevel="0" collapsed="false">
      <c r="A353" s="46"/>
      <c r="B353" s="47"/>
      <c r="C353" s="47"/>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ustomFormat="false" ht="14.25" hidden="false" customHeight="true" outlineLevel="0" collapsed="false">
      <c r="A354" s="46"/>
      <c r="B354" s="47"/>
      <c r="C354" s="47"/>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ustomFormat="false" ht="14.25" hidden="false" customHeight="true" outlineLevel="0" collapsed="false">
      <c r="A355" s="46"/>
      <c r="B355" s="47"/>
      <c r="C355" s="47"/>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ustomFormat="false" ht="14.25" hidden="false" customHeight="true" outlineLevel="0" collapsed="false">
      <c r="A356" s="46"/>
      <c r="B356" s="47"/>
      <c r="C356" s="47"/>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ustomFormat="false" ht="14.25" hidden="false" customHeight="true" outlineLevel="0" collapsed="false">
      <c r="A357" s="46"/>
      <c r="B357" s="47"/>
      <c r="C357" s="47"/>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ustomFormat="false" ht="14.25" hidden="false" customHeight="true" outlineLevel="0" collapsed="false">
      <c r="A358" s="46"/>
      <c r="B358" s="47"/>
      <c r="C358" s="47"/>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ustomFormat="false" ht="14.25" hidden="false" customHeight="true" outlineLevel="0" collapsed="false">
      <c r="A359" s="46"/>
      <c r="B359" s="47"/>
      <c r="C359" s="47"/>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ustomFormat="false" ht="14.25" hidden="false" customHeight="true" outlineLevel="0" collapsed="false">
      <c r="A360" s="46"/>
      <c r="B360" s="47"/>
      <c r="C360" s="47"/>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ustomFormat="false" ht="14.25" hidden="false" customHeight="true" outlineLevel="0" collapsed="false">
      <c r="A361" s="46"/>
      <c r="B361" s="47"/>
      <c r="C361" s="47"/>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ustomFormat="false" ht="14.25" hidden="false" customHeight="true" outlineLevel="0" collapsed="false">
      <c r="A362" s="46"/>
      <c r="B362" s="47"/>
      <c r="C362" s="47"/>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ustomFormat="false" ht="14.25" hidden="false" customHeight="true" outlineLevel="0" collapsed="false">
      <c r="A363" s="46"/>
      <c r="B363" s="47"/>
      <c r="C363" s="47"/>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ustomFormat="false" ht="14.25" hidden="false" customHeight="true" outlineLevel="0" collapsed="false">
      <c r="A364" s="46"/>
      <c r="B364" s="47"/>
      <c r="C364" s="47"/>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ustomFormat="false" ht="14.25" hidden="false" customHeight="true" outlineLevel="0" collapsed="false">
      <c r="A365" s="46"/>
      <c r="B365" s="47"/>
      <c r="C365" s="47"/>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ustomFormat="false" ht="14.25" hidden="false" customHeight="true" outlineLevel="0" collapsed="false">
      <c r="A366" s="46"/>
      <c r="B366" s="47"/>
      <c r="C366" s="47"/>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ustomFormat="false" ht="14.25" hidden="false" customHeight="true" outlineLevel="0" collapsed="false">
      <c r="A367" s="46"/>
      <c r="B367" s="47"/>
      <c r="C367" s="47"/>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ustomFormat="false" ht="14.25" hidden="false" customHeight="true" outlineLevel="0" collapsed="false">
      <c r="A368" s="46"/>
      <c r="B368" s="47"/>
      <c r="C368" s="47"/>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ustomFormat="false" ht="14.25" hidden="false" customHeight="true" outlineLevel="0" collapsed="false">
      <c r="A369" s="46"/>
      <c r="B369" s="47"/>
      <c r="C369" s="47"/>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ustomFormat="false" ht="14.25" hidden="false" customHeight="true" outlineLevel="0" collapsed="false">
      <c r="A370" s="46"/>
      <c r="B370" s="47"/>
      <c r="C370" s="47"/>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ustomFormat="false" ht="14.25" hidden="false" customHeight="true" outlineLevel="0" collapsed="false">
      <c r="A371" s="46"/>
      <c r="B371" s="47"/>
      <c r="C371" s="47"/>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ustomFormat="false" ht="14.25" hidden="false" customHeight="true" outlineLevel="0" collapsed="false">
      <c r="A372" s="46"/>
      <c r="B372" s="47"/>
      <c r="C372" s="47"/>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ustomFormat="false" ht="14.25" hidden="false" customHeight="true" outlineLevel="0" collapsed="false">
      <c r="A373" s="46"/>
      <c r="B373" s="47"/>
      <c r="C373" s="47"/>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ustomFormat="false" ht="14.25" hidden="false" customHeight="true" outlineLevel="0" collapsed="false">
      <c r="A374" s="46"/>
      <c r="B374" s="47"/>
      <c r="C374" s="47"/>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ustomFormat="false" ht="14.25" hidden="false" customHeight="true" outlineLevel="0" collapsed="false">
      <c r="A375" s="46"/>
      <c r="B375" s="47"/>
      <c r="C375" s="47"/>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ustomFormat="false" ht="14.25" hidden="false" customHeight="true" outlineLevel="0" collapsed="false">
      <c r="A376" s="46"/>
      <c r="B376" s="47"/>
      <c r="C376" s="47"/>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ustomFormat="false" ht="14.25" hidden="false" customHeight="true" outlineLevel="0" collapsed="false">
      <c r="A377" s="46"/>
      <c r="B377" s="47"/>
      <c r="C377" s="47"/>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ustomFormat="false" ht="14.25" hidden="false" customHeight="true" outlineLevel="0" collapsed="false">
      <c r="A378" s="46"/>
      <c r="B378" s="47"/>
      <c r="C378" s="47"/>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ustomFormat="false" ht="14.25" hidden="false" customHeight="true" outlineLevel="0" collapsed="false">
      <c r="A379" s="46"/>
      <c r="B379" s="47"/>
      <c r="C379" s="47"/>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ustomFormat="false" ht="14.25" hidden="false" customHeight="true" outlineLevel="0" collapsed="false">
      <c r="A380" s="46"/>
      <c r="B380" s="47"/>
      <c r="C380" s="47"/>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ustomFormat="false" ht="14.25" hidden="false" customHeight="true" outlineLevel="0" collapsed="false">
      <c r="A381" s="46"/>
      <c r="B381" s="47"/>
      <c r="C381" s="47"/>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ustomFormat="false" ht="14.25" hidden="false" customHeight="true" outlineLevel="0" collapsed="false">
      <c r="A382" s="46"/>
      <c r="B382" s="47"/>
      <c r="C382" s="47"/>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ustomFormat="false" ht="14.25" hidden="false" customHeight="true" outlineLevel="0" collapsed="false">
      <c r="A383" s="46"/>
      <c r="B383" s="47"/>
      <c r="C383" s="47"/>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ustomFormat="false" ht="14.25" hidden="false" customHeight="true" outlineLevel="0" collapsed="false">
      <c r="A384" s="46"/>
      <c r="B384" s="47"/>
      <c r="C384" s="47"/>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ustomFormat="false" ht="14.25" hidden="false" customHeight="true" outlineLevel="0" collapsed="false">
      <c r="A385" s="46"/>
      <c r="B385" s="47"/>
      <c r="C385" s="47"/>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ustomFormat="false" ht="14.25" hidden="false" customHeight="true" outlineLevel="0" collapsed="false">
      <c r="A386" s="46"/>
      <c r="B386" s="47"/>
      <c r="C386" s="47"/>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ustomFormat="false" ht="14.25" hidden="false" customHeight="true" outlineLevel="0" collapsed="false">
      <c r="A387" s="46"/>
      <c r="B387" s="47"/>
      <c r="C387" s="47"/>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ustomFormat="false" ht="14.25" hidden="false" customHeight="true" outlineLevel="0" collapsed="false">
      <c r="A388" s="46"/>
      <c r="B388" s="47"/>
      <c r="C388" s="47"/>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ustomFormat="false" ht="14.25" hidden="false" customHeight="true" outlineLevel="0" collapsed="false">
      <c r="A389" s="46"/>
      <c r="B389" s="47"/>
      <c r="C389" s="47"/>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ustomFormat="false" ht="14.25" hidden="false" customHeight="true" outlineLevel="0" collapsed="false">
      <c r="A390" s="46"/>
      <c r="B390" s="47"/>
      <c r="C390" s="47"/>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ustomFormat="false" ht="14.25" hidden="false" customHeight="true" outlineLevel="0" collapsed="false">
      <c r="A391" s="46"/>
      <c r="B391" s="47"/>
      <c r="C391" s="47"/>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ustomFormat="false" ht="14.25" hidden="false" customHeight="true" outlineLevel="0" collapsed="false">
      <c r="A392" s="46"/>
      <c r="B392" s="47"/>
      <c r="C392" s="47"/>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ustomFormat="false" ht="14.25" hidden="false" customHeight="true" outlineLevel="0" collapsed="false">
      <c r="A393" s="46"/>
      <c r="B393" s="47"/>
      <c r="C393" s="47"/>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ustomFormat="false" ht="14.25" hidden="false" customHeight="true" outlineLevel="0" collapsed="false">
      <c r="A394" s="46"/>
      <c r="B394" s="47"/>
      <c r="C394" s="47"/>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ustomFormat="false" ht="14.25" hidden="false" customHeight="true" outlineLevel="0" collapsed="false">
      <c r="A395" s="46"/>
      <c r="B395" s="47"/>
      <c r="C395" s="47"/>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ustomFormat="false" ht="14.25" hidden="false" customHeight="true" outlineLevel="0" collapsed="false">
      <c r="A396" s="46"/>
      <c r="B396" s="47"/>
      <c r="C396" s="47"/>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ustomFormat="false" ht="14.25" hidden="false" customHeight="true" outlineLevel="0" collapsed="false">
      <c r="A397" s="46"/>
      <c r="B397" s="47"/>
      <c r="C397" s="47"/>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ustomFormat="false" ht="14.25" hidden="false" customHeight="true" outlineLevel="0" collapsed="false">
      <c r="A398" s="46"/>
      <c r="B398" s="47"/>
      <c r="C398" s="47"/>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ustomFormat="false" ht="14.25" hidden="false" customHeight="true" outlineLevel="0" collapsed="false">
      <c r="A399" s="46"/>
      <c r="B399" s="47"/>
      <c r="C399" s="47"/>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ustomFormat="false" ht="14.25" hidden="false" customHeight="true" outlineLevel="0" collapsed="false">
      <c r="A400" s="46"/>
      <c r="B400" s="47"/>
      <c r="C400" s="47"/>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ustomFormat="false" ht="14.25" hidden="false" customHeight="true" outlineLevel="0" collapsed="false">
      <c r="A401" s="46"/>
      <c r="B401" s="47"/>
      <c r="C401" s="47"/>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ustomFormat="false" ht="14.25" hidden="false" customHeight="true" outlineLevel="0" collapsed="false">
      <c r="A402" s="46"/>
      <c r="B402" s="47"/>
      <c r="C402" s="47"/>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ustomFormat="false" ht="14.25" hidden="false" customHeight="true" outlineLevel="0" collapsed="false">
      <c r="A403" s="46"/>
      <c r="B403" s="47"/>
      <c r="C403" s="47"/>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ustomFormat="false" ht="14.25" hidden="false" customHeight="true" outlineLevel="0" collapsed="false">
      <c r="A404" s="46"/>
      <c r="B404" s="47"/>
      <c r="C404" s="47"/>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ustomFormat="false" ht="14.25" hidden="false" customHeight="true" outlineLevel="0" collapsed="false">
      <c r="A405" s="46"/>
      <c r="B405" s="47"/>
      <c r="C405" s="47"/>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ustomFormat="false" ht="14.25" hidden="false" customHeight="true" outlineLevel="0" collapsed="false">
      <c r="A406" s="46"/>
      <c r="B406" s="47"/>
      <c r="C406" s="47"/>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ustomFormat="false" ht="14.25" hidden="false" customHeight="true" outlineLevel="0" collapsed="false">
      <c r="A407" s="46"/>
      <c r="B407" s="47"/>
      <c r="C407" s="47"/>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ustomFormat="false" ht="14.25" hidden="false" customHeight="true" outlineLevel="0" collapsed="false">
      <c r="A408" s="46"/>
      <c r="B408" s="47"/>
      <c r="C408" s="47"/>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ustomFormat="false" ht="14.25" hidden="false" customHeight="true" outlineLevel="0" collapsed="false">
      <c r="A409" s="46"/>
      <c r="B409" s="47"/>
      <c r="C409" s="47"/>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ustomFormat="false" ht="14.25" hidden="false" customHeight="true" outlineLevel="0" collapsed="false">
      <c r="A410" s="46"/>
      <c r="B410" s="47"/>
      <c r="C410" s="47"/>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ustomFormat="false" ht="14.25" hidden="false" customHeight="true" outlineLevel="0" collapsed="false">
      <c r="A411" s="46"/>
      <c r="B411" s="47"/>
      <c r="C411" s="47"/>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ustomFormat="false" ht="14.25" hidden="false" customHeight="true" outlineLevel="0" collapsed="false">
      <c r="A412" s="46"/>
      <c r="B412" s="47"/>
      <c r="C412" s="47"/>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ustomFormat="false" ht="14.25" hidden="false" customHeight="true" outlineLevel="0" collapsed="false">
      <c r="A413" s="46"/>
      <c r="B413" s="47"/>
      <c r="C413" s="47"/>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ustomFormat="false" ht="14.25" hidden="false" customHeight="true" outlineLevel="0" collapsed="false">
      <c r="A414" s="46"/>
      <c r="B414" s="47"/>
      <c r="C414" s="47"/>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ustomFormat="false" ht="14.25" hidden="false" customHeight="true" outlineLevel="0" collapsed="false">
      <c r="A415" s="46"/>
      <c r="B415" s="47"/>
      <c r="C415" s="47"/>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ustomFormat="false" ht="14.25" hidden="false" customHeight="true" outlineLevel="0" collapsed="false">
      <c r="A416" s="46"/>
      <c r="B416" s="47"/>
      <c r="C416" s="47"/>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ustomFormat="false" ht="14.25" hidden="false" customHeight="true" outlineLevel="0" collapsed="false">
      <c r="A417" s="46"/>
      <c r="B417" s="47"/>
      <c r="C417" s="47"/>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ustomFormat="false" ht="14.25" hidden="false" customHeight="true" outlineLevel="0" collapsed="false">
      <c r="A418" s="46"/>
      <c r="B418" s="47"/>
      <c r="C418" s="47"/>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ustomFormat="false" ht="14.25" hidden="false" customHeight="true" outlineLevel="0" collapsed="false">
      <c r="A419" s="46"/>
      <c r="B419" s="47"/>
      <c r="C419" s="47"/>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ustomFormat="false" ht="14.25" hidden="false" customHeight="true" outlineLevel="0" collapsed="false">
      <c r="A420" s="46"/>
      <c r="B420" s="47"/>
      <c r="C420" s="47"/>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ustomFormat="false" ht="14.25" hidden="false" customHeight="true" outlineLevel="0" collapsed="false">
      <c r="A421" s="46"/>
      <c r="B421" s="47"/>
      <c r="C421" s="47"/>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ustomFormat="false" ht="14.25" hidden="false" customHeight="true" outlineLevel="0" collapsed="false">
      <c r="A422" s="46"/>
      <c r="B422" s="47"/>
      <c r="C422" s="47"/>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ustomFormat="false" ht="14.25" hidden="false" customHeight="true" outlineLevel="0" collapsed="false">
      <c r="A423" s="46"/>
      <c r="B423" s="47"/>
      <c r="C423" s="47"/>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ustomFormat="false" ht="14.25" hidden="false" customHeight="true" outlineLevel="0" collapsed="false">
      <c r="A424" s="46"/>
      <c r="B424" s="47"/>
      <c r="C424" s="47"/>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ustomFormat="false" ht="14.25" hidden="false" customHeight="true" outlineLevel="0" collapsed="false">
      <c r="A425" s="46"/>
      <c r="B425" s="47"/>
      <c r="C425" s="47"/>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ustomFormat="false" ht="14.25" hidden="false" customHeight="true" outlineLevel="0" collapsed="false">
      <c r="A426" s="46"/>
      <c r="B426" s="47"/>
      <c r="C426" s="47"/>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ustomFormat="false" ht="14.25" hidden="false" customHeight="true" outlineLevel="0" collapsed="false">
      <c r="A427" s="46"/>
      <c r="B427" s="47"/>
      <c r="C427" s="47"/>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ustomFormat="false" ht="14.25" hidden="false" customHeight="true" outlineLevel="0" collapsed="false">
      <c r="A428" s="46"/>
      <c r="B428" s="47"/>
      <c r="C428" s="47"/>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ustomFormat="false" ht="14.25" hidden="false" customHeight="true" outlineLevel="0" collapsed="false">
      <c r="A429" s="46"/>
      <c r="B429" s="47"/>
      <c r="C429" s="47"/>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ustomFormat="false" ht="14.25" hidden="false" customHeight="true" outlineLevel="0" collapsed="false">
      <c r="A430" s="46"/>
      <c r="B430" s="47"/>
      <c r="C430" s="47"/>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ustomFormat="false" ht="14.25" hidden="false" customHeight="true" outlineLevel="0" collapsed="false">
      <c r="A431" s="46"/>
      <c r="B431" s="47"/>
      <c r="C431" s="47"/>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ustomFormat="false" ht="14.25" hidden="false" customHeight="true" outlineLevel="0" collapsed="false">
      <c r="A432" s="46"/>
      <c r="B432" s="47"/>
      <c r="C432" s="47"/>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ustomFormat="false" ht="14.25" hidden="false" customHeight="true" outlineLevel="0" collapsed="false">
      <c r="A433" s="46"/>
      <c r="B433" s="47"/>
      <c r="C433" s="47"/>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ustomFormat="false" ht="14.25" hidden="false" customHeight="true" outlineLevel="0" collapsed="false">
      <c r="A434" s="46"/>
      <c r="B434" s="47"/>
      <c r="C434" s="47"/>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ustomFormat="false" ht="14.25" hidden="false" customHeight="true" outlineLevel="0" collapsed="false">
      <c r="A435" s="46"/>
      <c r="B435" s="47"/>
      <c r="C435" s="47"/>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ustomFormat="false" ht="14.25" hidden="false" customHeight="true" outlineLevel="0" collapsed="false">
      <c r="A436" s="46"/>
      <c r="B436" s="47"/>
      <c r="C436" s="47"/>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ustomFormat="false" ht="14.25" hidden="false" customHeight="true" outlineLevel="0" collapsed="false">
      <c r="A437" s="46"/>
      <c r="B437" s="47"/>
      <c r="C437" s="47"/>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ustomFormat="false" ht="14.25" hidden="false" customHeight="true" outlineLevel="0" collapsed="false">
      <c r="A438" s="46"/>
      <c r="B438" s="47"/>
      <c r="C438" s="47"/>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ustomFormat="false" ht="14.25" hidden="false" customHeight="true" outlineLevel="0" collapsed="false">
      <c r="A439" s="46"/>
      <c r="B439" s="47"/>
      <c r="C439" s="47"/>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ustomFormat="false" ht="14.25" hidden="false" customHeight="true" outlineLevel="0" collapsed="false">
      <c r="A440" s="46"/>
      <c r="B440" s="47"/>
      <c r="C440" s="47"/>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ustomFormat="false" ht="14.25" hidden="false" customHeight="true" outlineLevel="0" collapsed="false">
      <c r="A441" s="46"/>
      <c r="B441" s="47"/>
      <c r="C441" s="47"/>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ustomFormat="false" ht="14.25" hidden="false" customHeight="true" outlineLevel="0" collapsed="false">
      <c r="A442" s="46"/>
      <c r="B442" s="47"/>
      <c r="C442" s="47"/>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ustomFormat="false" ht="14.25" hidden="false" customHeight="true" outlineLevel="0" collapsed="false">
      <c r="A443" s="46"/>
      <c r="B443" s="47"/>
      <c r="C443" s="47"/>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ustomFormat="false" ht="14.25" hidden="false" customHeight="true" outlineLevel="0" collapsed="false">
      <c r="A444" s="46"/>
      <c r="B444" s="47"/>
      <c r="C444" s="47"/>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ustomFormat="false" ht="14.25" hidden="false" customHeight="true" outlineLevel="0" collapsed="false">
      <c r="A445" s="46"/>
      <c r="B445" s="47"/>
      <c r="C445" s="47"/>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ustomFormat="false" ht="14.25" hidden="false" customHeight="true" outlineLevel="0" collapsed="false">
      <c r="A446" s="46"/>
      <c r="B446" s="47"/>
      <c r="C446" s="47"/>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ustomFormat="false" ht="14.25" hidden="false" customHeight="true" outlineLevel="0" collapsed="false">
      <c r="A447" s="46"/>
      <c r="B447" s="47"/>
      <c r="C447" s="47"/>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ustomFormat="false" ht="14.25" hidden="false" customHeight="true" outlineLevel="0" collapsed="false">
      <c r="A448" s="46"/>
      <c r="B448" s="47"/>
      <c r="C448" s="47"/>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ustomFormat="false" ht="14.25" hidden="false" customHeight="true" outlineLevel="0" collapsed="false">
      <c r="A449" s="46"/>
      <c r="B449" s="47"/>
      <c r="C449" s="47"/>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ustomFormat="false" ht="14.25" hidden="false" customHeight="true" outlineLevel="0" collapsed="false">
      <c r="A450" s="46"/>
      <c r="B450" s="47"/>
      <c r="C450" s="47"/>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ustomFormat="false" ht="14.25" hidden="false" customHeight="true" outlineLevel="0" collapsed="false">
      <c r="A451" s="46"/>
      <c r="B451" s="47"/>
      <c r="C451" s="47"/>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ustomFormat="false" ht="14.25" hidden="false" customHeight="true" outlineLevel="0" collapsed="false">
      <c r="A452" s="46"/>
      <c r="B452" s="47"/>
      <c r="C452" s="47"/>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ustomFormat="false" ht="14.25" hidden="false" customHeight="true" outlineLevel="0" collapsed="false">
      <c r="A453" s="46"/>
      <c r="B453" s="47"/>
      <c r="C453" s="47"/>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ustomFormat="false" ht="14.25" hidden="false" customHeight="true" outlineLevel="0" collapsed="false">
      <c r="A454" s="46"/>
      <c r="B454" s="47"/>
      <c r="C454" s="47"/>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ustomFormat="false" ht="14.25" hidden="false" customHeight="true" outlineLevel="0" collapsed="false">
      <c r="A455" s="46"/>
      <c r="B455" s="47"/>
      <c r="C455" s="47"/>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ustomFormat="false" ht="14.25" hidden="false" customHeight="true" outlineLevel="0" collapsed="false">
      <c r="A456" s="46"/>
      <c r="B456" s="47"/>
      <c r="C456" s="47"/>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ustomFormat="false" ht="14.25" hidden="false" customHeight="true" outlineLevel="0" collapsed="false">
      <c r="A457" s="46"/>
      <c r="B457" s="47"/>
      <c r="C457" s="47"/>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ustomFormat="false" ht="14.25" hidden="false" customHeight="true" outlineLevel="0" collapsed="false">
      <c r="A458" s="46"/>
      <c r="B458" s="47"/>
      <c r="C458" s="47"/>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ustomFormat="false" ht="14.25" hidden="false" customHeight="true" outlineLevel="0" collapsed="false">
      <c r="A459" s="46"/>
      <c r="B459" s="47"/>
      <c r="C459" s="47"/>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ustomFormat="false" ht="14.25" hidden="false" customHeight="true" outlineLevel="0" collapsed="false">
      <c r="A460" s="46"/>
      <c r="B460" s="47"/>
      <c r="C460" s="47"/>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ustomFormat="false" ht="14.25" hidden="false" customHeight="true" outlineLevel="0" collapsed="false">
      <c r="A461" s="46"/>
      <c r="B461" s="47"/>
      <c r="C461" s="47"/>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ustomFormat="false" ht="14.25" hidden="false" customHeight="true" outlineLevel="0" collapsed="false">
      <c r="A462" s="46"/>
      <c r="B462" s="47"/>
      <c r="C462" s="47"/>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ustomFormat="false" ht="14.25" hidden="false" customHeight="true" outlineLevel="0" collapsed="false">
      <c r="A463" s="46"/>
      <c r="B463" s="47"/>
      <c r="C463" s="47"/>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ustomFormat="false" ht="14.25" hidden="false" customHeight="true" outlineLevel="0" collapsed="false">
      <c r="A464" s="46"/>
      <c r="B464" s="47"/>
      <c r="C464" s="47"/>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ustomFormat="false" ht="14.25" hidden="false" customHeight="true" outlineLevel="0" collapsed="false">
      <c r="A465" s="46"/>
      <c r="B465" s="47"/>
      <c r="C465" s="47"/>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ustomFormat="false" ht="14.25" hidden="false" customHeight="true" outlineLevel="0" collapsed="false">
      <c r="A466" s="46"/>
      <c r="B466" s="47"/>
      <c r="C466" s="47"/>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ustomFormat="false" ht="14.25" hidden="false" customHeight="true" outlineLevel="0" collapsed="false">
      <c r="A467" s="46"/>
      <c r="B467" s="47"/>
      <c r="C467" s="47"/>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ustomFormat="false" ht="14.25" hidden="false" customHeight="true" outlineLevel="0" collapsed="false">
      <c r="A468" s="46"/>
      <c r="B468" s="47"/>
      <c r="C468" s="47"/>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ustomFormat="false" ht="14.25" hidden="false" customHeight="true" outlineLevel="0" collapsed="false">
      <c r="A469" s="46"/>
      <c r="B469" s="47"/>
      <c r="C469" s="47"/>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ustomFormat="false" ht="14.25" hidden="false" customHeight="true" outlineLevel="0" collapsed="false">
      <c r="A470" s="46"/>
      <c r="B470" s="47"/>
      <c r="C470" s="47"/>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ustomFormat="false" ht="14.25" hidden="false" customHeight="true" outlineLevel="0" collapsed="false">
      <c r="A471" s="46"/>
      <c r="B471" s="47"/>
      <c r="C471" s="47"/>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ustomFormat="false" ht="14.25" hidden="false" customHeight="true" outlineLevel="0" collapsed="false">
      <c r="A472" s="46"/>
      <c r="B472" s="47"/>
      <c r="C472" s="47"/>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ustomFormat="false" ht="14.25" hidden="false" customHeight="true" outlineLevel="0" collapsed="false">
      <c r="A473" s="46"/>
      <c r="B473" s="47"/>
      <c r="C473" s="47"/>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ustomFormat="false" ht="14.25" hidden="false" customHeight="true" outlineLevel="0" collapsed="false">
      <c r="A474" s="46"/>
      <c r="B474" s="47"/>
      <c r="C474" s="47"/>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ustomFormat="false" ht="14.25" hidden="false" customHeight="true" outlineLevel="0" collapsed="false">
      <c r="A475" s="46"/>
      <c r="B475" s="47"/>
      <c r="C475" s="47"/>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ustomFormat="false" ht="14.25" hidden="false" customHeight="true" outlineLevel="0" collapsed="false">
      <c r="A476" s="46"/>
      <c r="B476" s="47"/>
      <c r="C476" s="47"/>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ustomFormat="false" ht="14.25" hidden="false" customHeight="true" outlineLevel="0" collapsed="false">
      <c r="A477" s="46"/>
      <c r="B477" s="47"/>
      <c r="C477" s="47"/>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ustomFormat="false" ht="14.25" hidden="false" customHeight="true" outlineLevel="0" collapsed="false">
      <c r="A478" s="46"/>
      <c r="B478" s="47"/>
      <c r="C478" s="47"/>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ustomFormat="false" ht="14.25" hidden="false" customHeight="true" outlineLevel="0" collapsed="false">
      <c r="A479" s="46"/>
      <c r="B479" s="47"/>
      <c r="C479" s="47"/>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ustomFormat="false" ht="14.25" hidden="false" customHeight="true" outlineLevel="0" collapsed="false">
      <c r="A480" s="46"/>
      <c r="B480" s="47"/>
      <c r="C480" s="47"/>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ustomFormat="false" ht="14.25" hidden="false" customHeight="true" outlineLevel="0" collapsed="false">
      <c r="A481" s="46"/>
      <c r="B481" s="47"/>
      <c r="C481" s="47"/>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ustomFormat="false" ht="14.25" hidden="false" customHeight="true" outlineLevel="0" collapsed="false">
      <c r="A482" s="46"/>
      <c r="B482" s="47"/>
      <c r="C482" s="47"/>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ustomFormat="false" ht="14.25" hidden="false" customHeight="true" outlineLevel="0" collapsed="false">
      <c r="A483" s="46"/>
      <c r="B483" s="47"/>
      <c r="C483" s="47"/>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ustomFormat="false" ht="14.25" hidden="false" customHeight="true" outlineLevel="0" collapsed="false">
      <c r="A484" s="46"/>
      <c r="B484" s="47"/>
      <c r="C484" s="47"/>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ustomFormat="false" ht="14.25" hidden="false" customHeight="true" outlineLevel="0" collapsed="false">
      <c r="A485" s="46"/>
      <c r="B485" s="47"/>
      <c r="C485" s="47"/>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ustomFormat="false" ht="14.25" hidden="false" customHeight="true" outlineLevel="0" collapsed="false">
      <c r="A486" s="46"/>
      <c r="B486" s="47"/>
      <c r="C486" s="47"/>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ustomFormat="false" ht="14.25" hidden="false" customHeight="true" outlineLevel="0" collapsed="false">
      <c r="A487" s="46"/>
      <c r="B487" s="47"/>
      <c r="C487" s="47"/>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ustomFormat="false" ht="14.25" hidden="false" customHeight="true" outlineLevel="0" collapsed="false">
      <c r="A488" s="46"/>
      <c r="B488" s="47"/>
      <c r="C488" s="47"/>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ustomFormat="false" ht="14.25" hidden="false" customHeight="true" outlineLevel="0" collapsed="false">
      <c r="A489" s="46"/>
      <c r="B489" s="47"/>
      <c r="C489" s="47"/>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ustomFormat="false" ht="14.25" hidden="false" customHeight="true" outlineLevel="0" collapsed="false">
      <c r="A490" s="46"/>
      <c r="B490" s="47"/>
      <c r="C490" s="47"/>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ustomFormat="false" ht="14.25" hidden="false" customHeight="true" outlineLevel="0" collapsed="false">
      <c r="A491" s="46"/>
      <c r="B491" s="47"/>
      <c r="C491" s="47"/>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ustomFormat="false" ht="14.25" hidden="false" customHeight="true" outlineLevel="0" collapsed="false">
      <c r="A492" s="46"/>
      <c r="B492" s="47"/>
      <c r="C492" s="47"/>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ustomFormat="false" ht="14.25" hidden="false" customHeight="true" outlineLevel="0" collapsed="false">
      <c r="A493" s="46"/>
      <c r="B493" s="47"/>
      <c r="C493" s="47"/>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ustomFormat="false" ht="14.25" hidden="false" customHeight="true" outlineLevel="0" collapsed="false">
      <c r="A494" s="46"/>
      <c r="B494" s="47"/>
      <c r="C494" s="47"/>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ustomFormat="false" ht="14.25" hidden="false" customHeight="true" outlineLevel="0" collapsed="false">
      <c r="A495" s="46"/>
      <c r="B495" s="47"/>
      <c r="C495" s="47"/>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ustomFormat="false" ht="14.25" hidden="false" customHeight="true" outlineLevel="0" collapsed="false">
      <c r="A496" s="46"/>
      <c r="B496" s="47"/>
      <c r="C496" s="47"/>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ustomFormat="false" ht="14.25" hidden="false" customHeight="true" outlineLevel="0" collapsed="false">
      <c r="A497" s="46"/>
      <c r="B497" s="47"/>
      <c r="C497" s="47"/>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ustomFormat="false" ht="14.25" hidden="false" customHeight="true" outlineLevel="0" collapsed="false">
      <c r="A498" s="46"/>
      <c r="B498" s="47"/>
      <c r="C498" s="47"/>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ustomFormat="false" ht="14.25" hidden="false" customHeight="true" outlineLevel="0" collapsed="false">
      <c r="A499" s="46"/>
      <c r="B499" s="47"/>
      <c r="C499" s="47"/>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ustomFormat="false" ht="14.25" hidden="false" customHeight="true" outlineLevel="0" collapsed="false">
      <c r="A500" s="46"/>
      <c r="B500" s="47"/>
      <c r="C500" s="47"/>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ustomFormat="false" ht="14.25" hidden="false" customHeight="true" outlineLevel="0" collapsed="false">
      <c r="A501" s="46"/>
      <c r="B501" s="47"/>
      <c r="C501" s="47"/>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ustomFormat="false" ht="14.25" hidden="false" customHeight="true" outlineLevel="0" collapsed="false">
      <c r="A502" s="46"/>
      <c r="B502" s="47"/>
      <c r="C502" s="47"/>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ustomFormat="false" ht="14.25" hidden="false" customHeight="true" outlineLevel="0" collapsed="false">
      <c r="A503" s="46"/>
      <c r="B503" s="47"/>
      <c r="C503" s="47"/>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ustomFormat="false" ht="14.25" hidden="false" customHeight="true" outlineLevel="0" collapsed="false">
      <c r="A504" s="46"/>
      <c r="B504" s="47"/>
      <c r="C504" s="47"/>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ustomFormat="false" ht="14.25" hidden="false" customHeight="true" outlineLevel="0" collapsed="false">
      <c r="A505" s="46"/>
      <c r="B505" s="47"/>
      <c r="C505" s="47"/>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ustomFormat="false" ht="14.25" hidden="false" customHeight="true" outlineLevel="0" collapsed="false">
      <c r="A506" s="46"/>
      <c r="B506" s="47"/>
      <c r="C506" s="47"/>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ustomFormat="false" ht="14.25" hidden="false" customHeight="true" outlineLevel="0" collapsed="false">
      <c r="A507" s="46"/>
      <c r="B507" s="47"/>
      <c r="C507" s="47"/>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ustomFormat="false" ht="14.25" hidden="false" customHeight="true" outlineLevel="0" collapsed="false">
      <c r="A508" s="46"/>
      <c r="B508" s="47"/>
      <c r="C508" s="47"/>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ustomFormat="false" ht="14.25" hidden="false" customHeight="true" outlineLevel="0" collapsed="false">
      <c r="A509" s="46"/>
      <c r="B509" s="47"/>
      <c r="C509" s="47"/>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ustomFormat="false" ht="14.25" hidden="false" customHeight="true" outlineLevel="0" collapsed="false">
      <c r="A510" s="46"/>
      <c r="B510" s="47"/>
      <c r="C510" s="47"/>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ustomFormat="false" ht="14.25" hidden="false" customHeight="true" outlineLevel="0" collapsed="false">
      <c r="A511" s="46"/>
      <c r="B511" s="47"/>
      <c r="C511" s="47"/>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ustomFormat="false" ht="14.25" hidden="false" customHeight="true" outlineLevel="0" collapsed="false">
      <c r="A512" s="46"/>
      <c r="B512" s="47"/>
      <c r="C512" s="47"/>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ustomFormat="false" ht="14.25" hidden="false" customHeight="true" outlineLevel="0" collapsed="false">
      <c r="A513" s="46"/>
      <c r="B513" s="47"/>
      <c r="C513" s="47"/>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ustomFormat="false" ht="14.25" hidden="false" customHeight="true" outlineLevel="0" collapsed="false">
      <c r="A514" s="46"/>
      <c r="B514" s="47"/>
      <c r="C514" s="47"/>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ustomFormat="false" ht="14.25" hidden="false" customHeight="true" outlineLevel="0" collapsed="false">
      <c r="A515" s="46"/>
      <c r="B515" s="47"/>
      <c r="C515" s="47"/>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ustomFormat="false" ht="14.25" hidden="false" customHeight="true" outlineLevel="0" collapsed="false">
      <c r="A516" s="46"/>
      <c r="B516" s="47"/>
      <c r="C516" s="47"/>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ustomFormat="false" ht="14.25" hidden="false" customHeight="true" outlineLevel="0" collapsed="false">
      <c r="A517" s="46"/>
      <c r="B517" s="47"/>
      <c r="C517" s="47"/>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ustomFormat="false" ht="14.25" hidden="false" customHeight="true" outlineLevel="0" collapsed="false">
      <c r="A518" s="46"/>
      <c r="B518" s="47"/>
      <c r="C518" s="47"/>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ustomFormat="false" ht="14.25" hidden="false" customHeight="true" outlineLevel="0" collapsed="false">
      <c r="A519" s="46"/>
      <c r="B519" s="47"/>
      <c r="C519" s="47"/>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ustomFormat="false" ht="14.25" hidden="false" customHeight="true" outlineLevel="0" collapsed="false">
      <c r="A520" s="46"/>
      <c r="B520" s="47"/>
      <c r="C520" s="47"/>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ustomFormat="false" ht="14.25" hidden="false" customHeight="true" outlineLevel="0" collapsed="false">
      <c r="A521" s="46"/>
      <c r="B521" s="47"/>
      <c r="C521" s="47"/>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ustomFormat="false" ht="14.25" hidden="false" customHeight="true" outlineLevel="0" collapsed="false">
      <c r="A522" s="46"/>
      <c r="B522" s="47"/>
      <c r="C522" s="47"/>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ustomFormat="false" ht="14.25" hidden="false" customHeight="true" outlineLevel="0" collapsed="false">
      <c r="A523" s="46"/>
      <c r="B523" s="47"/>
      <c r="C523" s="47"/>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ustomFormat="false" ht="14.25" hidden="false" customHeight="true" outlineLevel="0" collapsed="false">
      <c r="A524" s="46"/>
      <c r="B524" s="47"/>
      <c r="C524" s="47"/>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ustomFormat="false" ht="14.25" hidden="false" customHeight="true" outlineLevel="0" collapsed="false">
      <c r="A525" s="46"/>
      <c r="B525" s="47"/>
      <c r="C525" s="47"/>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ustomFormat="false" ht="14.25" hidden="false" customHeight="true" outlineLevel="0" collapsed="false">
      <c r="A526" s="46"/>
      <c r="B526" s="47"/>
      <c r="C526" s="47"/>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ustomFormat="false" ht="14.25" hidden="false" customHeight="true" outlineLevel="0" collapsed="false">
      <c r="A527" s="46"/>
      <c r="B527" s="47"/>
      <c r="C527" s="47"/>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ustomFormat="false" ht="14.25" hidden="false" customHeight="true" outlineLevel="0" collapsed="false">
      <c r="A528" s="46"/>
      <c r="B528" s="47"/>
      <c r="C528" s="47"/>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ustomFormat="false" ht="14.25" hidden="false" customHeight="true" outlineLevel="0" collapsed="false">
      <c r="A529" s="46"/>
      <c r="B529" s="47"/>
      <c r="C529" s="47"/>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ustomFormat="false" ht="14.25" hidden="false" customHeight="true" outlineLevel="0" collapsed="false">
      <c r="A530" s="46"/>
      <c r="B530" s="47"/>
      <c r="C530" s="47"/>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ustomFormat="false" ht="14.25" hidden="false" customHeight="true" outlineLevel="0" collapsed="false">
      <c r="A531" s="46"/>
      <c r="B531" s="47"/>
      <c r="C531" s="47"/>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ustomFormat="false" ht="14.25" hidden="false" customHeight="true" outlineLevel="0" collapsed="false">
      <c r="A532" s="46"/>
      <c r="B532" s="47"/>
      <c r="C532" s="47"/>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ustomFormat="false" ht="14.25" hidden="false" customHeight="true" outlineLevel="0" collapsed="false">
      <c r="A533" s="46"/>
      <c r="B533" s="47"/>
      <c r="C533" s="47"/>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ustomFormat="false" ht="14.25" hidden="false" customHeight="true" outlineLevel="0" collapsed="false">
      <c r="A534" s="46"/>
      <c r="B534" s="47"/>
      <c r="C534" s="47"/>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ustomFormat="false" ht="14.25" hidden="false" customHeight="true" outlineLevel="0" collapsed="false">
      <c r="A535" s="46"/>
      <c r="B535" s="47"/>
      <c r="C535" s="47"/>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ustomFormat="false" ht="14.25" hidden="false" customHeight="true" outlineLevel="0" collapsed="false">
      <c r="A536" s="46"/>
      <c r="B536" s="47"/>
      <c r="C536" s="47"/>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ustomFormat="false" ht="14.25" hidden="false" customHeight="true" outlineLevel="0" collapsed="false">
      <c r="A537" s="46"/>
      <c r="B537" s="47"/>
      <c r="C537" s="47"/>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ustomFormat="false" ht="14.25" hidden="false" customHeight="true" outlineLevel="0" collapsed="false">
      <c r="A538" s="46"/>
      <c r="B538" s="47"/>
      <c r="C538" s="47"/>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ustomFormat="false" ht="14.25" hidden="false" customHeight="true" outlineLevel="0" collapsed="false">
      <c r="A539" s="46"/>
      <c r="B539" s="47"/>
      <c r="C539" s="47"/>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ustomFormat="false" ht="14.25" hidden="false" customHeight="true" outlineLevel="0" collapsed="false">
      <c r="A540" s="46"/>
      <c r="B540" s="47"/>
      <c r="C540" s="47"/>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ustomFormat="false" ht="14.25" hidden="false" customHeight="true" outlineLevel="0" collapsed="false">
      <c r="A541" s="46"/>
      <c r="B541" s="47"/>
      <c r="C541" s="47"/>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ustomFormat="false" ht="14.25" hidden="false" customHeight="true" outlineLevel="0" collapsed="false">
      <c r="A542" s="46"/>
      <c r="B542" s="47"/>
      <c r="C542" s="47"/>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ustomFormat="false" ht="14.25" hidden="false" customHeight="true" outlineLevel="0" collapsed="false">
      <c r="A543" s="46"/>
      <c r="B543" s="47"/>
      <c r="C543" s="47"/>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ustomFormat="false" ht="14.25" hidden="false" customHeight="true" outlineLevel="0" collapsed="false">
      <c r="A544" s="46"/>
      <c r="B544" s="47"/>
      <c r="C544" s="47"/>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ustomFormat="false" ht="14.25" hidden="false" customHeight="true" outlineLevel="0" collapsed="false">
      <c r="A545" s="46"/>
      <c r="B545" s="47"/>
      <c r="C545" s="47"/>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ustomFormat="false" ht="14.25" hidden="false" customHeight="true" outlineLevel="0" collapsed="false">
      <c r="A546" s="46"/>
      <c r="B546" s="47"/>
      <c r="C546" s="47"/>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ustomFormat="false" ht="14.25" hidden="false" customHeight="true" outlineLevel="0" collapsed="false">
      <c r="A547" s="46"/>
      <c r="B547" s="47"/>
      <c r="C547" s="47"/>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ustomFormat="false" ht="14.25" hidden="false" customHeight="true" outlineLevel="0" collapsed="false">
      <c r="A548" s="46"/>
      <c r="B548" s="47"/>
      <c r="C548" s="47"/>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ustomFormat="false" ht="14.25" hidden="false" customHeight="true" outlineLevel="0" collapsed="false">
      <c r="A549" s="46"/>
      <c r="B549" s="47"/>
      <c r="C549" s="47"/>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ustomFormat="false" ht="14.25" hidden="false" customHeight="true" outlineLevel="0" collapsed="false">
      <c r="A550" s="46"/>
      <c r="B550" s="47"/>
      <c r="C550" s="47"/>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ustomFormat="false" ht="14.25" hidden="false" customHeight="true" outlineLevel="0" collapsed="false">
      <c r="A551" s="46"/>
      <c r="B551" s="47"/>
      <c r="C551" s="47"/>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ustomFormat="false" ht="14.25" hidden="false" customHeight="true" outlineLevel="0" collapsed="false">
      <c r="A552" s="46"/>
      <c r="B552" s="47"/>
      <c r="C552" s="47"/>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ustomFormat="false" ht="14.25" hidden="false" customHeight="true" outlineLevel="0" collapsed="false">
      <c r="A553" s="46"/>
      <c r="B553" s="47"/>
      <c r="C553" s="47"/>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ustomFormat="false" ht="14.25" hidden="false" customHeight="true" outlineLevel="0" collapsed="false">
      <c r="A554" s="46"/>
      <c r="B554" s="47"/>
      <c r="C554" s="47"/>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ustomFormat="false" ht="14.25" hidden="false" customHeight="true" outlineLevel="0" collapsed="false">
      <c r="A555" s="46"/>
      <c r="B555" s="47"/>
      <c r="C555" s="47"/>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ustomFormat="false" ht="14.25" hidden="false" customHeight="true" outlineLevel="0" collapsed="false">
      <c r="A556" s="46"/>
      <c r="B556" s="47"/>
      <c r="C556" s="47"/>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ustomFormat="false" ht="14.25" hidden="false" customHeight="true" outlineLevel="0" collapsed="false">
      <c r="A557" s="46"/>
      <c r="B557" s="47"/>
      <c r="C557" s="47"/>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ustomFormat="false" ht="14.25" hidden="false" customHeight="true" outlineLevel="0" collapsed="false">
      <c r="A558" s="46"/>
      <c r="B558" s="47"/>
      <c r="C558" s="47"/>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ustomFormat="false" ht="14.25" hidden="false" customHeight="true" outlineLevel="0" collapsed="false">
      <c r="A559" s="46"/>
      <c r="B559" s="47"/>
      <c r="C559" s="47"/>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ustomFormat="false" ht="14.25" hidden="false" customHeight="true" outlineLevel="0" collapsed="false">
      <c r="A560" s="46"/>
      <c r="B560" s="47"/>
      <c r="C560" s="47"/>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ustomFormat="false" ht="14.25" hidden="false" customHeight="true" outlineLevel="0" collapsed="false">
      <c r="A561" s="46"/>
      <c r="B561" s="47"/>
      <c r="C561" s="47"/>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ustomFormat="false" ht="14.25" hidden="false" customHeight="true" outlineLevel="0" collapsed="false">
      <c r="A562" s="46"/>
      <c r="B562" s="47"/>
      <c r="C562" s="47"/>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ustomFormat="false" ht="14.25" hidden="false" customHeight="true" outlineLevel="0" collapsed="false">
      <c r="A563" s="46"/>
      <c r="B563" s="47"/>
      <c r="C563" s="47"/>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ustomFormat="false" ht="14.25" hidden="false" customHeight="true" outlineLevel="0" collapsed="false">
      <c r="A564" s="46"/>
      <c r="B564" s="47"/>
      <c r="C564" s="47"/>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ustomFormat="false" ht="14.25" hidden="false" customHeight="true" outlineLevel="0" collapsed="false">
      <c r="A565" s="46"/>
      <c r="B565" s="47"/>
      <c r="C565" s="47"/>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ustomFormat="false" ht="14.25" hidden="false" customHeight="true" outlineLevel="0" collapsed="false">
      <c r="A566" s="46"/>
      <c r="B566" s="47"/>
      <c r="C566" s="47"/>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ustomFormat="false" ht="14.25" hidden="false" customHeight="true" outlineLevel="0" collapsed="false">
      <c r="A567" s="46"/>
      <c r="B567" s="47"/>
      <c r="C567" s="47"/>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ustomFormat="false" ht="14.25" hidden="false" customHeight="true" outlineLevel="0" collapsed="false">
      <c r="A568" s="46"/>
      <c r="B568" s="47"/>
      <c r="C568" s="47"/>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ustomFormat="false" ht="14.25" hidden="false" customHeight="true" outlineLevel="0" collapsed="false">
      <c r="A569" s="46"/>
      <c r="B569" s="47"/>
      <c r="C569" s="47"/>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ustomFormat="false" ht="14.25" hidden="false" customHeight="true" outlineLevel="0" collapsed="false">
      <c r="A570" s="46"/>
      <c r="B570" s="47"/>
      <c r="C570" s="47"/>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ustomFormat="false" ht="14.25" hidden="false" customHeight="true" outlineLevel="0" collapsed="false">
      <c r="A571" s="46"/>
      <c r="B571" s="47"/>
      <c r="C571" s="47"/>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ustomFormat="false" ht="14.25" hidden="false" customHeight="true" outlineLevel="0" collapsed="false">
      <c r="A572" s="46"/>
      <c r="B572" s="47"/>
      <c r="C572" s="47"/>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ustomFormat="false" ht="14.25" hidden="false" customHeight="true" outlineLevel="0" collapsed="false">
      <c r="A573" s="46"/>
      <c r="B573" s="47"/>
      <c r="C573" s="47"/>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ustomFormat="false" ht="14.25" hidden="false" customHeight="true" outlineLevel="0" collapsed="false">
      <c r="A574" s="46"/>
      <c r="B574" s="47"/>
      <c r="C574" s="47"/>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ustomFormat="false" ht="14.25" hidden="false" customHeight="true" outlineLevel="0" collapsed="false">
      <c r="A575" s="46"/>
      <c r="B575" s="47"/>
      <c r="C575" s="47"/>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ustomFormat="false" ht="14.25" hidden="false" customHeight="true" outlineLevel="0" collapsed="false">
      <c r="A576" s="46"/>
      <c r="B576" s="47"/>
      <c r="C576" s="47"/>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ustomFormat="false" ht="14.25" hidden="false" customHeight="true" outlineLevel="0" collapsed="false">
      <c r="A577" s="46"/>
      <c r="B577" s="47"/>
      <c r="C577" s="47"/>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ustomFormat="false" ht="14.25" hidden="false" customHeight="true" outlineLevel="0" collapsed="false">
      <c r="A578" s="46"/>
      <c r="B578" s="47"/>
      <c r="C578" s="47"/>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ustomFormat="false" ht="14.25" hidden="false" customHeight="true" outlineLevel="0" collapsed="false">
      <c r="A579" s="46"/>
      <c r="B579" s="47"/>
      <c r="C579" s="47"/>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ustomFormat="false" ht="14.25" hidden="false" customHeight="true" outlineLevel="0" collapsed="false">
      <c r="A580" s="46"/>
      <c r="B580" s="47"/>
      <c r="C580" s="47"/>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ustomFormat="false" ht="14.25" hidden="false" customHeight="true" outlineLevel="0" collapsed="false">
      <c r="A581" s="46"/>
      <c r="B581" s="47"/>
      <c r="C581" s="47"/>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ustomFormat="false" ht="14.25" hidden="false" customHeight="true" outlineLevel="0" collapsed="false">
      <c r="A582" s="46"/>
      <c r="B582" s="47"/>
      <c r="C582" s="47"/>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ustomFormat="false" ht="14.25" hidden="false" customHeight="true" outlineLevel="0" collapsed="false">
      <c r="A583" s="46"/>
      <c r="B583" s="47"/>
      <c r="C583" s="47"/>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ustomFormat="false" ht="14.25" hidden="false" customHeight="true" outlineLevel="0" collapsed="false">
      <c r="A584" s="46"/>
      <c r="B584" s="47"/>
      <c r="C584" s="47"/>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ustomFormat="false" ht="14.25" hidden="false" customHeight="true" outlineLevel="0" collapsed="false">
      <c r="A585" s="46"/>
      <c r="B585" s="47"/>
      <c r="C585" s="47"/>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ustomFormat="false" ht="14.25" hidden="false" customHeight="true" outlineLevel="0" collapsed="false">
      <c r="A586" s="46"/>
      <c r="B586" s="47"/>
      <c r="C586" s="47"/>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ustomFormat="false" ht="14.25" hidden="false" customHeight="true" outlineLevel="0" collapsed="false">
      <c r="A587" s="46"/>
      <c r="B587" s="47"/>
      <c r="C587" s="47"/>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ustomFormat="false" ht="14.25" hidden="false" customHeight="true" outlineLevel="0" collapsed="false">
      <c r="A588" s="46"/>
      <c r="B588" s="47"/>
      <c r="C588" s="47"/>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ustomFormat="false" ht="14.25" hidden="false" customHeight="true" outlineLevel="0" collapsed="false">
      <c r="A589" s="46"/>
      <c r="B589" s="47"/>
      <c r="C589" s="47"/>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ustomFormat="false" ht="14.25" hidden="false" customHeight="true" outlineLevel="0" collapsed="false">
      <c r="A590" s="46"/>
      <c r="B590" s="47"/>
      <c r="C590" s="47"/>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ustomFormat="false" ht="14.25" hidden="false" customHeight="true" outlineLevel="0" collapsed="false">
      <c r="A591" s="46"/>
      <c r="B591" s="47"/>
      <c r="C591" s="47"/>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ustomFormat="false" ht="14.25" hidden="false" customHeight="true" outlineLevel="0" collapsed="false">
      <c r="A592" s="46"/>
      <c r="B592" s="47"/>
      <c r="C592" s="47"/>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ustomFormat="false" ht="14.25" hidden="false" customHeight="true" outlineLevel="0" collapsed="false">
      <c r="A593" s="46"/>
      <c r="B593" s="47"/>
      <c r="C593" s="47"/>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ustomFormat="false" ht="14.25" hidden="false" customHeight="true" outlineLevel="0" collapsed="false">
      <c r="A594" s="46"/>
      <c r="B594" s="47"/>
      <c r="C594" s="47"/>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ustomFormat="false" ht="14.25" hidden="false" customHeight="true" outlineLevel="0" collapsed="false">
      <c r="A595" s="46"/>
      <c r="B595" s="47"/>
      <c r="C595" s="47"/>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ustomFormat="false" ht="14.25" hidden="false" customHeight="true" outlineLevel="0" collapsed="false">
      <c r="A596" s="46"/>
      <c r="B596" s="47"/>
      <c r="C596" s="47"/>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ustomFormat="false" ht="14.25" hidden="false" customHeight="true" outlineLevel="0" collapsed="false">
      <c r="A597" s="46"/>
      <c r="B597" s="47"/>
      <c r="C597" s="47"/>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ustomFormat="false" ht="14.25" hidden="false" customHeight="true" outlineLevel="0" collapsed="false">
      <c r="A598" s="46"/>
      <c r="B598" s="47"/>
      <c r="C598" s="47"/>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ustomFormat="false" ht="14.25" hidden="false" customHeight="true" outlineLevel="0" collapsed="false">
      <c r="A599" s="46"/>
      <c r="B599" s="47"/>
      <c r="C599" s="47"/>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ustomFormat="false" ht="14.25" hidden="false" customHeight="true" outlineLevel="0" collapsed="false">
      <c r="A600" s="46"/>
      <c r="B600" s="47"/>
      <c r="C600" s="47"/>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ustomFormat="false" ht="14.25" hidden="false" customHeight="true" outlineLevel="0" collapsed="false">
      <c r="A601" s="46"/>
      <c r="B601" s="47"/>
      <c r="C601" s="47"/>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ustomFormat="false" ht="14.25" hidden="false" customHeight="true" outlineLevel="0" collapsed="false">
      <c r="A602" s="46"/>
      <c r="B602" s="47"/>
      <c r="C602" s="47"/>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ustomFormat="false" ht="14.25" hidden="false" customHeight="true" outlineLevel="0" collapsed="false">
      <c r="A603" s="46"/>
      <c r="B603" s="47"/>
      <c r="C603" s="47"/>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ustomFormat="false" ht="14.25" hidden="false" customHeight="true" outlineLevel="0" collapsed="false">
      <c r="A604" s="46"/>
      <c r="B604" s="47"/>
      <c r="C604" s="47"/>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ustomFormat="false" ht="14.25" hidden="false" customHeight="true" outlineLevel="0" collapsed="false">
      <c r="A605" s="46"/>
      <c r="B605" s="47"/>
      <c r="C605" s="47"/>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ustomFormat="false" ht="14.25" hidden="false" customHeight="true" outlineLevel="0" collapsed="false">
      <c r="A606" s="46"/>
      <c r="B606" s="47"/>
      <c r="C606" s="47"/>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ustomFormat="false" ht="14.25" hidden="false" customHeight="true" outlineLevel="0" collapsed="false">
      <c r="A607" s="46"/>
      <c r="B607" s="47"/>
      <c r="C607" s="47"/>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ustomFormat="false" ht="14.25" hidden="false" customHeight="true" outlineLevel="0" collapsed="false">
      <c r="A608" s="46"/>
      <c r="B608" s="47"/>
      <c r="C608" s="47"/>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ustomFormat="false" ht="14.25" hidden="false" customHeight="true" outlineLevel="0" collapsed="false">
      <c r="A609" s="46"/>
      <c r="B609" s="47"/>
      <c r="C609" s="47"/>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ustomFormat="false" ht="14.25" hidden="false" customHeight="true" outlineLevel="0" collapsed="false">
      <c r="A610" s="46"/>
      <c r="B610" s="47"/>
      <c r="C610" s="47"/>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ustomFormat="false" ht="14.25" hidden="false" customHeight="true" outlineLevel="0" collapsed="false">
      <c r="A611" s="46"/>
      <c r="B611" s="47"/>
      <c r="C611" s="47"/>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ustomFormat="false" ht="14.25" hidden="false" customHeight="true" outlineLevel="0" collapsed="false">
      <c r="A612" s="46"/>
      <c r="B612" s="47"/>
      <c r="C612" s="47"/>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ustomFormat="false" ht="14.25" hidden="false" customHeight="true" outlineLevel="0" collapsed="false">
      <c r="A613" s="46"/>
      <c r="B613" s="47"/>
      <c r="C613" s="47"/>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ustomFormat="false" ht="14.25" hidden="false" customHeight="true" outlineLevel="0" collapsed="false">
      <c r="A614" s="46"/>
      <c r="B614" s="47"/>
      <c r="C614" s="47"/>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ustomFormat="false" ht="14.25" hidden="false" customHeight="true" outlineLevel="0" collapsed="false">
      <c r="A615" s="46"/>
      <c r="B615" s="47"/>
      <c r="C615" s="47"/>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ustomFormat="false" ht="14.25" hidden="false" customHeight="true" outlineLevel="0" collapsed="false">
      <c r="A616" s="46"/>
      <c r="B616" s="47"/>
      <c r="C616" s="47"/>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ustomFormat="false" ht="14.25" hidden="false" customHeight="true" outlineLevel="0" collapsed="false">
      <c r="A617" s="46"/>
      <c r="B617" s="47"/>
      <c r="C617" s="47"/>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ustomFormat="false" ht="14.25" hidden="false" customHeight="true" outlineLevel="0" collapsed="false">
      <c r="A618" s="46"/>
      <c r="B618" s="47"/>
      <c r="C618" s="47"/>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ustomFormat="false" ht="14.25" hidden="false" customHeight="true" outlineLevel="0" collapsed="false">
      <c r="A619" s="46"/>
      <c r="B619" s="47"/>
      <c r="C619" s="47"/>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ustomFormat="false" ht="14.25" hidden="false" customHeight="true" outlineLevel="0" collapsed="false">
      <c r="A620" s="46"/>
      <c r="B620" s="47"/>
      <c r="C620" s="47"/>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ustomFormat="false" ht="14.25" hidden="false" customHeight="true" outlineLevel="0" collapsed="false">
      <c r="A621" s="46"/>
      <c r="B621" s="47"/>
      <c r="C621" s="47"/>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ustomFormat="false" ht="14.25" hidden="false" customHeight="true" outlineLevel="0" collapsed="false">
      <c r="A622" s="46"/>
      <c r="B622" s="47"/>
      <c r="C622" s="47"/>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ustomFormat="false" ht="14.25" hidden="false" customHeight="true" outlineLevel="0" collapsed="false">
      <c r="A623" s="46"/>
      <c r="B623" s="47"/>
      <c r="C623" s="47"/>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ustomFormat="false" ht="14.25" hidden="false" customHeight="true" outlineLevel="0" collapsed="false">
      <c r="A624" s="46"/>
      <c r="B624" s="47"/>
      <c r="C624" s="47"/>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ustomFormat="false" ht="14.25" hidden="false" customHeight="true" outlineLevel="0" collapsed="false">
      <c r="A625" s="46"/>
      <c r="B625" s="47"/>
      <c r="C625" s="47"/>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ustomFormat="false" ht="14.25" hidden="false" customHeight="true" outlineLevel="0" collapsed="false">
      <c r="A626" s="46"/>
      <c r="B626" s="47"/>
      <c r="C626" s="47"/>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ustomFormat="false" ht="14.25" hidden="false" customHeight="true" outlineLevel="0" collapsed="false">
      <c r="A627" s="46"/>
      <c r="B627" s="47"/>
      <c r="C627" s="47"/>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ustomFormat="false" ht="14.25" hidden="false" customHeight="true" outlineLevel="0" collapsed="false">
      <c r="A628" s="46"/>
      <c r="B628" s="47"/>
      <c r="C628" s="47"/>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ustomFormat="false" ht="14.25" hidden="false" customHeight="true" outlineLevel="0" collapsed="false">
      <c r="A629" s="46"/>
      <c r="B629" s="47"/>
      <c r="C629" s="47"/>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ustomFormat="false" ht="14.25" hidden="false" customHeight="true" outlineLevel="0" collapsed="false">
      <c r="A630" s="46"/>
      <c r="B630" s="47"/>
      <c r="C630" s="47"/>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ustomFormat="false" ht="14.25" hidden="false" customHeight="true" outlineLevel="0" collapsed="false">
      <c r="A631" s="46"/>
      <c r="B631" s="47"/>
      <c r="C631" s="47"/>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ustomFormat="false" ht="14.25" hidden="false" customHeight="true" outlineLevel="0" collapsed="false">
      <c r="A632" s="46"/>
      <c r="B632" s="47"/>
      <c r="C632" s="47"/>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ustomFormat="false" ht="14.25" hidden="false" customHeight="true" outlineLevel="0" collapsed="false">
      <c r="A633" s="46"/>
      <c r="B633" s="47"/>
      <c r="C633" s="47"/>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ustomFormat="false" ht="14.25" hidden="false" customHeight="true" outlineLevel="0" collapsed="false">
      <c r="A634" s="46"/>
      <c r="B634" s="47"/>
      <c r="C634" s="47"/>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ustomFormat="false" ht="14.25" hidden="false" customHeight="true" outlineLevel="0" collapsed="false">
      <c r="A635" s="46"/>
      <c r="B635" s="47"/>
      <c r="C635" s="47"/>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ustomFormat="false" ht="14.25" hidden="false" customHeight="true" outlineLevel="0" collapsed="false">
      <c r="A636" s="46"/>
      <c r="B636" s="47"/>
      <c r="C636" s="47"/>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ustomFormat="false" ht="14.25" hidden="false" customHeight="true" outlineLevel="0" collapsed="false">
      <c r="A637" s="46"/>
      <c r="B637" s="47"/>
      <c r="C637" s="47"/>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ustomFormat="false" ht="14.25" hidden="false" customHeight="true" outlineLevel="0" collapsed="false">
      <c r="A638" s="46"/>
      <c r="B638" s="47"/>
      <c r="C638" s="47"/>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ustomFormat="false" ht="14.25" hidden="false" customHeight="true" outlineLevel="0" collapsed="false">
      <c r="A639" s="46"/>
      <c r="B639" s="47"/>
      <c r="C639" s="47"/>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ustomFormat="false" ht="14.25" hidden="false" customHeight="true" outlineLevel="0" collapsed="false">
      <c r="A640" s="46"/>
      <c r="B640" s="47"/>
      <c r="C640" s="47"/>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ustomFormat="false" ht="14.25" hidden="false" customHeight="true" outlineLevel="0" collapsed="false">
      <c r="A641" s="46"/>
      <c r="B641" s="47"/>
      <c r="C641" s="47"/>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ustomFormat="false" ht="14.25" hidden="false" customHeight="true" outlineLevel="0" collapsed="false">
      <c r="A642" s="46"/>
      <c r="B642" s="47"/>
      <c r="C642" s="47"/>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ustomFormat="false" ht="14.25" hidden="false" customHeight="true" outlineLevel="0" collapsed="false">
      <c r="A643" s="46"/>
      <c r="B643" s="47"/>
      <c r="C643" s="47"/>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ustomFormat="false" ht="14.25" hidden="false" customHeight="true" outlineLevel="0" collapsed="false">
      <c r="A644" s="46"/>
      <c r="B644" s="47"/>
      <c r="C644" s="47"/>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ustomFormat="false" ht="14.25" hidden="false" customHeight="true" outlineLevel="0" collapsed="false">
      <c r="A645" s="46"/>
      <c r="B645" s="47"/>
      <c r="C645" s="47"/>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ustomFormat="false" ht="14.25" hidden="false" customHeight="true" outlineLevel="0" collapsed="false">
      <c r="A646" s="46"/>
      <c r="B646" s="47"/>
      <c r="C646" s="47"/>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ustomFormat="false" ht="14.25" hidden="false" customHeight="true" outlineLevel="0" collapsed="false">
      <c r="A647" s="46"/>
      <c r="B647" s="47"/>
      <c r="C647" s="47"/>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ustomFormat="false" ht="14.25" hidden="false" customHeight="true" outlineLevel="0" collapsed="false">
      <c r="A648" s="46"/>
      <c r="B648" s="47"/>
      <c r="C648" s="47"/>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ustomFormat="false" ht="14.25" hidden="false" customHeight="true" outlineLevel="0" collapsed="false">
      <c r="A649" s="46"/>
      <c r="B649" s="47"/>
      <c r="C649" s="47"/>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ustomFormat="false" ht="14.25" hidden="false" customHeight="true" outlineLevel="0" collapsed="false">
      <c r="A650" s="46"/>
      <c r="B650" s="47"/>
      <c r="C650" s="47"/>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ustomFormat="false" ht="14.25" hidden="false" customHeight="true" outlineLevel="0" collapsed="false">
      <c r="A651" s="46"/>
      <c r="B651" s="47"/>
      <c r="C651" s="47"/>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ustomFormat="false" ht="14.25" hidden="false" customHeight="true" outlineLevel="0" collapsed="false">
      <c r="A652" s="46"/>
      <c r="B652" s="47"/>
      <c r="C652" s="47"/>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ustomFormat="false" ht="14.25" hidden="false" customHeight="true" outlineLevel="0" collapsed="false">
      <c r="A653" s="46"/>
      <c r="B653" s="47"/>
      <c r="C653" s="47"/>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ustomFormat="false" ht="14.25" hidden="false" customHeight="true" outlineLevel="0" collapsed="false">
      <c r="A654" s="46"/>
      <c r="B654" s="47"/>
      <c r="C654" s="47"/>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ustomFormat="false" ht="14.25" hidden="false" customHeight="true" outlineLevel="0" collapsed="false">
      <c r="A655" s="46"/>
      <c r="B655" s="47"/>
      <c r="C655" s="47"/>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ustomFormat="false" ht="14.25" hidden="false" customHeight="true" outlineLevel="0" collapsed="false">
      <c r="A656" s="46"/>
      <c r="B656" s="47"/>
      <c r="C656" s="47"/>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ustomFormat="false" ht="14.25" hidden="false" customHeight="true" outlineLevel="0" collapsed="false">
      <c r="A657" s="46"/>
      <c r="B657" s="47"/>
      <c r="C657" s="47"/>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ustomFormat="false" ht="14.25" hidden="false" customHeight="true" outlineLevel="0" collapsed="false">
      <c r="A658" s="46"/>
      <c r="B658" s="47"/>
      <c r="C658" s="47"/>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ustomFormat="false" ht="14.25" hidden="false" customHeight="true" outlineLevel="0" collapsed="false">
      <c r="A659" s="46"/>
      <c r="B659" s="47"/>
      <c r="C659" s="47"/>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ustomFormat="false" ht="14.25" hidden="false" customHeight="true" outlineLevel="0" collapsed="false">
      <c r="A660" s="46"/>
      <c r="B660" s="47"/>
      <c r="C660" s="47"/>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ustomFormat="false" ht="14.25" hidden="false" customHeight="true" outlineLevel="0" collapsed="false">
      <c r="A661" s="46"/>
      <c r="B661" s="47"/>
      <c r="C661" s="47"/>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ustomFormat="false" ht="14.25" hidden="false" customHeight="true" outlineLevel="0" collapsed="false">
      <c r="A662" s="46"/>
      <c r="B662" s="47"/>
      <c r="C662" s="47"/>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ustomFormat="false" ht="14.25" hidden="false" customHeight="true" outlineLevel="0" collapsed="false">
      <c r="A663" s="46"/>
      <c r="B663" s="47"/>
      <c r="C663" s="47"/>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ustomFormat="false" ht="14.25" hidden="false" customHeight="true" outlineLevel="0" collapsed="false">
      <c r="A664" s="46"/>
      <c r="B664" s="47"/>
      <c r="C664" s="47"/>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ustomFormat="false" ht="14.25" hidden="false" customHeight="true" outlineLevel="0" collapsed="false">
      <c r="A665" s="46"/>
      <c r="B665" s="47"/>
      <c r="C665" s="47"/>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ustomFormat="false" ht="14.25" hidden="false" customHeight="true" outlineLevel="0" collapsed="false">
      <c r="A666" s="46"/>
      <c r="B666" s="47"/>
      <c r="C666" s="47"/>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ustomFormat="false" ht="14.25" hidden="false" customHeight="true" outlineLevel="0" collapsed="false">
      <c r="A667" s="46"/>
      <c r="B667" s="47"/>
      <c r="C667" s="47"/>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ustomFormat="false" ht="14.25" hidden="false" customHeight="true" outlineLevel="0" collapsed="false">
      <c r="A668" s="46"/>
      <c r="B668" s="47"/>
      <c r="C668" s="47"/>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ustomFormat="false" ht="14.25" hidden="false" customHeight="true" outlineLevel="0" collapsed="false">
      <c r="A669" s="46"/>
      <c r="B669" s="47"/>
      <c r="C669" s="47"/>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ustomFormat="false" ht="14.25" hidden="false" customHeight="true" outlineLevel="0" collapsed="false">
      <c r="A670" s="46"/>
      <c r="B670" s="47"/>
      <c r="C670" s="47"/>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ustomFormat="false" ht="14.25" hidden="false" customHeight="true" outlineLevel="0" collapsed="false">
      <c r="A671" s="46"/>
      <c r="B671" s="47"/>
      <c r="C671" s="47"/>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ustomFormat="false" ht="14.25" hidden="false" customHeight="true" outlineLevel="0" collapsed="false">
      <c r="A672" s="46"/>
      <c r="B672" s="47"/>
      <c r="C672" s="47"/>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ustomFormat="false" ht="14.25" hidden="false" customHeight="true" outlineLevel="0" collapsed="false">
      <c r="A673" s="46"/>
      <c r="B673" s="47"/>
      <c r="C673" s="47"/>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ustomFormat="false" ht="14.25" hidden="false" customHeight="true" outlineLevel="0" collapsed="false">
      <c r="A674" s="46"/>
      <c r="B674" s="47"/>
      <c r="C674" s="47"/>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ustomFormat="false" ht="14.25" hidden="false" customHeight="true" outlineLevel="0" collapsed="false">
      <c r="A675" s="46"/>
      <c r="B675" s="47"/>
      <c r="C675" s="47"/>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ustomFormat="false" ht="14.25" hidden="false" customHeight="true" outlineLevel="0" collapsed="false">
      <c r="A676" s="46"/>
      <c r="B676" s="47"/>
      <c r="C676" s="47"/>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ustomFormat="false" ht="14.25" hidden="false" customHeight="true" outlineLevel="0" collapsed="false">
      <c r="A677" s="46"/>
      <c r="B677" s="47"/>
      <c r="C677" s="47"/>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ustomFormat="false" ht="14.25" hidden="false" customHeight="true" outlineLevel="0" collapsed="false">
      <c r="A678" s="46"/>
      <c r="B678" s="47"/>
      <c r="C678" s="47"/>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ustomFormat="false" ht="14.25" hidden="false" customHeight="true" outlineLevel="0" collapsed="false">
      <c r="A679" s="46"/>
      <c r="B679" s="47"/>
      <c r="C679" s="47"/>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ustomFormat="false" ht="14.25" hidden="false" customHeight="true" outlineLevel="0" collapsed="false">
      <c r="A680" s="46"/>
      <c r="B680" s="47"/>
      <c r="C680" s="47"/>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ustomFormat="false" ht="14.25" hidden="false" customHeight="true" outlineLevel="0" collapsed="false">
      <c r="A681" s="46"/>
      <c r="B681" s="47"/>
      <c r="C681" s="47"/>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ustomFormat="false" ht="14.25" hidden="false" customHeight="true" outlineLevel="0" collapsed="false">
      <c r="A682" s="46"/>
      <c r="B682" s="47"/>
      <c r="C682" s="47"/>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ustomFormat="false" ht="14.25" hidden="false" customHeight="true" outlineLevel="0" collapsed="false">
      <c r="A683" s="46"/>
      <c r="B683" s="47"/>
      <c r="C683" s="47"/>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ustomFormat="false" ht="14.25" hidden="false" customHeight="true" outlineLevel="0" collapsed="false">
      <c r="A684" s="46"/>
      <c r="B684" s="47"/>
      <c r="C684" s="47"/>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ustomFormat="false" ht="14.25" hidden="false" customHeight="true" outlineLevel="0" collapsed="false">
      <c r="A685" s="46"/>
      <c r="B685" s="47"/>
      <c r="C685" s="47"/>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ustomFormat="false" ht="14.25" hidden="false" customHeight="true" outlineLevel="0" collapsed="false">
      <c r="A686" s="46"/>
      <c r="B686" s="47"/>
      <c r="C686" s="47"/>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ustomFormat="false" ht="14.25" hidden="false" customHeight="true" outlineLevel="0" collapsed="false">
      <c r="A687" s="46"/>
      <c r="B687" s="47"/>
      <c r="C687" s="47"/>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ustomFormat="false" ht="14.25" hidden="false" customHeight="true" outlineLevel="0" collapsed="false">
      <c r="A688" s="46"/>
      <c r="B688" s="47"/>
      <c r="C688" s="47"/>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ustomFormat="false" ht="14.25" hidden="false" customHeight="true" outlineLevel="0" collapsed="false">
      <c r="A689" s="46"/>
      <c r="B689" s="47"/>
      <c r="C689" s="47"/>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ustomFormat="false" ht="14.25" hidden="false" customHeight="true" outlineLevel="0" collapsed="false">
      <c r="A690" s="46"/>
      <c r="B690" s="47"/>
      <c r="C690" s="47"/>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ustomFormat="false" ht="14.25" hidden="false" customHeight="true" outlineLevel="0" collapsed="false">
      <c r="A691" s="46"/>
      <c r="B691" s="47"/>
      <c r="C691" s="47"/>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ustomFormat="false" ht="14.25" hidden="false" customHeight="true" outlineLevel="0" collapsed="false">
      <c r="A692" s="46"/>
      <c r="B692" s="47"/>
      <c r="C692" s="47"/>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ustomFormat="false" ht="14.25" hidden="false" customHeight="true" outlineLevel="0" collapsed="false">
      <c r="A693" s="46"/>
      <c r="B693" s="47"/>
      <c r="C693" s="47"/>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ustomFormat="false" ht="14.25" hidden="false" customHeight="true" outlineLevel="0" collapsed="false">
      <c r="A694" s="46"/>
      <c r="B694" s="47"/>
      <c r="C694" s="47"/>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ustomFormat="false" ht="14.25" hidden="false" customHeight="true" outlineLevel="0" collapsed="false">
      <c r="A695" s="46"/>
      <c r="B695" s="47"/>
      <c r="C695" s="47"/>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ustomFormat="false" ht="14.25" hidden="false" customHeight="true" outlineLevel="0" collapsed="false">
      <c r="A696" s="46"/>
      <c r="B696" s="47"/>
      <c r="C696" s="47"/>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ustomFormat="false" ht="14.25" hidden="false" customHeight="true" outlineLevel="0" collapsed="false">
      <c r="A697" s="46"/>
      <c r="B697" s="47"/>
      <c r="C697" s="47"/>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ustomFormat="false" ht="14.25" hidden="false" customHeight="true" outlineLevel="0" collapsed="false">
      <c r="A698" s="46"/>
      <c r="B698" s="47"/>
      <c r="C698" s="47"/>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ustomFormat="false" ht="14.25" hidden="false" customHeight="true" outlineLevel="0" collapsed="false">
      <c r="A699" s="46"/>
      <c r="B699" s="47"/>
      <c r="C699" s="47"/>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ustomFormat="false" ht="14.25" hidden="false" customHeight="true" outlineLevel="0" collapsed="false">
      <c r="A700" s="46"/>
      <c r="B700" s="47"/>
      <c r="C700" s="47"/>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ustomFormat="false" ht="14.25" hidden="false" customHeight="true" outlineLevel="0" collapsed="false">
      <c r="A701" s="46"/>
      <c r="B701" s="47"/>
      <c r="C701" s="47"/>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ustomFormat="false" ht="14.25" hidden="false" customHeight="true" outlineLevel="0" collapsed="false">
      <c r="A702" s="46"/>
      <c r="B702" s="47"/>
      <c r="C702" s="47"/>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ustomFormat="false" ht="14.25" hidden="false" customHeight="true" outlineLevel="0" collapsed="false">
      <c r="A703" s="46"/>
      <c r="B703" s="47"/>
      <c r="C703" s="47"/>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ustomFormat="false" ht="14.25" hidden="false" customHeight="true" outlineLevel="0" collapsed="false">
      <c r="A704" s="46"/>
      <c r="B704" s="47"/>
      <c r="C704" s="47"/>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ustomFormat="false" ht="14.25" hidden="false" customHeight="true" outlineLevel="0" collapsed="false">
      <c r="A705" s="46"/>
      <c r="B705" s="47"/>
      <c r="C705" s="47"/>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ustomFormat="false" ht="14.25" hidden="false" customHeight="true" outlineLevel="0" collapsed="false">
      <c r="A706" s="46"/>
      <c r="B706" s="47"/>
      <c r="C706" s="47"/>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ustomFormat="false" ht="14.25" hidden="false" customHeight="true" outlineLevel="0" collapsed="false">
      <c r="A707" s="46"/>
      <c r="B707" s="47"/>
      <c r="C707" s="47"/>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ustomFormat="false" ht="14.25" hidden="false" customHeight="true" outlineLevel="0" collapsed="false">
      <c r="A708" s="46"/>
      <c r="B708" s="47"/>
      <c r="C708" s="47"/>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ustomFormat="false" ht="14.25" hidden="false" customHeight="true" outlineLevel="0" collapsed="false">
      <c r="A709" s="46"/>
      <c r="B709" s="47"/>
      <c r="C709" s="47"/>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ustomFormat="false" ht="14.25" hidden="false" customHeight="true" outlineLevel="0" collapsed="false">
      <c r="A710" s="46"/>
      <c r="B710" s="47"/>
      <c r="C710" s="47"/>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ustomFormat="false" ht="14.25" hidden="false" customHeight="true" outlineLevel="0" collapsed="false">
      <c r="A711" s="46"/>
      <c r="B711" s="47"/>
      <c r="C711" s="47"/>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ustomFormat="false" ht="14.25" hidden="false" customHeight="true" outlineLevel="0" collapsed="false">
      <c r="A712" s="46"/>
      <c r="B712" s="47"/>
      <c r="C712" s="47"/>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ustomFormat="false" ht="14.25" hidden="false" customHeight="true" outlineLevel="0" collapsed="false">
      <c r="A713" s="46"/>
      <c r="B713" s="47"/>
      <c r="C713" s="47"/>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ustomFormat="false" ht="14.25" hidden="false" customHeight="true" outlineLevel="0" collapsed="false">
      <c r="A714" s="46"/>
      <c r="B714" s="47"/>
      <c r="C714" s="47"/>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ustomFormat="false" ht="14.25" hidden="false" customHeight="true" outlineLevel="0" collapsed="false">
      <c r="A715" s="46"/>
      <c r="B715" s="47"/>
      <c r="C715" s="47"/>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ustomFormat="false" ht="14.25" hidden="false" customHeight="true" outlineLevel="0" collapsed="false">
      <c r="A716" s="46"/>
      <c r="B716" s="47"/>
      <c r="C716" s="47"/>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ustomFormat="false" ht="14.25" hidden="false" customHeight="true" outlineLevel="0" collapsed="false">
      <c r="A717" s="46"/>
      <c r="B717" s="47"/>
      <c r="C717" s="47"/>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ustomFormat="false" ht="14.25" hidden="false" customHeight="true" outlineLevel="0" collapsed="false">
      <c r="A718" s="46"/>
      <c r="B718" s="47"/>
      <c r="C718" s="47"/>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ustomFormat="false" ht="14.25" hidden="false" customHeight="true" outlineLevel="0" collapsed="false">
      <c r="A719" s="46"/>
      <c r="B719" s="47"/>
      <c r="C719" s="47"/>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ustomFormat="false" ht="14.25" hidden="false" customHeight="true" outlineLevel="0" collapsed="false">
      <c r="A720" s="46"/>
      <c r="B720" s="47"/>
      <c r="C720" s="47"/>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ustomFormat="false" ht="14.25" hidden="false" customHeight="true" outlineLevel="0" collapsed="false">
      <c r="A721" s="46"/>
      <c r="B721" s="47"/>
      <c r="C721" s="47"/>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ustomFormat="false" ht="14.25" hidden="false" customHeight="true" outlineLevel="0" collapsed="false">
      <c r="A722" s="46"/>
      <c r="B722" s="47"/>
      <c r="C722" s="47"/>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ustomFormat="false" ht="14.25" hidden="false" customHeight="true" outlineLevel="0" collapsed="false">
      <c r="A723" s="46"/>
      <c r="B723" s="47"/>
      <c r="C723" s="47"/>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ustomFormat="false" ht="14.25" hidden="false" customHeight="true" outlineLevel="0" collapsed="false">
      <c r="A724" s="46"/>
      <c r="B724" s="47"/>
      <c r="C724" s="47"/>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ustomFormat="false" ht="14.25" hidden="false" customHeight="true" outlineLevel="0" collapsed="false">
      <c r="A725" s="46"/>
      <c r="B725" s="47"/>
      <c r="C725" s="47"/>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ustomFormat="false" ht="14.25" hidden="false" customHeight="true" outlineLevel="0" collapsed="false">
      <c r="A726" s="46"/>
      <c r="B726" s="47"/>
      <c r="C726" s="47"/>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ustomFormat="false" ht="14.25" hidden="false" customHeight="true" outlineLevel="0" collapsed="false">
      <c r="A727" s="46"/>
      <c r="B727" s="47"/>
      <c r="C727" s="47"/>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ustomFormat="false" ht="14.25" hidden="false" customHeight="true" outlineLevel="0" collapsed="false">
      <c r="A728" s="46"/>
      <c r="B728" s="47"/>
      <c r="C728" s="47"/>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ustomFormat="false" ht="14.25" hidden="false" customHeight="true" outlineLevel="0" collapsed="false">
      <c r="A729" s="46"/>
      <c r="B729" s="47"/>
      <c r="C729" s="47"/>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ustomFormat="false" ht="14.25" hidden="false" customHeight="true" outlineLevel="0" collapsed="false">
      <c r="A730" s="46"/>
      <c r="B730" s="47"/>
      <c r="C730" s="47"/>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ustomFormat="false" ht="14.25" hidden="false" customHeight="true" outlineLevel="0" collapsed="false">
      <c r="A731" s="46"/>
      <c r="B731" s="47"/>
      <c r="C731" s="47"/>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ustomFormat="false" ht="14.25" hidden="false" customHeight="true" outlineLevel="0" collapsed="false">
      <c r="A732" s="46"/>
      <c r="B732" s="47"/>
      <c r="C732" s="47"/>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ustomFormat="false" ht="14.25" hidden="false" customHeight="true" outlineLevel="0" collapsed="false">
      <c r="A733" s="46"/>
      <c r="B733" s="47"/>
      <c r="C733" s="47"/>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ustomFormat="false" ht="14.25" hidden="false" customHeight="true" outlineLevel="0" collapsed="false">
      <c r="A734" s="46"/>
      <c r="B734" s="47"/>
      <c r="C734" s="47"/>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ustomFormat="false" ht="14.25" hidden="false" customHeight="true" outlineLevel="0" collapsed="false">
      <c r="A735" s="46"/>
      <c r="B735" s="47"/>
      <c r="C735" s="47"/>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ustomFormat="false" ht="14.25" hidden="false" customHeight="true" outlineLevel="0" collapsed="false">
      <c r="A736" s="46"/>
      <c r="B736" s="47"/>
      <c r="C736" s="47"/>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ustomFormat="false" ht="14.25" hidden="false" customHeight="true" outlineLevel="0" collapsed="false">
      <c r="A737" s="46"/>
      <c r="B737" s="47"/>
      <c r="C737" s="47"/>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ustomFormat="false" ht="14.25" hidden="false" customHeight="true" outlineLevel="0" collapsed="false">
      <c r="A738" s="46"/>
      <c r="B738" s="47"/>
      <c r="C738" s="47"/>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ustomFormat="false" ht="14.25" hidden="false" customHeight="true" outlineLevel="0" collapsed="false">
      <c r="A739" s="46"/>
      <c r="B739" s="47"/>
      <c r="C739" s="47"/>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ustomFormat="false" ht="14.25" hidden="false" customHeight="true" outlineLevel="0" collapsed="false">
      <c r="A740" s="46"/>
      <c r="B740" s="47"/>
      <c r="C740" s="47"/>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ustomFormat="false" ht="14.25" hidden="false" customHeight="true" outlineLevel="0" collapsed="false">
      <c r="A741" s="46"/>
      <c r="B741" s="47"/>
      <c r="C741" s="47"/>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ustomFormat="false" ht="14.25" hidden="false" customHeight="true" outlineLevel="0" collapsed="false">
      <c r="A742" s="46"/>
      <c r="B742" s="47"/>
      <c r="C742" s="47"/>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ustomFormat="false" ht="14.25" hidden="false" customHeight="true" outlineLevel="0" collapsed="false">
      <c r="A743" s="46"/>
      <c r="B743" s="47"/>
      <c r="C743" s="47"/>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ustomFormat="false" ht="14.25" hidden="false" customHeight="true" outlineLevel="0" collapsed="false">
      <c r="A744" s="46"/>
      <c r="B744" s="47"/>
      <c r="C744" s="47"/>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ustomFormat="false" ht="14.25" hidden="false" customHeight="true" outlineLevel="0" collapsed="false">
      <c r="A745" s="46"/>
      <c r="B745" s="47"/>
      <c r="C745" s="47"/>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ustomFormat="false" ht="14.25" hidden="false" customHeight="true" outlineLevel="0" collapsed="false">
      <c r="A746" s="46"/>
      <c r="B746" s="47"/>
      <c r="C746" s="47"/>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ustomFormat="false" ht="14.25" hidden="false" customHeight="true" outlineLevel="0" collapsed="false">
      <c r="A747" s="46"/>
      <c r="B747" s="47"/>
      <c r="C747" s="47"/>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ustomFormat="false" ht="14.25" hidden="false" customHeight="true" outlineLevel="0" collapsed="false">
      <c r="A748" s="46"/>
      <c r="B748" s="47"/>
      <c r="C748" s="47"/>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ustomFormat="false" ht="14.25" hidden="false" customHeight="true" outlineLevel="0" collapsed="false">
      <c r="A749" s="46"/>
      <c r="B749" s="47"/>
      <c r="C749" s="47"/>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ustomFormat="false" ht="14.25" hidden="false" customHeight="true" outlineLevel="0" collapsed="false">
      <c r="A750" s="46"/>
      <c r="B750" s="47"/>
      <c r="C750" s="47"/>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ustomFormat="false" ht="14.25" hidden="false" customHeight="true" outlineLevel="0" collapsed="false">
      <c r="A751" s="46"/>
      <c r="B751" s="47"/>
      <c r="C751" s="47"/>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ustomFormat="false" ht="14.25" hidden="false" customHeight="true" outlineLevel="0" collapsed="false">
      <c r="A752" s="46"/>
      <c r="B752" s="47"/>
      <c r="C752" s="47"/>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ustomFormat="false" ht="14.25" hidden="false" customHeight="true" outlineLevel="0" collapsed="false">
      <c r="A753" s="46"/>
      <c r="B753" s="47"/>
      <c r="C753" s="47"/>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ustomFormat="false" ht="14.25" hidden="false" customHeight="true" outlineLevel="0" collapsed="false">
      <c r="A754" s="46"/>
      <c r="B754" s="47"/>
      <c r="C754" s="47"/>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ustomFormat="false" ht="14.25" hidden="false" customHeight="true" outlineLevel="0" collapsed="false">
      <c r="A755" s="46"/>
      <c r="B755" s="47"/>
      <c r="C755" s="47"/>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ustomFormat="false" ht="14.25" hidden="false" customHeight="true" outlineLevel="0" collapsed="false">
      <c r="A756" s="46"/>
      <c r="B756" s="47"/>
      <c r="C756" s="47"/>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ustomFormat="false" ht="14.25" hidden="false" customHeight="true" outlineLevel="0" collapsed="false">
      <c r="A757" s="46"/>
      <c r="B757" s="47"/>
      <c r="C757" s="47"/>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ustomFormat="false" ht="14.25" hidden="false" customHeight="true" outlineLevel="0" collapsed="false">
      <c r="A758" s="46"/>
      <c r="B758" s="47"/>
      <c r="C758" s="47"/>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ustomFormat="false" ht="14.25" hidden="false" customHeight="true" outlineLevel="0" collapsed="false">
      <c r="A759" s="46"/>
      <c r="B759" s="47"/>
      <c r="C759" s="47"/>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ustomFormat="false" ht="14.25" hidden="false" customHeight="true" outlineLevel="0" collapsed="false">
      <c r="A760" s="46"/>
      <c r="B760" s="47"/>
      <c r="C760" s="47"/>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ustomFormat="false" ht="14.25" hidden="false" customHeight="true" outlineLevel="0" collapsed="false">
      <c r="A761" s="46"/>
      <c r="B761" s="47"/>
      <c r="C761" s="47"/>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ustomFormat="false" ht="14.25" hidden="false" customHeight="true" outlineLevel="0" collapsed="false">
      <c r="A762" s="46"/>
      <c r="B762" s="47"/>
      <c r="C762" s="47"/>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ustomFormat="false" ht="14.25" hidden="false" customHeight="true" outlineLevel="0" collapsed="false">
      <c r="A763" s="46"/>
      <c r="B763" s="47"/>
      <c r="C763" s="47"/>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ustomFormat="false" ht="14.25" hidden="false" customHeight="true" outlineLevel="0" collapsed="false">
      <c r="A764" s="46"/>
      <c r="B764" s="47"/>
      <c r="C764" s="47"/>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ustomFormat="false" ht="14.25" hidden="false" customHeight="true" outlineLevel="0" collapsed="false">
      <c r="A765" s="46"/>
      <c r="B765" s="47"/>
      <c r="C765" s="47"/>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ustomFormat="false" ht="14.25" hidden="false" customHeight="true" outlineLevel="0" collapsed="false">
      <c r="A766" s="46"/>
      <c r="B766" s="47"/>
      <c r="C766" s="47"/>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ustomFormat="false" ht="14.25" hidden="false" customHeight="true" outlineLevel="0" collapsed="false">
      <c r="A767" s="46"/>
      <c r="B767" s="47"/>
      <c r="C767" s="47"/>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ustomFormat="false" ht="14.25" hidden="false" customHeight="true" outlineLevel="0" collapsed="false">
      <c r="A768" s="46"/>
      <c r="B768" s="47"/>
      <c r="C768" s="47"/>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ustomFormat="false" ht="14.25" hidden="false" customHeight="true" outlineLevel="0" collapsed="false">
      <c r="A769" s="46"/>
      <c r="B769" s="47"/>
      <c r="C769" s="47"/>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ustomFormat="false" ht="14.25" hidden="false" customHeight="true" outlineLevel="0" collapsed="false">
      <c r="A770" s="46"/>
      <c r="B770" s="47"/>
      <c r="C770" s="47"/>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ustomFormat="false" ht="14.25" hidden="false" customHeight="true" outlineLevel="0" collapsed="false">
      <c r="A771" s="46"/>
      <c r="B771" s="47"/>
      <c r="C771" s="47"/>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ustomFormat="false" ht="14.25" hidden="false" customHeight="true" outlineLevel="0" collapsed="false">
      <c r="A772" s="46"/>
      <c r="B772" s="47"/>
      <c r="C772" s="47"/>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ustomFormat="false" ht="14.25" hidden="false" customHeight="true" outlineLevel="0" collapsed="false">
      <c r="A773" s="46"/>
      <c r="B773" s="47"/>
      <c r="C773" s="47"/>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ustomFormat="false" ht="14.25" hidden="false" customHeight="true" outlineLevel="0" collapsed="false">
      <c r="A774" s="46"/>
      <c r="B774" s="47"/>
      <c r="C774" s="47"/>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ustomFormat="false" ht="14.25" hidden="false" customHeight="true" outlineLevel="0" collapsed="false">
      <c r="A775" s="46"/>
      <c r="B775" s="47"/>
      <c r="C775" s="47"/>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ustomFormat="false" ht="14.25" hidden="false" customHeight="true" outlineLevel="0" collapsed="false">
      <c r="A776" s="46"/>
      <c r="B776" s="47"/>
      <c r="C776" s="47"/>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ustomFormat="false" ht="14.25" hidden="false" customHeight="true" outlineLevel="0" collapsed="false">
      <c r="A777" s="46"/>
      <c r="B777" s="47"/>
      <c r="C777" s="47"/>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ustomFormat="false" ht="14.25" hidden="false" customHeight="true" outlineLevel="0" collapsed="false">
      <c r="A778" s="46"/>
      <c r="B778" s="47"/>
      <c r="C778" s="47"/>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ustomFormat="false" ht="14.25" hidden="false" customHeight="true" outlineLevel="0" collapsed="false">
      <c r="A779" s="46"/>
      <c r="B779" s="47"/>
      <c r="C779" s="47"/>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ustomFormat="false" ht="14.25" hidden="false" customHeight="true" outlineLevel="0" collapsed="false">
      <c r="A780" s="46"/>
      <c r="B780" s="47"/>
      <c r="C780" s="47"/>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ustomFormat="false" ht="14.25" hidden="false" customHeight="true" outlineLevel="0" collapsed="false">
      <c r="A781" s="46"/>
      <c r="B781" s="47"/>
      <c r="C781" s="47"/>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ustomFormat="false" ht="14.25" hidden="false" customHeight="true" outlineLevel="0" collapsed="false">
      <c r="A782" s="46"/>
      <c r="B782" s="47"/>
      <c r="C782" s="47"/>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ustomFormat="false" ht="14.25" hidden="false" customHeight="true" outlineLevel="0" collapsed="false">
      <c r="A783" s="46"/>
      <c r="B783" s="47"/>
      <c r="C783" s="47"/>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ustomFormat="false" ht="14.25" hidden="false" customHeight="true" outlineLevel="0" collapsed="false">
      <c r="A784" s="46"/>
      <c r="B784" s="47"/>
      <c r="C784" s="47"/>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ustomFormat="false" ht="14.25" hidden="false" customHeight="true" outlineLevel="0" collapsed="false">
      <c r="A785" s="46"/>
      <c r="B785" s="47"/>
      <c r="C785" s="47"/>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ustomFormat="false" ht="14.25" hidden="false" customHeight="true" outlineLevel="0" collapsed="false">
      <c r="A786" s="46"/>
      <c r="B786" s="47"/>
      <c r="C786" s="47"/>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ustomFormat="false" ht="14.25" hidden="false" customHeight="true" outlineLevel="0" collapsed="false">
      <c r="A787" s="46"/>
      <c r="B787" s="47"/>
      <c r="C787" s="47"/>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ustomFormat="false" ht="14.25" hidden="false" customHeight="true" outlineLevel="0" collapsed="false">
      <c r="A788" s="46"/>
      <c r="B788" s="47"/>
      <c r="C788" s="47"/>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ustomFormat="false" ht="14.25" hidden="false" customHeight="true" outlineLevel="0" collapsed="false">
      <c r="A789" s="46"/>
      <c r="B789" s="47"/>
      <c r="C789" s="47"/>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ustomFormat="false" ht="14.25" hidden="false" customHeight="true" outlineLevel="0" collapsed="false">
      <c r="A790" s="46"/>
      <c r="B790" s="47"/>
      <c r="C790" s="47"/>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ustomFormat="false" ht="14.25" hidden="false" customHeight="true" outlineLevel="0" collapsed="false">
      <c r="A791" s="46"/>
      <c r="B791" s="47"/>
      <c r="C791" s="47"/>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ustomFormat="false" ht="14.25" hidden="false" customHeight="true" outlineLevel="0" collapsed="false">
      <c r="A792" s="46"/>
      <c r="B792" s="47"/>
      <c r="C792" s="47"/>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ustomFormat="false" ht="14.25" hidden="false" customHeight="true" outlineLevel="0" collapsed="false">
      <c r="A793" s="46"/>
      <c r="B793" s="47"/>
      <c r="C793" s="47"/>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ustomFormat="false" ht="14.25" hidden="false" customHeight="true" outlineLevel="0" collapsed="false">
      <c r="A794" s="46"/>
      <c r="B794" s="47"/>
      <c r="C794" s="47"/>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ustomFormat="false" ht="14.25" hidden="false" customHeight="true" outlineLevel="0" collapsed="false">
      <c r="A795" s="46"/>
      <c r="B795" s="47"/>
      <c r="C795" s="47"/>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ustomFormat="false" ht="14.25" hidden="false" customHeight="true" outlineLevel="0" collapsed="false">
      <c r="A796" s="46"/>
      <c r="B796" s="47"/>
      <c r="C796" s="47"/>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ustomFormat="false" ht="14.25" hidden="false" customHeight="true" outlineLevel="0" collapsed="false">
      <c r="A797" s="46"/>
      <c r="B797" s="47"/>
      <c r="C797" s="47"/>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ustomFormat="false" ht="14.25" hidden="false" customHeight="true" outlineLevel="0" collapsed="false">
      <c r="A798" s="46"/>
      <c r="B798" s="47"/>
      <c r="C798" s="47"/>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ustomFormat="false" ht="14.25" hidden="false" customHeight="true" outlineLevel="0" collapsed="false">
      <c r="A799" s="46"/>
      <c r="B799" s="47"/>
      <c r="C799" s="47"/>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ustomFormat="false" ht="14.25" hidden="false" customHeight="true" outlineLevel="0" collapsed="false">
      <c r="A800" s="46"/>
      <c r="B800" s="47"/>
      <c r="C800" s="47"/>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ustomFormat="false" ht="14.25" hidden="false" customHeight="true" outlineLevel="0" collapsed="false">
      <c r="A801" s="46"/>
      <c r="B801" s="47"/>
      <c r="C801" s="47"/>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ustomFormat="false" ht="14.25" hidden="false" customHeight="true" outlineLevel="0" collapsed="false">
      <c r="A802" s="46"/>
      <c r="B802" s="47"/>
      <c r="C802" s="47"/>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ustomFormat="false" ht="14.25" hidden="false" customHeight="true" outlineLevel="0" collapsed="false">
      <c r="A803" s="46"/>
      <c r="B803" s="47"/>
      <c r="C803" s="47"/>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ustomFormat="false" ht="14.25" hidden="false" customHeight="true" outlineLevel="0" collapsed="false">
      <c r="A804" s="46"/>
      <c r="B804" s="47"/>
      <c r="C804" s="47"/>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ustomFormat="false" ht="14.25" hidden="false" customHeight="true" outlineLevel="0" collapsed="false">
      <c r="A805" s="46"/>
      <c r="B805" s="47"/>
      <c r="C805" s="47"/>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ustomFormat="false" ht="14.25" hidden="false" customHeight="true" outlineLevel="0" collapsed="false">
      <c r="A806" s="46"/>
      <c r="B806" s="47"/>
      <c r="C806" s="47"/>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ustomFormat="false" ht="14.25" hidden="false" customHeight="true" outlineLevel="0" collapsed="false">
      <c r="A807" s="46"/>
      <c r="B807" s="47"/>
      <c r="C807" s="47"/>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ustomFormat="false" ht="14.25" hidden="false" customHeight="true" outlineLevel="0" collapsed="false">
      <c r="A808" s="46"/>
      <c r="B808" s="47"/>
      <c r="C808" s="47"/>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ustomFormat="false" ht="14.25" hidden="false" customHeight="true" outlineLevel="0" collapsed="false">
      <c r="A809" s="46"/>
      <c r="B809" s="47"/>
      <c r="C809" s="47"/>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ustomFormat="false" ht="14.25" hidden="false" customHeight="true" outlineLevel="0" collapsed="false">
      <c r="A810" s="46"/>
      <c r="B810" s="47"/>
      <c r="C810" s="47"/>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ustomFormat="false" ht="14.25" hidden="false" customHeight="true" outlineLevel="0" collapsed="false">
      <c r="A811" s="46"/>
      <c r="B811" s="47"/>
      <c r="C811" s="47"/>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ustomFormat="false" ht="14.25" hidden="false" customHeight="true" outlineLevel="0" collapsed="false">
      <c r="A812" s="46"/>
      <c r="B812" s="47"/>
      <c r="C812" s="47"/>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ustomFormat="false" ht="14.25" hidden="false" customHeight="true" outlineLevel="0" collapsed="false">
      <c r="A813" s="46"/>
      <c r="B813" s="47"/>
      <c r="C813" s="47"/>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ustomFormat="false" ht="14.25" hidden="false" customHeight="true" outlineLevel="0" collapsed="false">
      <c r="A814" s="46"/>
      <c r="B814" s="47"/>
      <c r="C814" s="47"/>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ustomFormat="false" ht="14.25" hidden="false" customHeight="true" outlineLevel="0" collapsed="false">
      <c r="A815" s="46"/>
      <c r="B815" s="47"/>
      <c r="C815" s="47"/>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ustomFormat="false" ht="14.25" hidden="false" customHeight="true" outlineLevel="0" collapsed="false">
      <c r="A816" s="46"/>
      <c r="B816" s="47"/>
      <c r="C816" s="47"/>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ustomFormat="false" ht="14.25" hidden="false" customHeight="true" outlineLevel="0" collapsed="false">
      <c r="A817" s="46"/>
      <c r="B817" s="47"/>
      <c r="C817" s="47"/>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ustomFormat="false" ht="14.25" hidden="false" customHeight="true" outlineLevel="0" collapsed="false">
      <c r="A818" s="46"/>
      <c r="B818" s="47"/>
      <c r="C818" s="47"/>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ustomFormat="false" ht="14.25" hidden="false" customHeight="true" outlineLevel="0" collapsed="false">
      <c r="A819" s="46"/>
      <c r="B819" s="47"/>
      <c r="C819" s="47"/>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ustomFormat="false" ht="14.25" hidden="false" customHeight="true" outlineLevel="0" collapsed="false">
      <c r="A820" s="46"/>
      <c r="B820" s="47"/>
      <c r="C820" s="47"/>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ustomFormat="false" ht="14.25" hidden="false" customHeight="true" outlineLevel="0" collapsed="false">
      <c r="A821" s="46"/>
      <c r="B821" s="47"/>
      <c r="C821" s="47"/>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ustomFormat="false" ht="14.25" hidden="false" customHeight="true" outlineLevel="0" collapsed="false">
      <c r="A822" s="46"/>
      <c r="B822" s="47"/>
      <c r="C822" s="47"/>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ustomFormat="false" ht="14.25" hidden="false" customHeight="true" outlineLevel="0" collapsed="false">
      <c r="A823" s="46"/>
      <c r="B823" s="47"/>
      <c r="C823" s="47"/>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ustomFormat="false" ht="14.25" hidden="false" customHeight="true" outlineLevel="0" collapsed="false">
      <c r="A824" s="46"/>
      <c r="B824" s="47"/>
      <c r="C824" s="47"/>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ustomFormat="false" ht="14.25" hidden="false" customHeight="true" outlineLevel="0" collapsed="false">
      <c r="A825" s="46"/>
      <c r="B825" s="47"/>
      <c r="C825" s="47"/>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ustomFormat="false" ht="14.25" hidden="false" customHeight="true" outlineLevel="0" collapsed="false">
      <c r="A826" s="46"/>
      <c r="B826" s="47"/>
      <c r="C826" s="47"/>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ustomFormat="false" ht="14.25" hidden="false" customHeight="true" outlineLevel="0" collapsed="false">
      <c r="A827" s="46"/>
      <c r="B827" s="47"/>
      <c r="C827" s="47"/>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ustomFormat="false" ht="14.25" hidden="false" customHeight="true" outlineLevel="0" collapsed="false">
      <c r="A828" s="46"/>
      <c r="B828" s="47"/>
      <c r="C828" s="47"/>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ustomFormat="false" ht="14.25" hidden="false" customHeight="true" outlineLevel="0" collapsed="false">
      <c r="A829" s="46"/>
      <c r="B829" s="47"/>
      <c r="C829" s="47"/>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ustomFormat="false" ht="14.25" hidden="false" customHeight="true" outlineLevel="0" collapsed="false">
      <c r="A830" s="46"/>
      <c r="B830" s="47"/>
      <c r="C830" s="47"/>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ustomFormat="false" ht="14.25" hidden="false" customHeight="true" outlineLevel="0" collapsed="false">
      <c r="A831" s="46"/>
      <c r="B831" s="47"/>
      <c r="C831" s="47"/>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ustomFormat="false" ht="14.25" hidden="false" customHeight="true" outlineLevel="0" collapsed="false">
      <c r="A832" s="46"/>
      <c r="B832" s="47"/>
      <c r="C832" s="47"/>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ustomFormat="false" ht="14.25" hidden="false" customHeight="true" outlineLevel="0" collapsed="false">
      <c r="A833" s="46"/>
      <c r="B833" s="47"/>
      <c r="C833" s="47"/>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ustomFormat="false" ht="14.25" hidden="false" customHeight="true" outlineLevel="0" collapsed="false">
      <c r="A834" s="46"/>
      <c r="B834" s="47"/>
      <c r="C834" s="47"/>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ustomFormat="false" ht="14.25" hidden="false" customHeight="true" outlineLevel="0" collapsed="false">
      <c r="A835" s="46"/>
      <c r="B835" s="47"/>
      <c r="C835" s="47"/>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ustomFormat="false" ht="14.25" hidden="false" customHeight="true" outlineLevel="0" collapsed="false">
      <c r="A836" s="46"/>
      <c r="B836" s="47"/>
      <c r="C836" s="47"/>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ustomFormat="false" ht="14.25" hidden="false" customHeight="true" outlineLevel="0" collapsed="false">
      <c r="A837" s="46"/>
      <c r="B837" s="47"/>
      <c r="C837" s="47"/>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ustomFormat="false" ht="14.25" hidden="false" customHeight="true" outlineLevel="0" collapsed="false">
      <c r="A838" s="46"/>
      <c r="B838" s="47"/>
      <c r="C838" s="47"/>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ustomFormat="false" ht="14.25" hidden="false" customHeight="true" outlineLevel="0" collapsed="false">
      <c r="A839" s="46"/>
      <c r="B839" s="47"/>
      <c r="C839" s="47"/>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ustomFormat="false" ht="14.25" hidden="false" customHeight="true" outlineLevel="0" collapsed="false">
      <c r="A840" s="46"/>
      <c r="B840" s="47"/>
      <c r="C840" s="47"/>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ustomFormat="false" ht="14.25" hidden="false" customHeight="true" outlineLevel="0" collapsed="false">
      <c r="A841" s="46"/>
      <c r="B841" s="47"/>
      <c r="C841" s="47"/>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ustomFormat="false" ht="14.25" hidden="false" customHeight="true" outlineLevel="0" collapsed="false">
      <c r="A842" s="46"/>
      <c r="B842" s="47"/>
      <c r="C842" s="47"/>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ustomFormat="false" ht="14.25" hidden="false" customHeight="true" outlineLevel="0" collapsed="false">
      <c r="A843" s="46"/>
      <c r="B843" s="47"/>
      <c r="C843" s="47"/>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ustomFormat="false" ht="14.25" hidden="false" customHeight="true" outlineLevel="0" collapsed="false">
      <c r="A844" s="46"/>
      <c r="B844" s="47"/>
      <c r="C844" s="47"/>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ustomFormat="false" ht="14.25" hidden="false" customHeight="true" outlineLevel="0" collapsed="false">
      <c r="A845" s="46"/>
      <c r="B845" s="47"/>
      <c r="C845" s="47"/>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ustomFormat="false" ht="14.25" hidden="false" customHeight="true" outlineLevel="0" collapsed="false">
      <c r="A846" s="46"/>
      <c r="B846" s="47"/>
      <c r="C846" s="47"/>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ustomFormat="false" ht="14.25" hidden="false" customHeight="true" outlineLevel="0" collapsed="false">
      <c r="A847" s="46"/>
      <c r="B847" s="47"/>
      <c r="C847" s="47"/>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ustomFormat="false" ht="14.25" hidden="false" customHeight="true" outlineLevel="0" collapsed="false">
      <c r="A848" s="46"/>
      <c r="B848" s="47"/>
      <c r="C848" s="47"/>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ustomFormat="false" ht="14.25" hidden="false" customHeight="true" outlineLevel="0" collapsed="false">
      <c r="A849" s="46"/>
      <c r="B849" s="47"/>
      <c r="C849" s="47"/>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ustomFormat="false" ht="14.25" hidden="false" customHeight="true" outlineLevel="0" collapsed="false">
      <c r="A850" s="46"/>
      <c r="B850" s="47"/>
      <c r="C850" s="47"/>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ustomFormat="false" ht="14.25" hidden="false" customHeight="true" outlineLevel="0" collapsed="false">
      <c r="A851" s="46"/>
      <c r="B851" s="47"/>
      <c r="C851" s="47"/>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ustomFormat="false" ht="14.25" hidden="false" customHeight="true" outlineLevel="0" collapsed="false">
      <c r="A852" s="46"/>
      <c r="B852" s="47"/>
      <c r="C852" s="47"/>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ustomFormat="false" ht="14.25" hidden="false" customHeight="true" outlineLevel="0" collapsed="false">
      <c r="A853" s="46"/>
      <c r="B853" s="47"/>
      <c r="C853" s="47"/>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ustomFormat="false" ht="14.25" hidden="false" customHeight="true" outlineLevel="0" collapsed="false">
      <c r="A854" s="46"/>
      <c r="B854" s="47"/>
      <c r="C854" s="47"/>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ustomFormat="false" ht="14.25" hidden="false" customHeight="true" outlineLevel="0" collapsed="false">
      <c r="A855" s="46"/>
      <c r="B855" s="47"/>
      <c r="C855" s="47"/>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ustomFormat="false" ht="14.25" hidden="false" customHeight="true" outlineLevel="0" collapsed="false">
      <c r="A856" s="46"/>
      <c r="B856" s="47"/>
      <c r="C856" s="47"/>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ustomFormat="false" ht="14.25" hidden="false" customHeight="true" outlineLevel="0" collapsed="false">
      <c r="A857" s="46"/>
      <c r="B857" s="47"/>
      <c r="C857" s="47"/>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ustomFormat="false" ht="14.25" hidden="false" customHeight="true" outlineLevel="0" collapsed="false">
      <c r="A858" s="46"/>
      <c r="B858" s="47"/>
      <c r="C858" s="47"/>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ustomFormat="false" ht="14.25" hidden="false" customHeight="true" outlineLevel="0" collapsed="false">
      <c r="A859" s="46"/>
      <c r="B859" s="47"/>
      <c r="C859" s="47"/>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ustomFormat="false" ht="14.25" hidden="false" customHeight="true" outlineLevel="0" collapsed="false">
      <c r="A860" s="46"/>
      <c r="B860" s="47"/>
      <c r="C860" s="47"/>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ustomFormat="false" ht="14.25" hidden="false" customHeight="true" outlineLevel="0" collapsed="false">
      <c r="A861" s="46"/>
      <c r="B861" s="47"/>
      <c r="C861" s="47"/>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ustomFormat="false" ht="14.25" hidden="false" customHeight="true" outlineLevel="0" collapsed="false">
      <c r="A862" s="46"/>
      <c r="B862" s="47"/>
      <c r="C862" s="47"/>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ustomFormat="false" ht="14.25" hidden="false" customHeight="true" outlineLevel="0" collapsed="false">
      <c r="A863" s="46"/>
      <c r="B863" s="47"/>
      <c r="C863" s="47"/>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ustomFormat="false" ht="14.25" hidden="false" customHeight="true" outlineLevel="0" collapsed="false">
      <c r="A864" s="46"/>
      <c r="B864" s="47"/>
      <c r="C864" s="47"/>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ustomFormat="false" ht="14.25" hidden="false" customHeight="true" outlineLevel="0" collapsed="false">
      <c r="A865" s="46"/>
      <c r="B865" s="47"/>
      <c r="C865" s="47"/>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ustomFormat="false" ht="14.25" hidden="false" customHeight="true" outlineLevel="0" collapsed="false">
      <c r="A866" s="46"/>
      <c r="B866" s="47"/>
      <c r="C866" s="47"/>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ustomFormat="false" ht="14.25" hidden="false" customHeight="true" outlineLevel="0" collapsed="false">
      <c r="A867" s="46"/>
      <c r="B867" s="47"/>
      <c r="C867" s="47"/>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ustomFormat="false" ht="14.25" hidden="false" customHeight="true" outlineLevel="0" collapsed="false">
      <c r="A868" s="46"/>
      <c r="B868" s="47"/>
      <c r="C868" s="47"/>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ustomFormat="false" ht="14.25" hidden="false" customHeight="true" outlineLevel="0" collapsed="false">
      <c r="A869" s="46"/>
      <c r="B869" s="47"/>
      <c r="C869" s="47"/>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ustomFormat="false" ht="14.25" hidden="false" customHeight="true" outlineLevel="0" collapsed="false">
      <c r="A870" s="46"/>
      <c r="B870" s="47"/>
      <c r="C870" s="47"/>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ustomFormat="false" ht="14.25" hidden="false" customHeight="true" outlineLevel="0" collapsed="false">
      <c r="A871" s="46"/>
      <c r="B871" s="47"/>
      <c r="C871" s="47"/>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ustomFormat="false" ht="14.25" hidden="false" customHeight="true" outlineLevel="0" collapsed="false">
      <c r="A872" s="46"/>
      <c r="B872" s="47"/>
      <c r="C872" s="47"/>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ustomFormat="false" ht="14.25" hidden="false" customHeight="true" outlineLevel="0" collapsed="false">
      <c r="A873" s="46"/>
      <c r="B873" s="47"/>
      <c r="C873" s="47"/>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ustomFormat="false" ht="14.25" hidden="false" customHeight="true" outlineLevel="0" collapsed="false">
      <c r="A874" s="46"/>
      <c r="B874" s="47"/>
      <c r="C874" s="47"/>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ustomFormat="false" ht="14.25" hidden="false" customHeight="true" outlineLevel="0" collapsed="false">
      <c r="A875" s="46"/>
      <c r="B875" s="47"/>
      <c r="C875" s="47"/>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ustomFormat="false" ht="14.25" hidden="false" customHeight="true" outlineLevel="0" collapsed="false">
      <c r="A876" s="46"/>
      <c r="B876" s="47"/>
      <c r="C876" s="47"/>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ustomFormat="false" ht="14.25" hidden="false" customHeight="true" outlineLevel="0" collapsed="false">
      <c r="A877" s="46"/>
      <c r="B877" s="47"/>
      <c r="C877" s="47"/>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ustomFormat="false" ht="14.25" hidden="false" customHeight="true" outlineLevel="0" collapsed="false">
      <c r="A878" s="46"/>
      <c r="B878" s="47"/>
      <c r="C878" s="47"/>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ustomFormat="false" ht="14.25" hidden="false" customHeight="true" outlineLevel="0" collapsed="false">
      <c r="A879" s="46"/>
      <c r="B879" s="47"/>
      <c r="C879" s="47"/>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ustomFormat="false" ht="14.25" hidden="false" customHeight="true" outlineLevel="0" collapsed="false">
      <c r="A880" s="46"/>
      <c r="B880" s="47"/>
      <c r="C880" s="47"/>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ustomFormat="false" ht="14.25" hidden="false" customHeight="true" outlineLevel="0" collapsed="false">
      <c r="A881" s="46"/>
      <c r="B881" s="47"/>
      <c r="C881" s="47"/>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ustomFormat="false" ht="14.25" hidden="false" customHeight="true" outlineLevel="0" collapsed="false">
      <c r="A882" s="46"/>
      <c r="B882" s="47"/>
      <c r="C882" s="47"/>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ustomFormat="false" ht="14.25" hidden="false" customHeight="true" outlineLevel="0" collapsed="false">
      <c r="A883" s="46"/>
      <c r="B883" s="47"/>
      <c r="C883" s="47"/>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ustomFormat="false" ht="14.25" hidden="false" customHeight="true" outlineLevel="0" collapsed="false">
      <c r="A884" s="46"/>
      <c r="B884" s="47"/>
      <c r="C884" s="47"/>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ustomFormat="false" ht="14.25" hidden="false" customHeight="true" outlineLevel="0" collapsed="false">
      <c r="A885" s="46"/>
      <c r="B885" s="47"/>
      <c r="C885" s="47"/>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ustomFormat="false" ht="14.25" hidden="false" customHeight="true" outlineLevel="0" collapsed="false">
      <c r="A886" s="46"/>
      <c r="B886" s="47"/>
      <c r="C886" s="47"/>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ustomFormat="false" ht="14.25" hidden="false" customHeight="true" outlineLevel="0" collapsed="false">
      <c r="A887" s="46"/>
      <c r="B887" s="47"/>
      <c r="C887" s="47"/>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ustomFormat="false" ht="14.25" hidden="false" customHeight="true" outlineLevel="0" collapsed="false">
      <c r="A888" s="46"/>
      <c r="B888" s="47"/>
      <c r="C888" s="47"/>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ustomFormat="false" ht="14.25" hidden="false" customHeight="true" outlineLevel="0" collapsed="false">
      <c r="A889" s="46"/>
      <c r="B889" s="47"/>
      <c r="C889" s="47"/>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ustomFormat="false" ht="14.25" hidden="false" customHeight="true" outlineLevel="0" collapsed="false">
      <c r="A890" s="46"/>
      <c r="B890" s="47"/>
      <c r="C890" s="47"/>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ustomFormat="false" ht="14.25" hidden="false" customHeight="true" outlineLevel="0" collapsed="false">
      <c r="A891" s="46"/>
      <c r="B891" s="47"/>
      <c r="C891" s="47"/>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ustomFormat="false" ht="14.25" hidden="false" customHeight="true" outlineLevel="0" collapsed="false">
      <c r="A892" s="46"/>
      <c r="B892" s="47"/>
      <c r="C892" s="47"/>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ustomFormat="false" ht="14.25" hidden="false" customHeight="true" outlineLevel="0" collapsed="false">
      <c r="A893" s="46"/>
      <c r="B893" s="47"/>
      <c r="C893" s="47"/>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ustomFormat="false" ht="14.25" hidden="false" customHeight="true" outlineLevel="0" collapsed="false">
      <c r="A894" s="46"/>
      <c r="B894" s="47"/>
      <c r="C894" s="47"/>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ustomFormat="false" ht="14.25" hidden="false" customHeight="true" outlineLevel="0" collapsed="false">
      <c r="A895" s="46"/>
      <c r="B895" s="47"/>
      <c r="C895" s="47"/>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ustomFormat="false" ht="14.25" hidden="false" customHeight="true" outlineLevel="0" collapsed="false">
      <c r="A896" s="46"/>
      <c r="B896" s="47"/>
      <c r="C896" s="47"/>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ustomFormat="false" ht="14.25" hidden="false" customHeight="true" outlineLevel="0" collapsed="false">
      <c r="A897" s="46"/>
      <c r="B897" s="47"/>
      <c r="C897" s="47"/>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ustomFormat="false" ht="14.25" hidden="false" customHeight="true" outlineLevel="0" collapsed="false">
      <c r="A898" s="46"/>
      <c r="B898" s="47"/>
      <c r="C898" s="47"/>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ustomFormat="false" ht="14.25" hidden="false" customHeight="true" outlineLevel="0" collapsed="false">
      <c r="A899" s="46"/>
      <c r="B899" s="47"/>
      <c r="C899" s="47"/>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ustomFormat="false" ht="14.25" hidden="false" customHeight="true" outlineLevel="0" collapsed="false">
      <c r="A900" s="46"/>
      <c r="B900" s="47"/>
      <c r="C900" s="47"/>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ustomFormat="false" ht="14.25" hidden="false" customHeight="true" outlineLevel="0" collapsed="false">
      <c r="A901" s="46"/>
      <c r="B901" s="47"/>
      <c r="C901" s="47"/>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ustomFormat="false" ht="14.25" hidden="false" customHeight="true" outlineLevel="0" collapsed="false">
      <c r="A902" s="46"/>
      <c r="B902" s="47"/>
      <c r="C902" s="47"/>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ustomFormat="false" ht="14.25" hidden="false" customHeight="true" outlineLevel="0" collapsed="false">
      <c r="A903" s="46"/>
      <c r="B903" s="47"/>
      <c r="C903" s="47"/>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ustomFormat="false" ht="14.25" hidden="false" customHeight="true" outlineLevel="0" collapsed="false">
      <c r="A904" s="46"/>
      <c r="B904" s="47"/>
      <c r="C904" s="47"/>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ustomFormat="false" ht="14.25" hidden="false" customHeight="true" outlineLevel="0" collapsed="false">
      <c r="A905" s="46"/>
      <c r="B905" s="47"/>
      <c r="C905" s="47"/>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ustomFormat="false" ht="14.25" hidden="false" customHeight="true" outlineLevel="0" collapsed="false">
      <c r="A906" s="46"/>
      <c r="B906" s="47"/>
      <c r="C906" s="47"/>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ustomFormat="false" ht="14.25" hidden="false" customHeight="true" outlineLevel="0" collapsed="false">
      <c r="A907" s="46"/>
      <c r="B907" s="47"/>
      <c r="C907" s="47"/>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ustomFormat="false" ht="14.25" hidden="false" customHeight="true" outlineLevel="0" collapsed="false">
      <c r="A908" s="46"/>
      <c r="B908" s="47"/>
      <c r="C908" s="47"/>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ustomFormat="false" ht="14.25" hidden="false" customHeight="true" outlineLevel="0" collapsed="false">
      <c r="A909" s="46"/>
      <c r="B909" s="47"/>
      <c r="C909" s="47"/>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ustomFormat="false" ht="14.25" hidden="false" customHeight="true" outlineLevel="0" collapsed="false">
      <c r="A910" s="46"/>
      <c r="B910" s="47"/>
      <c r="C910" s="47"/>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ustomFormat="false" ht="14.25" hidden="false" customHeight="true" outlineLevel="0" collapsed="false">
      <c r="A911" s="46"/>
      <c r="B911" s="47"/>
      <c r="C911" s="47"/>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ustomFormat="false" ht="14.25" hidden="false" customHeight="true" outlineLevel="0" collapsed="false">
      <c r="A912" s="46"/>
      <c r="B912" s="47"/>
      <c r="C912" s="47"/>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ustomFormat="false" ht="14.25" hidden="false" customHeight="true" outlineLevel="0" collapsed="false">
      <c r="A913" s="46"/>
      <c r="B913" s="47"/>
      <c r="C913" s="47"/>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ustomFormat="false" ht="14.25" hidden="false" customHeight="true" outlineLevel="0" collapsed="false">
      <c r="A914" s="46"/>
      <c r="B914" s="47"/>
      <c r="C914" s="47"/>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ustomFormat="false" ht="14.25" hidden="false" customHeight="true" outlineLevel="0" collapsed="false">
      <c r="A915" s="46"/>
      <c r="B915" s="47"/>
      <c r="C915" s="47"/>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ustomFormat="false" ht="14.25" hidden="false" customHeight="true" outlineLevel="0" collapsed="false">
      <c r="A916" s="46"/>
      <c r="B916" s="47"/>
      <c r="C916" s="47"/>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ustomFormat="false" ht="14.25" hidden="false" customHeight="true" outlineLevel="0" collapsed="false">
      <c r="A917" s="46"/>
      <c r="B917" s="47"/>
      <c r="C917" s="47"/>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ustomFormat="false" ht="14.25" hidden="false" customHeight="true" outlineLevel="0" collapsed="false">
      <c r="A918" s="46"/>
      <c r="B918" s="47"/>
      <c r="C918" s="47"/>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ustomFormat="false" ht="14.25" hidden="false" customHeight="true" outlineLevel="0" collapsed="false">
      <c r="A919" s="46"/>
      <c r="B919" s="47"/>
      <c r="C919" s="47"/>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ustomFormat="false" ht="14.25" hidden="false" customHeight="true" outlineLevel="0" collapsed="false">
      <c r="A920" s="46"/>
      <c r="B920" s="47"/>
      <c r="C920" s="47"/>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ustomFormat="false" ht="14.25" hidden="false" customHeight="true" outlineLevel="0" collapsed="false">
      <c r="A921" s="46"/>
      <c r="B921" s="47"/>
      <c r="C921" s="47"/>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ustomFormat="false" ht="14.25" hidden="false" customHeight="true" outlineLevel="0" collapsed="false">
      <c r="A922" s="46"/>
      <c r="B922" s="47"/>
      <c r="C922" s="47"/>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ustomFormat="false" ht="14.25" hidden="false" customHeight="true" outlineLevel="0" collapsed="false">
      <c r="A923" s="46"/>
      <c r="B923" s="47"/>
      <c r="C923" s="47"/>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ustomFormat="false" ht="14.25" hidden="false" customHeight="true" outlineLevel="0" collapsed="false">
      <c r="A924" s="46"/>
      <c r="B924" s="47"/>
      <c r="C924" s="47"/>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ustomFormat="false" ht="14.25" hidden="false" customHeight="true" outlineLevel="0" collapsed="false">
      <c r="A925" s="46"/>
      <c r="B925" s="47"/>
      <c r="C925" s="47"/>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ustomFormat="false" ht="14.25" hidden="false" customHeight="true" outlineLevel="0" collapsed="false">
      <c r="A926" s="46"/>
      <c r="B926" s="47"/>
      <c r="C926" s="47"/>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ustomFormat="false" ht="14.25" hidden="false" customHeight="true" outlineLevel="0" collapsed="false">
      <c r="A927" s="46"/>
      <c r="B927" s="47"/>
      <c r="C927" s="47"/>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ustomFormat="false" ht="14.25" hidden="false" customHeight="true" outlineLevel="0" collapsed="false">
      <c r="A928" s="46"/>
      <c r="B928" s="47"/>
      <c r="C928" s="47"/>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ustomFormat="false" ht="14.25" hidden="false" customHeight="true" outlineLevel="0" collapsed="false">
      <c r="A929" s="46"/>
      <c r="B929" s="47"/>
      <c r="C929" s="47"/>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ustomFormat="false" ht="14.25" hidden="false" customHeight="true" outlineLevel="0" collapsed="false">
      <c r="A930" s="46"/>
      <c r="B930" s="47"/>
      <c r="C930" s="47"/>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ustomFormat="false" ht="14.25" hidden="false" customHeight="true" outlineLevel="0" collapsed="false">
      <c r="A931" s="46"/>
      <c r="B931" s="47"/>
      <c r="C931" s="47"/>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ustomFormat="false" ht="14.25" hidden="false" customHeight="true" outlineLevel="0" collapsed="false">
      <c r="A932" s="46"/>
      <c r="B932" s="47"/>
      <c r="C932" s="47"/>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ustomFormat="false" ht="14.25" hidden="false" customHeight="true" outlineLevel="0" collapsed="false">
      <c r="A933" s="46"/>
      <c r="B933" s="47"/>
      <c r="C933" s="47"/>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ustomFormat="false" ht="14.25" hidden="false" customHeight="true" outlineLevel="0" collapsed="false">
      <c r="A934" s="46"/>
      <c r="B934" s="47"/>
      <c r="C934" s="47"/>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ustomFormat="false" ht="14.25" hidden="false" customHeight="true" outlineLevel="0" collapsed="false">
      <c r="A935" s="46"/>
      <c r="B935" s="47"/>
      <c r="C935" s="47"/>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ustomFormat="false" ht="14.25" hidden="false" customHeight="true" outlineLevel="0" collapsed="false">
      <c r="A936" s="46"/>
      <c r="B936" s="47"/>
      <c r="C936" s="47"/>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ustomFormat="false" ht="14.25" hidden="false" customHeight="true" outlineLevel="0" collapsed="false">
      <c r="A937" s="46"/>
      <c r="B937" s="47"/>
      <c r="C937" s="47"/>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ustomFormat="false" ht="14.25" hidden="false" customHeight="true" outlineLevel="0" collapsed="false">
      <c r="A938" s="46"/>
      <c r="B938" s="47"/>
      <c r="C938" s="47"/>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ustomFormat="false" ht="14.25" hidden="false" customHeight="true" outlineLevel="0" collapsed="false">
      <c r="A939" s="46"/>
      <c r="B939" s="47"/>
      <c r="C939" s="47"/>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ustomFormat="false" ht="14.25" hidden="false" customHeight="true" outlineLevel="0" collapsed="false">
      <c r="A940" s="46"/>
      <c r="B940" s="47"/>
      <c r="C940" s="47"/>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ustomFormat="false" ht="14.25" hidden="false" customHeight="true" outlineLevel="0" collapsed="false">
      <c r="A941" s="46"/>
      <c r="B941" s="47"/>
      <c r="C941" s="47"/>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ustomFormat="false" ht="14.25" hidden="false" customHeight="true" outlineLevel="0" collapsed="false">
      <c r="A942" s="46"/>
      <c r="B942" s="47"/>
      <c r="C942" s="47"/>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ustomFormat="false" ht="14.25" hidden="false" customHeight="true" outlineLevel="0" collapsed="false">
      <c r="A943" s="46"/>
      <c r="B943" s="47"/>
      <c r="C943" s="47"/>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ustomFormat="false" ht="14.25" hidden="false" customHeight="true" outlineLevel="0" collapsed="false">
      <c r="A944" s="46"/>
      <c r="B944" s="47"/>
      <c r="C944" s="47"/>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ustomFormat="false" ht="14.25" hidden="false" customHeight="true" outlineLevel="0" collapsed="false">
      <c r="A945" s="46"/>
      <c r="B945" s="47"/>
      <c r="C945" s="47"/>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ustomFormat="false" ht="14.25" hidden="false" customHeight="true" outlineLevel="0" collapsed="false">
      <c r="A946" s="46"/>
      <c r="B946" s="47"/>
      <c r="C946" s="47"/>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ustomFormat="false" ht="14.25" hidden="false" customHeight="true" outlineLevel="0" collapsed="false">
      <c r="A947" s="46"/>
      <c r="B947" s="47"/>
      <c r="C947" s="47"/>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ustomFormat="false" ht="14.25" hidden="false" customHeight="true" outlineLevel="0" collapsed="false">
      <c r="A948" s="46"/>
      <c r="B948" s="47"/>
      <c r="C948" s="47"/>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ustomFormat="false" ht="14.25" hidden="false" customHeight="true" outlineLevel="0" collapsed="false">
      <c r="A949" s="46"/>
      <c r="B949" s="47"/>
      <c r="C949" s="47"/>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ustomFormat="false" ht="14.25" hidden="false" customHeight="true" outlineLevel="0" collapsed="false">
      <c r="A950" s="46"/>
      <c r="B950" s="47"/>
      <c r="C950" s="47"/>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ustomFormat="false" ht="14.25" hidden="false" customHeight="true" outlineLevel="0" collapsed="false">
      <c r="A951" s="46"/>
      <c r="B951" s="47"/>
      <c r="C951" s="47"/>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ustomFormat="false" ht="14.25" hidden="false" customHeight="true" outlineLevel="0" collapsed="false">
      <c r="A952" s="46"/>
      <c r="B952" s="47"/>
      <c r="C952" s="47"/>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ustomFormat="false" ht="14.25" hidden="false" customHeight="true" outlineLevel="0" collapsed="false">
      <c r="A953" s="46"/>
      <c r="B953" s="47"/>
      <c r="C953" s="47"/>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ustomFormat="false" ht="14.25" hidden="false" customHeight="true" outlineLevel="0" collapsed="false">
      <c r="A954" s="46"/>
      <c r="B954" s="47"/>
      <c r="C954" s="47"/>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ustomFormat="false" ht="14.25" hidden="false" customHeight="true" outlineLevel="0" collapsed="false">
      <c r="A955" s="46"/>
      <c r="B955" s="47"/>
      <c r="C955" s="47"/>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ustomFormat="false" ht="14.25" hidden="false" customHeight="true" outlineLevel="0" collapsed="false">
      <c r="A956" s="46"/>
      <c r="B956" s="47"/>
      <c r="C956" s="47"/>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ustomFormat="false" ht="14.25" hidden="false" customHeight="true" outlineLevel="0" collapsed="false">
      <c r="A957" s="46"/>
      <c r="B957" s="47"/>
      <c r="C957" s="47"/>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ustomFormat="false" ht="14.25" hidden="false" customHeight="true" outlineLevel="0" collapsed="false">
      <c r="A958" s="46"/>
      <c r="B958" s="47"/>
      <c r="C958" s="47"/>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ustomFormat="false" ht="14.25" hidden="false" customHeight="true" outlineLevel="0" collapsed="false">
      <c r="A959" s="46"/>
      <c r="B959" s="47"/>
      <c r="C959" s="47"/>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ustomFormat="false" ht="14.25" hidden="false" customHeight="true" outlineLevel="0" collapsed="false">
      <c r="A960" s="46"/>
      <c r="B960" s="47"/>
      <c r="C960" s="47"/>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ustomFormat="false" ht="14.25" hidden="false" customHeight="true" outlineLevel="0" collapsed="false">
      <c r="A961" s="46"/>
      <c r="B961" s="47"/>
      <c r="C961" s="47"/>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ustomFormat="false" ht="14.25" hidden="false" customHeight="true" outlineLevel="0" collapsed="false">
      <c r="A962" s="46"/>
      <c r="B962" s="47"/>
      <c r="C962" s="47"/>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ustomFormat="false" ht="14.25" hidden="false" customHeight="true" outlineLevel="0" collapsed="false">
      <c r="A963" s="46"/>
      <c r="B963" s="47"/>
      <c r="C963" s="47"/>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ustomFormat="false" ht="14.25" hidden="false" customHeight="true" outlineLevel="0" collapsed="false">
      <c r="A964" s="46"/>
      <c r="B964" s="47"/>
      <c r="C964" s="47"/>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ustomFormat="false" ht="14.25" hidden="false" customHeight="true" outlineLevel="0" collapsed="false">
      <c r="A965" s="46"/>
      <c r="B965" s="47"/>
      <c r="C965" s="47"/>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ustomFormat="false" ht="14.25" hidden="false" customHeight="true" outlineLevel="0" collapsed="false">
      <c r="A966" s="46"/>
      <c r="B966" s="47"/>
      <c r="C966" s="47"/>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ustomFormat="false" ht="14.25" hidden="false" customHeight="true" outlineLevel="0" collapsed="false">
      <c r="A967" s="46"/>
      <c r="B967" s="47"/>
      <c r="C967" s="47"/>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ustomFormat="false" ht="14.25" hidden="false" customHeight="true" outlineLevel="0" collapsed="false">
      <c r="A968" s="46"/>
      <c r="B968" s="47"/>
      <c r="C968" s="47"/>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ustomFormat="false" ht="14.25" hidden="false" customHeight="true" outlineLevel="0" collapsed="false">
      <c r="A969" s="46"/>
      <c r="B969" s="47"/>
      <c r="C969" s="47"/>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ustomFormat="false" ht="14.25" hidden="false" customHeight="true" outlineLevel="0" collapsed="false">
      <c r="A970" s="46"/>
      <c r="B970" s="47"/>
      <c r="C970" s="47"/>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ustomFormat="false" ht="14.25" hidden="false" customHeight="true" outlineLevel="0" collapsed="false">
      <c r="A971" s="46"/>
      <c r="B971" s="47"/>
      <c r="C971" s="47"/>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ustomFormat="false" ht="14.25" hidden="false" customHeight="true" outlineLevel="0" collapsed="false">
      <c r="A972" s="46"/>
      <c r="B972" s="47"/>
      <c r="C972" s="47"/>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ustomFormat="false" ht="14.25" hidden="false" customHeight="true" outlineLevel="0" collapsed="false">
      <c r="A973" s="46"/>
      <c r="B973" s="47"/>
      <c r="C973" s="47"/>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ustomFormat="false" ht="14.25" hidden="false" customHeight="true" outlineLevel="0" collapsed="false">
      <c r="A974" s="46"/>
      <c r="B974" s="47"/>
      <c r="C974" s="47"/>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ustomFormat="false" ht="14.25" hidden="false" customHeight="true" outlineLevel="0" collapsed="false">
      <c r="A975" s="46"/>
      <c r="B975" s="47"/>
      <c r="C975" s="47"/>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ustomFormat="false" ht="14.25" hidden="false" customHeight="true" outlineLevel="0" collapsed="false">
      <c r="A976" s="46"/>
      <c r="B976" s="47"/>
      <c r="C976" s="47"/>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ustomFormat="false" ht="14.25" hidden="false" customHeight="true" outlineLevel="0" collapsed="false">
      <c r="A977" s="46"/>
      <c r="B977" s="47"/>
      <c r="C977" s="47"/>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ustomFormat="false" ht="14.25" hidden="false" customHeight="true" outlineLevel="0" collapsed="false">
      <c r="A978" s="46"/>
      <c r="B978" s="47"/>
      <c r="C978" s="47"/>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ustomFormat="false" ht="14.25" hidden="false" customHeight="true" outlineLevel="0" collapsed="false">
      <c r="A979" s="46"/>
      <c r="B979" s="47"/>
      <c r="C979" s="47"/>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ustomFormat="false" ht="14.25" hidden="false" customHeight="true" outlineLevel="0" collapsed="false">
      <c r="A980" s="46"/>
      <c r="B980" s="47"/>
      <c r="C980" s="47"/>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ustomFormat="false" ht="14.25" hidden="false" customHeight="true" outlineLevel="0" collapsed="false">
      <c r="A981" s="46"/>
      <c r="B981" s="47"/>
      <c r="C981" s="47"/>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ustomFormat="false" ht="14.25" hidden="false" customHeight="true" outlineLevel="0" collapsed="false">
      <c r="A982" s="46"/>
      <c r="B982" s="47"/>
      <c r="C982" s="47"/>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ustomFormat="false" ht="14.25" hidden="false" customHeight="true" outlineLevel="0" collapsed="false">
      <c r="A983" s="46"/>
      <c r="B983" s="47"/>
      <c r="C983" s="47"/>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ustomFormat="false" ht="14.25" hidden="false" customHeight="true" outlineLevel="0" collapsed="false">
      <c r="A984" s="46"/>
      <c r="B984" s="47"/>
      <c r="C984" s="47"/>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ustomFormat="false" ht="14.25" hidden="false" customHeight="true" outlineLevel="0" collapsed="false">
      <c r="A985" s="46"/>
      <c r="B985" s="47"/>
      <c r="C985" s="47"/>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ustomFormat="false" ht="14.25" hidden="false" customHeight="true" outlineLevel="0" collapsed="false">
      <c r="A986" s="46"/>
      <c r="B986" s="47"/>
      <c r="C986" s="47"/>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ustomFormat="false" ht="14.25" hidden="false" customHeight="true" outlineLevel="0" collapsed="false">
      <c r="A987" s="46"/>
      <c r="B987" s="47"/>
      <c r="C987" s="47"/>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ustomFormat="false" ht="14.25" hidden="false" customHeight="true" outlineLevel="0" collapsed="false">
      <c r="A988" s="46"/>
      <c r="B988" s="47"/>
      <c r="C988" s="47"/>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ustomFormat="false" ht="14.25" hidden="false" customHeight="true" outlineLevel="0" collapsed="false">
      <c r="A989" s="46"/>
      <c r="B989" s="47"/>
      <c r="C989" s="47"/>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ustomFormat="false" ht="14.25" hidden="false" customHeight="true" outlineLevel="0" collapsed="false">
      <c r="A990" s="46"/>
      <c r="B990" s="47"/>
      <c r="C990" s="47"/>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ustomFormat="false" ht="14.25" hidden="false" customHeight="true" outlineLevel="0" collapsed="false">
      <c r="A991" s="46"/>
      <c r="B991" s="47"/>
      <c r="C991" s="47"/>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ustomFormat="false" ht="14.25" hidden="false" customHeight="true" outlineLevel="0" collapsed="false">
      <c r="A992" s="46"/>
      <c r="B992" s="47"/>
      <c r="C992" s="47"/>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ustomFormat="false" ht="14.25" hidden="false" customHeight="true" outlineLevel="0" collapsed="false">
      <c r="A993" s="46"/>
      <c r="B993" s="47"/>
      <c r="C993" s="47"/>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ustomFormat="false" ht="14.25" hidden="false" customHeight="true" outlineLevel="0" collapsed="false">
      <c r="A994" s="46"/>
      <c r="B994" s="47"/>
      <c r="C994" s="47"/>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ustomFormat="false" ht="14.25" hidden="false" customHeight="true" outlineLevel="0" collapsed="false">
      <c r="A995" s="46"/>
      <c r="B995" s="47"/>
      <c r="C995" s="47"/>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ustomFormat="false" ht="14.25" hidden="false" customHeight="true" outlineLevel="0" collapsed="false">
      <c r="A996" s="46"/>
      <c r="B996" s="47"/>
      <c r="C996" s="47"/>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ustomFormat="false" ht="14.25" hidden="false" customHeight="true" outlineLevel="0" collapsed="false">
      <c r="A997" s="46"/>
      <c r="B997" s="47"/>
      <c r="C997" s="47"/>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ustomFormat="false" ht="14.25" hidden="false" customHeight="true" outlineLevel="0" collapsed="false">
      <c r="A998" s="46"/>
      <c r="B998" s="47"/>
      <c r="C998" s="47"/>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ustomFormat="false" ht="14.25" hidden="false" customHeight="true" outlineLevel="0" collapsed="false">
      <c r="A999" s="46"/>
      <c r="B999" s="47"/>
      <c r="C999" s="47"/>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ustomFormat="false" ht="14.25" hidden="false" customHeight="true" outlineLevel="0" collapsed="false">
      <c r="A1000" s="46"/>
      <c r="B1000" s="47"/>
      <c r="C1000" s="47"/>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2" colorId="64" zoomScale="80" zoomScaleNormal="80" zoomScalePageLayoutView="100" workbookViewId="0">
      <selection pane="topLeft" activeCell="E10" activeCellId="0" sqref="E10"/>
    </sheetView>
  </sheetViews>
  <sheetFormatPr defaultColWidth="14.36328125" defaultRowHeight="14.25" zeroHeight="false" outlineLevelRow="0" outlineLevelCol="0"/>
  <cols>
    <col collapsed="false" customWidth="true" hidden="false" outlineLevel="0" max="1" min="1" style="1" width="26.09"/>
    <col collapsed="false" customWidth="true" hidden="false" outlineLevel="0" max="2" min="2" style="1" width="33.27"/>
    <col collapsed="false" customWidth="true" hidden="false" outlineLevel="0" max="3" min="3" style="1" width="22"/>
    <col collapsed="false" customWidth="true" hidden="false" outlineLevel="0" max="4" min="4" style="1" width="25.27"/>
    <col collapsed="false" customWidth="true" hidden="false" outlineLevel="0" max="5" min="5" style="1" width="30.63"/>
    <col collapsed="false" customWidth="true" hidden="true" outlineLevel="0" max="6" min="6" style="1" width="31.27"/>
    <col collapsed="false" customWidth="true" hidden="false" outlineLevel="0" max="26" min="7" style="1" width="8.73"/>
    <col collapsed="false" customWidth="false" hidden="false" outlineLevel="0" max="16384" min="27" style="1" width="14.36"/>
  </cols>
  <sheetData>
    <row r="1" customFormat="false" ht="19.5" hidden="false" customHeight="true" outlineLevel="0" collapsed="false">
      <c r="A1" s="46"/>
      <c r="B1" s="46"/>
      <c r="C1" s="46"/>
      <c r="D1" s="46"/>
      <c r="E1" s="46"/>
      <c r="F1" s="46"/>
      <c r="G1" s="46"/>
      <c r="H1" s="46"/>
      <c r="I1" s="46"/>
      <c r="J1" s="46"/>
      <c r="K1" s="46"/>
      <c r="L1" s="46"/>
      <c r="M1" s="46"/>
      <c r="N1" s="46"/>
      <c r="O1" s="46"/>
      <c r="P1" s="46"/>
      <c r="Q1" s="46"/>
      <c r="R1" s="46"/>
      <c r="S1" s="46"/>
      <c r="T1" s="46"/>
      <c r="U1" s="46"/>
      <c r="V1" s="46"/>
      <c r="W1" s="46"/>
      <c r="X1" s="46"/>
      <c r="Y1" s="46"/>
      <c r="Z1" s="46"/>
    </row>
    <row r="2" customFormat="false" ht="19.5" hidden="false" customHeight="true" outlineLevel="0" collapsed="false">
      <c r="A2" s="54"/>
      <c r="B2" s="55" t="s">
        <v>74</v>
      </c>
      <c r="C2" s="56" t="n">
        <v>1</v>
      </c>
      <c r="D2" s="56" t="n">
        <v>3</v>
      </c>
      <c r="E2" s="56" t="n">
        <v>5</v>
      </c>
      <c r="F2" s="57"/>
      <c r="G2" s="46"/>
      <c r="H2" s="46"/>
      <c r="I2" s="46"/>
      <c r="J2" s="46"/>
      <c r="K2" s="46"/>
      <c r="L2" s="46"/>
      <c r="M2" s="46"/>
      <c r="N2" s="46"/>
      <c r="O2" s="46"/>
      <c r="P2" s="46"/>
      <c r="Q2" s="46"/>
      <c r="R2" s="46"/>
      <c r="S2" s="46"/>
      <c r="T2" s="46"/>
      <c r="U2" s="46"/>
      <c r="V2" s="46"/>
      <c r="W2" s="46"/>
      <c r="X2" s="46"/>
      <c r="Y2" s="46"/>
      <c r="Z2" s="46"/>
    </row>
    <row r="3" customFormat="false" ht="19.5" hidden="false" customHeight="true" outlineLevel="0" collapsed="false">
      <c r="A3" s="56" t="s">
        <v>105</v>
      </c>
      <c r="B3" s="55" t="s">
        <v>106</v>
      </c>
      <c r="C3" s="56" t="s">
        <v>77</v>
      </c>
      <c r="D3" s="56" t="s">
        <v>79</v>
      </c>
      <c r="E3" s="56" t="s">
        <v>107</v>
      </c>
      <c r="F3" s="57"/>
      <c r="G3" s="46"/>
      <c r="H3" s="46"/>
      <c r="I3" s="46"/>
      <c r="J3" s="46"/>
      <c r="K3" s="46"/>
      <c r="L3" s="46"/>
      <c r="M3" s="46"/>
      <c r="N3" s="46"/>
      <c r="O3" s="46"/>
      <c r="P3" s="46"/>
      <c r="Q3" s="46"/>
      <c r="R3" s="46"/>
      <c r="S3" s="46"/>
      <c r="T3" s="46"/>
      <c r="U3" s="46"/>
      <c r="V3" s="46"/>
      <c r="W3" s="46"/>
      <c r="X3" s="46"/>
      <c r="Y3" s="46"/>
      <c r="Z3" s="46"/>
    </row>
    <row r="4" customFormat="false" ht="28.5" hidden="false" customHeight="true" outlineLevel="0" collapsed="false">
      <c r="A4" s="58" t="s">
        <v>108</v>
      </c>
      <c r="B4" s="24" t="s">
        <v>63</v>
      </c>
      <c r="C4" s="59" t="n">
        <v>10</v>
      </c>
      <c r="D4" s="60" t="s">
        <v>109</v>
      </c>
      <c r="E4" s="59" t="s">
        <v>110</v>
      </c>
      <c r="F4" s="26" t="s">
        <v>111</v>
      </c>
      <c r="G4" s="46"/>
      <c r="H4" s="47" t="s">
        <v>112</v>
      </c>
      <c r="I4" s="47"/>
      <c r="J4" s="46"/>
      <c r="K4" s="61" t="n">
        <v>1</v>
      </c>
      <c r="L4" s="61"/>
      <c r="M4" s="61"/>
      <c r="N4" s="61"/>
      <c r="O4" s="46"/>
      <c r="P4" s="46"/>
      <c r="Q4" s="46"/>
      <c r="R4" s="46"/>
      <c r="S4" s="46"/>
      <c r="T4" s="46"/>
      <c r="U4" s="46"/>
      <c r="V4" s="46"/>
      <c r="W4" s="46"/>
      <c r="X4" s="46"/>
      <c r="Y4" s="46"/>
      <c r="Z4" s="46"/>
    </row>
    <row r="5" customFormat="false" ht="19.5" hidden="false" customHeight="true" outlineLevel="0" collapsed="false">
      <c r="A5" s="58"/>
      <c r="B5" s="25" t="s">
        <v>64</v>
      </c>
      <c r="C5" s="59" t="n">
        <v>1</v>
      </c>
      <c r="D5" s="59" t="s">
        <v>113</v>
      </c>
      <c r="E5" s="59" t="s">
        <v>114</v>
      </c>
      <c r="F5" s="57"/>
      <c r="G5" s="46"/>
      <c r="H5" s="46" t="s">
        <v>115</v>
      </c>
      <c r="I5" s="46" t="s">
        <v>116</v>
      </c>
      <c r="J5" s="46"/>
      <c r="K5" s="61"/>
      <c r="L5" s="61"/>
      <c r="M5" s="61"/>
      <c r="N5" s="61"/>
      <c r="O5" s="46"/>
      <c r="P5" s="46"/>
      <c r="Q5" s="46"/>
      <c r="R5" s="46"/>
      <c r="S5" s="46"/>
      <c r="T5" s="46"/>
      <c r="U5" s="46"/>
      <c r="V5" s="46"/>
      <c r="W5" s="46"/>
      <c r="X5" s="46"/>
      <c r="Y5" s="46"/>
      <c r="Z5" s="46"/>
    </row>
    <row r="6" customFormat="false" ht="19.5" hidden="false" customHeight="true" outlineLevel="0" collapsed="false">
      <c r="A6" s="58"/>
      <c r="B6" s="25" t="s">
        <v>65</v>
      </c>
      <c r="C6" s="59" t="s">
        <v>117</v>
      </c>
      <c r="D6" s="59" t="s">
        <v>118</v>
      </c>
      <c r="E6" s="59" t="s">
        <v>119</v>
      </c>
      <c r="F6" s="57"/>
      <c r="G6" s="46"/>
      <c r="H6" s="46" t="s">
        <v>120</v>
      </c>
      <c r="I6" s="46"/>
      <c r="J6" s="46"/>
      <c r="K6" s="61"/>
      <c r="L6" s="61"/>
      <c r="M6" s="61"/>
      <c r="N6" s="61"/>
      <c r="O6" s="46"/>
      <c r="P6" s="46"/>
      <c r="Q6" s="46"/>
      <c r="R6" s="46"/>
      <c r="S6" s="46"/>
      <c r="T6" s="46"/>
      <c r="U6" s="46"/>
      <c r="V6" s="46"/>
      <c r="W6" s="46"/>
      <c r="X6" s="46"/>
      <c r="Y6" s="46"/>
      <c r="Z6" s="46"/>
    </row>
    <row r="7" customFormat="false" ht="19.5" hidden="false" customHeight="true" outlineLevel="0" collapsed="false">
      <c r="A7" s="58"/>
      <c r="B7" s="25" t="s">
        <v>66</v>
      </c>
      <c r="C7" s="59" t="s">
        <v>121</v>
      </c>
      <c r="D7" s="59" t="s">
        <v>122</v>
      </c>
      <c r="E7" s="59" t="s">
        <v>123</v>
      </c>
      <c r="F7" s="57"/>
      <c r="G7" s="46"/>
      <c r="H7" s="46" t="s">
        <v>124</v>
      </c>
      <c r="I7" s="46"/>
      <c r="J7" s="46"/>
      <c r="K7" s="61"/>
      <c r="L7" s="61"/>
      <c r="M7" s="61"/>
      <c r="N7" s="61"/>
      <c r="O7" s="46"/>
      <c r="P7" s="46"/>
      <c r="Q7" s="46"/>
      <c r="R7" s="46"/>
      <c r="S7" s="46"/>
      <c r="T7" s="46"/>
      <c r="U7" s="46"/>
      <c r="V7" s="46"/>
      <c r="W7" s="46"/>
      <c r="X7" s="46"/>
      <c r="Y7" s="46"/>
      <c r="Z7" s="46"/>
    </row>
    <row r="8" customFormat="false" ht="19.5" hidden="false" customHeight="true" outlineLevel="0" collapsed="false">
      <c r="A8" s="58"/>
      <c r="B8" s="25" t="s">
        <v>67</v>
      </c>
      <c r="C8" s="59" t="n">
        <v>2</v>
      </c>
      <c r="D8" s="59" t="s">
        <v>125</v>
      </c>
      <c r="E8" s="59" t="s">
        <v>126</v>
      </c>
      <c r="F8" s="57"/>
      <c r="G8" s="46"/>
      <c r="H8" s="46" t="s">
        <v>127</v>
      </c>
      <c r="I8" s="46"/>
      <c r="J8" s="46"/>
      <c r="K8" s="61"/>
      <c r="L8" s="61"/>
      <c r="M8" s="61"/>
      <c r="N8" s="61"/>
      <c r="O8" s="46"/>
      <c r="P8" s="46"/>
      <c r="Q8" s="46"/>
      <c r="R8" s="46"/>
      <c r="S8" s="46"/>
      <c r="T8" s="46"/>
      <c r="U8" s="46"/>
      <c r="V8" s="46"/>
      <c r="W8" s="46"/>
      <c r="X8" s="46"/>
      <c r="Y8" s="46"/>
      <c r="Z8" s="46"/>
    </row>
    <row r="9" customFormat="false" ht="19.5" hidden="false" customHeight="true" outlineLevel="0" collapsed="false">
      <c r="A9" s="58"/>
      <c r="B9" s="25" t="s">
        <v>68</v>
      </c>
      <c r="C9" s="59" t="n">
        <v>3</v>
      </c>
      <c r="D9" s="59" t="s">
        <v>128</v>
      </c>
      <c r="E9" s="59" t="s">
        <v>129</v>
      </c>
      <c r="F9" s="57"/>
      <c r="G9" s="46"/>
      <c r="H9" s="46" t="s">
        <v>130</v>
      </c>
      <c r="I9" s="46"/>
      <c r="J9" s="46"/>
      <c r="K9" s="61"/>
      <c r="L9" s="61"/>
      <c r="M9" s="61"/>
      <c r="N9" s="61"/>
      <c r="O9" s="46"/>
      <c r="P9" s="46"/>
      <c r="Q9" s="46"/>
      <c r="R9" s="46"/>
      <c r="S9" s="46"/>
      <c r="T9" s="46"/>
      <c r="U9" s="46"/>
      <c r="V9" s="46"/>
      <c r="W9" s="46"/>
      <c r="X9" s="46"/>
      <c r="Y9" s="46"/>
      <c r="Z9" s="46"/>
    </row>
    <row r="10" customFormat="false" ht="42" hidden="false" customHeight="true" outlineLevel="0" collapsed="false">
      <c r="A10" s="58"/>
      <c r="B10" s="24" t="s">
        <v>69</v>
      </c>
      <c r="C10" s="62" t="s">
        <v>131</v>
      </c>
      <c r="D10" s="26" t="s">
        <v>132</v>
      </c>
      <c r="E10" s="26" t="s">
        <v>133</v>
      </c>
      <c r="F10" s="57"/>
      <c r="G10" s="46"/>
      <c r="H10" s="46" t="s">
        <v>134</v>
      </c>
      <c r="I10" s="46"/>
      <c r="J10" s="46"/>
      <c r="K10" s="61"/>
      <c r="L10" s="61"/>
      <c r="M10" s="61"/>
      <c r="N10" s="61"/>
      <c r="O10" s="46"/>
      <c r="P10" s="46"/>
      <c r="Q10" s="46"/>
      <c r="R10" s="46"/>
      <c r="S10" s="46"/>
      <c r="T10" s="46"/>
      <c r="U10" s="46"/>
      <c r="V10" s="46"/>
      <c r="W10" s="46"/>
      <c r="X10" s="46"/>
      <c r="Y10" s="46"/>
      <c r="Z10" s="46"/>
    </row>
    <row r="11" customFormat="false" ht="19.5" hidden="false" customHeight="true" outlineLevel="0" collapsed="false">
      <c r="A11" s="58"/>
      <c r="B11" s="25" t="s">
        <v>70</v>
      </c>
      <c r="C11" s="59" t="n">
        <v>2</v>
      </c>
      <c r="D11" s="59" t="s">
        <v>125</v>
      </c>
      <c r="E11" s="59" t="s">
        <v>129</v>
      </c>
      <c r="F11" s="57"/>
      <c r="G11" s="46"/>
      <c r="H11" s="46" t="s">
        <v>135</v>
      </c>
      <c r="I11" s="46"/>
      <c r="J11" s="46"/>
      <c r="K11" s="61"/>
      <c r="L11" s="61"/>
      <c r="M11" s="61"/>
      <c r="N11" s="61"/>
      <c r="O11" s="46"/>
      <c r="P11" s="46"/>
      <c r="Q11" s="46"/>
      <c r="R11" s="46"/>
      <c r="S11" s="46"/>
      <c r="T11" s="46"/>
      <c r="U11" s="46"/>
      <c r="V11" s="46"/>
      <c r="W11" s="46"/>
      <c r="X11" s="46"/>
      <c r="Y11" s="46"/>
      <c r="Z11" s="46"/>
    </row>
    <row r="12" customFormat="false" ht="30.75" hidden="false" customHeight="true" outlineLevel="0" collapsed="false">
      <c r="A12" s="58"/>
      <c r="B12" s="26" t="s">
        <v>71</v>
      </c>
      <c r="C12" s="26" t="s">
        <v>136</v>
      </c>
      <c r="D12" s="26" t="s">
        <v>137</v>
      </c>
      <c r="E12" s="26" t="s">
        <v>138</v>
      </c>
      <c r="F12" s="57"/>
      <c r="G12" s="46"/>
      <c r="H12" s="46" t="s">
        <v>139</v>
      </c>
      <c r="I12" s="46"/>
      <c r="J12" s="46"/>
      <c r="K12" s="61"/>
      <c r="L12" s="61"/>
      <c r="M12" s="61"/>
      <c r="N12" s="61"/>
      <c r="O12" s="46"/>
      <c r="P12" s="46"/>
      <c r="Q12" s="46"/>
      <c r="R12" s="46"/>
      <c r="S12" s="46"/>
      <c r="T12" s="46"/>
      <c r="U12" s="46"/>
      <c r="V12" s="46"/>
      <c r="W12" s="46"/>
      <c r="X12" s="46"/>
      <c r="Y12" s="46"/>
      <c r="Z12" s="46"/>
    </row>
    <row r="13" customFormat="false" ht="46.5" hidden="false" customHeight="true" outlineLevel="0" collapsed="false">
      <c r="A13" s="58"/>
      <c r="B13" s="26" t="s">
        <v>72</v>
      </c>
      <c r="C13" s="26" t="s">
        <v>140</v>
      </c>
      <c r="D13" s="26" t="s">
        <v>141</v>
      </c>
      <c r="E13" s="26" t="s">
        <v>142</v>
      </c>
      <c r="F13" s="57"/>
      <c r="G13" s="46"/>
      <c r="H13" s="46" t="s">
        <v>143</v>
      </c>
      <c r="I13" s="46"/>
      <c r="J13" s="46"/>
      <c r="K13" s="61"/>
      <c r="L13" s="61"/>
      <c r="M13" s="61"/>
      <c r="N13" s="61"/>
      <c r="O13" s="46"/>
      <c r="P13" s="46"/>
      <c r="Q13" s="46"/>
      <c r="R13" s="46"/>
      <c r="S13" s="46"/>
      <c r="T13" s="46"/>
      <c r="U13" s="46"/>
      <c r="V13" s="46"/>
      <c r="W13" s="46"/>
      <c r="X13" s="46"/>
      <c r="Y13" s="46"/>
      <c r="Z13" s="46"/>
    </row>
    <row r="14" customFormat="false" ht="81" hidden="false" customHeight="true" outlineLevel="0" collapsed="false">
      <c r="A14" s="58"/>
      <c r="B14" s="63" t="s">
        <v>73</v>
      </c>
      <c r="C14" s="63" t="s">
        <v>144</v>
      </c>
      <c r="D14" s="63" t="s">
        <v>145</v>
      </c>
      <c r="E14" s="63" t="s">
        <v>146</v>
      </c>
      <c r="F14" s="57"/>
      <c r="G14" s="46"/>
      <c r="H14" s="46" t="s">
        <v>147</v>
      </c>
      <c r="I14" s="46"/>
      <c r="J14" s="46"/>
      <c r="K14" s="61"/>
      <c r="L14" s="61"/>
      <c r="M14" s="61"/>
      <c r="N14" s="61"/>
      <c r="O14" s="46"/>
      <c r="P14" s="46"/>
      <c r="Q14" s="46"/>
      <c r="R14" s="46"/>
      <c r="S14" s="46"/>
      <c r="T14" s="46"/>
      <c r="U14" s="46"/>
      <c r="V14" s="46"/>
      <c r="W14" s="46"/>
      <c r="X14" s="46"/>
      <c r="Y14" s="46"/>
      <c r="Z14" s="46"/>
    </row>
    <row r="15" customFormat="false" ht="19.5" hidden="false" customHeight="true" outlineLevel="0" collapsed="false">
      <c r="A15" s="58"/>
      <c r="B15" s="64"/>
      <c r="C15" s="65"/>
      <c r="D15" s="65"/>
      <c r="E15" s="65"/>
      <c r="F15" s="57"/>
      <c r="G15" s="46"/>
      <c r="H15" s="46" t="s">
        <v>148</v>
      </c>
      <c r="I15" s="46"/>
      <c r="J15" s="46"/>
      <c r="K15" s="61"/>
      <c r="L15" s="61"/>
      <c r="M15" s="61"/>
      <c r="N15" s="61"/>
      <c r="O15" s="46"/>
      <c r="P15" s="46"/>
      <c r="Q15" s="46"/>
      <c r="R15" s="46"/>
      <c r="S15" s="46"/>
      <c r="T15" s="46"/>
      <c r="U15" s="46"/>
      <c r="V15" s="46"/>
      <c r="W15" s="46"/>
      <c r="X15" s="46"/>
      <c r="Y15" s="46"/>
      <c r="Z15" s="46"/>
    </row>
    <row r="16" customFormat="false" ht="19.5" hidden="false" customHeight="true" outlineLevel="0" collapsed="false">
      <c r="A16" s="58"/>
      <c r="B16" s="64"/>
      <c r="C16" s="65"/>
      <c r="D16" s="65"/>
      <c r="E16" s="65"/>
      <c r="F16" s="57"/>
      <c r="G16" s="46"/>
      <c r="H16" s="46"/>
      <c r="I16" s="46"/>
      <c r="J16" s="46"/>
      <c r="K16" s="61"/>
      <c r="L16" s="61"/>
      <c r="M16" s="61"/>
      <c r="N16" s="61"/>
      <c r="O16" s="46"/>
      <c r="P16" s="46"/>
      <c r="Q16" s="46"/>
      <c r="R16" s="46"/>
      <c r="S16" s="46"/>
      <c r="T16" s="46"/>
      <c r="U16" s="46"/>
      <c r="V16" s="46"/>
      <c r="W16" s="46"/>
      <c r="X16" s="46"/>
      <c r="Y16" s="46"/>
      <c r="Z16" s="46"/>
    </row>
    <row r="17" customFormat="false" ht="19.5" hidden="false" customHeight="true" outlineLevel="0" collapsed="false">
      <c r="A17" s="58"/>
      <c r="B17" s="64"/>
      <c r="C17" s="65"/>
      <c r="D17" s="65"/>
      <c r="E17" s="65"/>
      <c r="F17" s="57"/>
      <c r="G17" s="46"/>
      <c r="H17" s="46"/>
      <c r="I17" s="46"/>
      <c r="J17" s="46"/>
      <c r="K17" s="61"/>
      <c r="L17" s="61"/>
      <c r="M17" s="61"/>
      <c r="N17" s="61"/>
      <c r="O17" s="46"/>
      <c r="P17" s="46"/>
      <c r="Q17" s="46"/>
      <c r="R17" s="46"/>
      <c r="S17" s="46"/>
      <c r="T17" s="46"/>
      <c r="U17" s="46"/>
      <c r="V17" s="46"/>
      <c r="W17" s="46"/>
      <c r="X17" s="46"/>
      <c r="Y17" s="46"/>
      <c r="Z17" s="46"/>
    </row>
    <row r="18" customFormat="false" ht="19.5" hidden="false" customHeight="true" outlineLevel="0" collapsed="false">
      <c r="A18" s="58"/>
      <c r="B18" s="64"/>
      <c r="C18" s="65"/>
      <c r="D18" s="65"/>
      <c r="E18" s="65"/>
      <c r="F18" s="57"/>
      <c r="G18" s="46"/>
      <c r="H18" s="46"/>
      <c r="I18" s="46"/>
      <c r="J18" s="46"/>
      <c r="K18" s="46"/>
      <c r="L18" s="46"/>
      <c r="M18" s="46"/>
      <c r="N18" s="46"/>
      <c r="O18" s="46"/>
      <c r="P18" s="46"/>
      <c r="Q18" s="46"/>
      <c r="R18" s="46"/>
      <c r="S18" s="46"/>
      <c r="T18" s="46"/>
      <c r="U18" s="46"/>
      <c r="V18" s="46"/>
      <c r="W18" s="46"/>
      <c r="X18" s="46"/>
      <c r="Y18" s="46"/>
      <c r="Z18" s="46"/>
    </row>
    <row r="19" customFormat="false" ht="19.5" hidden="false" customHeight="true" outlineLevel="0" collapsed="false">
      <c r="A19" s="58"/>
      <c r="B19" s="26"/>
      <c r="C19" s="26"/>
      <c r="D19" s="26"/>
      <c r="E19" s="26"/>
      <c r="F19" s="26" t="s">
        <v>149</v>
      </c>
      <c r="G19" s="46"/>
      <c r="H19" s="46"/>
      <c r="I19" s="46"/>
      <c r="J19" s="46"/>
      <c r="K19" s="46"/>
      <c r="L19" s="46"/>
      <c r="M19" s="46"/>
      <c r="N19" s="46"/>
      <c r="O19" s="46"/>
      <c r="P19" s="46"/>
      <c r="Q19" s="46"/>
      <c r="R19" s="46"/>
      <c r="S19" s="46"/>
      <c r="T19" s="46"/>
      <c r="U19" s="46"/>
      <c r="V19" s="46"/>
      <c r="W19" s="46"/>
      <c r="X19" s="46"/>
      <c r="Y19" s="46"/>
      <c r="Z19" s="46"/>
    </row>
    <row r="20" customFormat="false" ht="14.25" hidden="false" customHeight="true" outlineLevel="0" collapsed="false">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customFormat="false" ht="14.25" hidden="false" customHeight="true" outlineLevel="0" collapsed="false">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customFormat="false" ht="14.25" hidden="false" customHeight="true" outlineLevel="0" collapsed="false">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customFormat="false" ht="14.25" hidden="false" customHeight="true" outlineLevel="0" collapsed="false">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customFormat="false" ht="14.25" hidden="false" customHeight="true" outlineLevel="0" collapsed="false">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customFormat="false" ht="14.25" hidden="false" customHeight="true" outlineLevel="0" collapsed="false">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ustomFormat="false" ht="14.25" hidden="false" customHeight="true" outlineLevel="0" collapsed="false">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ustomFormat="false" ht="14.25" hidden="false" customHeight="true" outlineLevel="0" collapsed="false">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customFormat="false" ht="14.25" hidden="false" customHeight="true" outlineLevel="0" collapsed="false">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ustomFormat="false" ht="14.25" hidden="false" customHeight="true" outlineLevel="0" collapsed="false">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ustomFormat="false" ht="14.25" hidden="false" customHeight="true" outlineLevel="0" collapsed="false">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customFormat="false" ht="14.25" hidden="false" customHeight="true" outlineLevel="0" collapsed="false">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ustomFormat="false" ht="14.25" hidden="false" customHeight="true" outlineLevel="0" collapsed="false">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ustomFormat="false" ht="14.25" hidden="false" customHeight="true" outlineLevel="0" collapsed="false">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ustomFormat="false" ht="14.25" hidden="false" customHeight="true" outlineLevel="0" collapsed="false">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ustomFormat="false" ht="14.25" hidden="false" customHeight="true" outlineLevel="0" collapsed="false">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ustomFormat="false" ht="14.25" hidden="false" customHeight="true" outlineLevel="0" collapsed="false">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ustomFormat="false" ht="14.25" hidden="false" customHeight="true" outlineLevel="0" collapsed="false">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ustomFormat="false" ht="14.25" hidden="false" customHeight="true" outlineLevel="0" collapsed="false">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ustomFormat="false" ht="14.25" hidden="false" customHeight="true" outlineLevel="0" collapsed="false">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ustomFormat="false" ht="14.25" hidden="false" customHeight="true" outlineLevel="0" collapsed="false">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ustomFormat="false" ht="14.25" hidden="false" customHeight="true" outlineLevel="0" collapsed="false">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ustomFormat="false" ht="14.25" hidden="false" customHeight="true" outlineLevel="0" collapsed="false">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ustomFormat="false" ht="14.25" hidden="false" customHeight="true" outlineLevel="0" collapsed="false">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ustomFormat="false" ht="14.25" hidden="false" customHeight="true" outlineLevel="0" collapsed="false">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ustomFormat="false" ht="14.25" hidden="false" customHeight="true" outlineLevel="0" collapsed="false">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ustomFormat="false" ht="14.25" hidden="false" customHeight="true" outlineLevel="0" collapsed="false">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ustomFormat="false" ht="14.25" hidden="false" customHeight="true" outlineLevel="0" collapsed="false">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ustomFormat="false" ht="14.25" hidden="false" customHeight="true" outlineLevel="0" collapsed="false">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ustomFormat="false" ht="14.25" hidden="false" customHeight="true" outlineLevel="0" collapsed="false">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ustomFormat="false" ht="14.25" hidden="false" customHeight="true" outlineLevel="0" collapsed="false">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ustomFormat="false" ht="14.25" hidden="false" customHeight="true" outlineLevel="0" collapsed="false">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ustomFormat="false" ht="14.25" hidden="false" customHeight="true" outlineLevel="0" collapsed="false">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ustomFormat="false" ht="14.25" hidden="false" customHeight="true" outlineLevel="0" collapsed="false">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ustomFormat="false" ht="14.25" hidden="false" customHeight="true" outlineLevel="0" collapsed="false">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ustomFormat="false" ht="14.25" hidden="false" customHeight="true" outlineLevel="0" collapsed="false">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ustomFormat="false" ht="14.25" hidden="false" customHeight="true" outlineLevel="0" collapsed="false">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ustomFormat="false" ht="14.25" hidden="false" customHeight="true" outlineLevel="0" collapsed="false">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ustomFormat="false" ht="14.25" hidden="false" customHeight="true" outlineLevel="0" collapsed="false">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ustomFormat="false" ht="14.25" hidden="false" customHeight="true" outlineLevel="0" collapsed="false">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ustomFormat="false" ht="14.25" hidden="false" customHeight="true" outlineLevel="0" collapsed="false">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ustomFormat="false" ht="14.25" hidden="false" customHeight="true" outlineLevel="0" collapsed="false">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ustomFormat="false" ht="14.25" hidden="false" customHeight="true" outlineLevel="0" collapsed="false">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ustomFormat="false" ht="14.25" hidden="false" customHeight="true" outlineLevel="0" collapsed="false">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ustomFormat="false" ht="14.25" hidden="false" customHeight="true" outlineLevel="0" collapsed="false">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ustomFormat="false" ht="14.25" hidden="false" customHeight="true" outlineLevel="0" collapsed="false">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ustomFormat="false" ht="14.25" hidden="false" customHeight="true" outlineLevel="0" collapsed="false">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ustomFormat="false" ht="14.25" hidden="false" customHeight="true" outlineLevel="0" collapsed="false">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ustomFormat="false" ht="14.25" hidden="false" customHeight="true" outlineLevel="0" collapsed="false">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ustomFormat="false" ht="14.25" hidden="false" customHeight="true" outlineLevel="0" collapsed="false">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ustomFormat="false" ht="14.25" hidden="false" customHeight="true" outlineLevel="0" collapsed="false">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ustomFormat="false" ht="14.25" hidden="false" customHeight="true" outlineLevel="0" collapsed="false">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ustomFormat="false" ht="14.25" hidden="false" customHeight="true" outlineLevel="0" collapsed="false">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ustomFormat="false" ht="14.25" hidden="false" customHeight="true" outlineLevel="0" collapsed="false">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ustomFormat="false" ht="14.25" hidden="false" customHeight="true" outlineLevel="0" collapsed="false">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ustomFormat="false" ht="14.25" hidden="false" customHeight="true" outlineLevel="0" collapsed="false">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ustomFormat="false" ht="14.25" hidden="false" customHeight="true" outlineLevel="0" collapsed="false">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ustomFormat="false" ht="14.25" hidden="false" customHeight="true" outlineLevel="0" collapsed="false">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ustomFormat="false" ht="14.25" hidden="false" customHeight="true" outlineLevel="0" collapsed="false">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ustomFormat="false" ht="14.25" hidden="false" customHeight="true" outlineLevel="0" collapsed="false">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ustomFormat="false" ht="14.25" hidden="false" customHeight="true" outlineLevel="0" collapsed="false">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ustomFormat="false" ht="14.25" hidden="false" customHeight="true" outlineLevel="0" collapsed="false">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ustomFormat="false" ht="14.25" hidden="false" customHeight="true" outlineLevel="0" collapsed="false">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ustomFormat="false" ht="14.25" hidden="false" customHeight="true" outlineLevel="0" collapsed="false">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ustomFormat="false" ht="14.25" hidden="false" customHeight="true" outlineLevel="0" collapsed="false">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ustomFormat="false" ht="14.25" hidden="false" customHeight="true" outlineLevel="0" collapsed="false">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ustomFormat="false" ht="14.25" hidden="false" customHeight="true" outlineLevel="0" collapsed="false">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ustomFormat="false" ht="14.25" hidden="false" customHeight="true" outlineLevel="0" collapsed="false">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ustomFormat="false" ht="14.25" hidden="false" customHeight="true" outlineLevel="0" collapsed="false">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ustomFormat="false" ht="14.25" hidden="false" customHeight="true" outlineLevel="0" collapsed="false">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ustomFormat="false" ht="14.25" hidden="false" customHeight="true" outlineLevel="0" collapsed="false">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ustomFormat="false" ht="14.25" hidden="false" customHeight="true" outlineLevel="0" collapsed="false">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ustomFormat="false" ht="14.25" hidden="false" customHeight="true" outlineLevel="0" collapsed="false">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ustomFormat="false" ht="14.25" hidden="false" customHeight="true" outlineLevel="0" collapsed="false">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ustomFormat="false" ht="14.25" hidden="false" customHeight="true" outlineLevel="0" collapsed="false">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ustomFormat="false" ht="14.25" hidden="false" customHeight="true" outlineLevel="0" collapsed="false">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ustomFormat="false" ht="14.25" hidden="false" customHeight="true" outlineLevel="0" collapsed="false">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ustomFormat="false" ht="14.25" hidden="false" customHeight="true" outlineLevel="0" collapsed="false">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ustomFormat="false" ht="14.25" hidden="false" customHeight="true" outlineLevel="0" collapsed="false">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ustomFormat="false" ht="14.25" hidden="false" customHeight="true" outlineLevel="0" collapsed="false">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ustomFormat="false" ht="14.25" hidden="false" customHeight="true" outlineLevel="0" collapsed="false">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ustomFormat="false" ht="14.25" hidden="false" customHeight="true" outlineLevel="0" collapsed="false">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ustomFormat="false" ht="14.25" hidden="false" customHeight="true" outlineLevel="0" collapsed="false">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ustomFormat="false" ht="14.25" hidden="false" customHeight="true" outlineLevel="0" collapsed="false">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ustomFormat="false" ht="14.25" hidden="false" customHeight="true" outlineLevel="0" collapsed="false">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ustomFormat="false" ht="14.25" hidden="false" customHeight="true" outlineLevel="0" collapsed="false">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ustomFormat="false" ht="14.25" hidden="false" customHeight="true" outlineLevel="0" collapsed="false">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ustomFormat="false" ht="14.25" hidden="false" customHeight="true" outlineLevel="0" collapsed="false">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ustomFormat="false" ht="14.25" hidden="false" customHeight="true" outlineLevel="0" collapsed="false">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ustomFormat="false" ht="14.25" hidden="false" customHeight="true" outlineLevel="0" collapsed="false">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ustomFormat="false" ht="14.25" hidden="false" customHeight="true" outlineLevel="0" collapsed="false">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ustomFormat="false" ht="14.25" hidden="false" customHeight="true" outlineLevel="0" collapsed="false">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ustomFormat="false" ht="14.25" hidden="false" customHeight="true" outlineLevel="0" collapsed="false">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ustomFormat="false" ht="14.25" hidden="false" customHeight="true" outlineLevel="0" collapsed="false">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ustomFormat="false" ht="14.25" hidden="false" customHeight="true" outlineLevel="0" collapsed="false">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ustomFormat="false" ht="14.25" hidden="false" customHeight="true" outlineLevel="0" collapsed="false">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ustomFormat="false" ht="14.25" hidden="false" customHeight="true" outlineLevel="0" collapsed="false">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ustomFormat="false" ht="14.25" hidden="false" customHeight="true" outlineLevel="0" collapsed="false">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ustomFormat="false" ht="14.25" hidden="false" customHeight="true" outlineLevel="0" collapsed="false">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ustomFormat="false" ht="14.25" hidden="false" customHeight="true" outlineLevel="0" collapsed="false">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ustomFormat="false" ht="14.25" hidden="false" customHeight="true" outlineLevel="0" collapsed="false">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ustomFormat="false" ht="14.25" hidden="false" customHeight="true" outlineLevel="0" collapsed="false">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ustomFormat="false" ht="14.25" hidden="false" customHeight="true" outlineLevel="0" collapsed="false">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ustomFormat="false" ht="14.25" hidden="false" customHeight="true" outlineLevel="0" collapsed="false">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ustomFormat="false" ht="14.25" hidden="false" customHeight="true" outlineLevel="0" collapsed="false">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ustomFormat="false" ht="14.25" hidden="false" customHeight="true" outlineLevel="0" collapsed="false">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ustomFormat="false" ht="14.25" hidden="false" customHeight="true" outlineLevel="0" collapsed="false">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ustomFormat="false" ht="14.25" hidden="false" customHeight="true" outlineLevel="0" collapsed="false">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ustomFormat="false" ht="14.25" hidden="false" customHeight="true" outlineLevel="0" collapsed="false">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ustomFormat="false" ht="14.25" hidden="false" customHeight="true" outlineLevel="0" collapsed="false">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ustomFormat="false" ht="14.25" hidden="false" customHeight="true" outlineLevel="0" collapsed="false">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ustomFormat="false" ht="14.25" hidden="false" customHeight="true" outlineLevel="0" collapsed="false">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ustomFormat="false" ht="14.25" hidden="false" customHeight="true" outlineLevel="0" collapsed="false">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ustomFormat="false" ht="14.25" hidden="false" customHeight="true" outlineLevel="0" collapsed="false">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ustomFormat="false" ht="14.25" hidden="false" customHeight="true" outlineLevel="0" collapsed="false">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ustomFormat="false" ht="14.25" hidden="false" customHeight="true" outlineLevel="0" collapsed="false">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ustomFormat="false" ht="14.25" hidden="false" customHeight="true" outlineLevel="0" collapsed="false">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ustomFormat="false" ht="14.25" hidden="false" customHeight="true" outlineLevel="0" collapsed="false">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ustomFormat="false" ht="14.25" hidden="false" customHeight="true" outlineLevel="0" collapsed="false">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ustomFormat="false" ht="14.25" hidden="false" customHeight="true" outlineLevel="0" collapsed="false">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ustomFormat="false" ht="14.25" hidden="false" customHeight="true" outlineLevel="0" collapsed="false">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ustomFormat="false" ht="14.25" hidden="false" customHeight="true" outlineLevel="0" collapsed="false">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ustomFormat="false" ht="14.25" hidden="false" customHeight="true" outlineLevel="0" collapsed="false">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ustomFormat="false" ht="14.25" hidden="false" customHeight="true" outlineLevel="0" collapsed="false">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ustomFormat="false" ht="14.25" hidden="false" customHeight="true" outlineLevel="0" collapsed="false">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ustomFormat="false" ht="14.25" hidden="false" customHeight="true" outlineLevel="0" collapsed="false">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ustomFormat="false" ht="14.25" hidden="false" customHeight="true" outlineLevel="0" collapsed="false">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ustomFormat="false" ht="14.25" hidden="false" customHeight="true" outlineLevel="0" collapsed="false">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ustomFormat="false" ht="14.25" hidden="false" customHeight="true" outlineLevel="0" collapsed="false">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ustomFormat="false" ht="14.25" hidden="false" customHeight="true" outlineLevel="0" collapsed="false">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ustomFormat="false" ht="14.25" hidden="false" customHeight="true" outlineLevel="0" collapsed="false">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ustomFormat="false" ht="14.25" hidden="false" customHeight="true" outlineLevel="0" collapsed="false">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ustomFormat="false" ht="14.25" hidden="false" customHeight="true" outlineLevel="0" collapsed="false">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ustomFormat="false" ht="14.25" hidden="false" customHeight="true" outlineLevel="0" collapsed="false">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ustomFormat="false" ht="14.25" hidden="false" customHeight="true" outlineLevel="0" collapsed="false">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ustomFormat="false" ht="14.25" hidden="false" customHeight="true" outlineLevel="0" collapsed="false">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ustomFormat="false" ht="14.25" hidden="false" customHeight="true" outlineLevel="0" collapsed="false">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ustomFormat="false" ht="14.25" hidden="false" customHeight="true" outlineLevel="0" collapsed="false">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ustomFormat="false" ht="14.25" hidden="false" customHeight="true" outlineLevel="0" collapsed="false">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ustomFormat="false" ht="14.25" hidden="false" customHeight="true" outlineLevel="0" collapsed="false">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ustomFormat="false" ht="14.25" hidden="false" customHeight="true" outlineLevel="0" collapsed="false">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ustomFormat="false" ht="14.25" hidden="false" customHeight="true" outlineLevel="0" collapsed="false">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ustomFormat="false" ht="14.25" hidden="false" customHeight="true" outlineLevel="0" collapsed="false">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ustomFormat="false" ht="14.25" hidden="false" customHeight="true" outlineLevel="0" collapsed="false">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ustomFormat="false" ht="14.25" hidden="false" customHeight="true" outlineLevel="0" collapsed="false">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ustomFormat="false" ht="14.25" hidden="false" customHeight="true" outlineLevel="0" collapsed="false">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ustomFormat="false" ht="14.25" hidden="false" customHeight="true" outlineLevel="0" collapsed="false">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ustomFormat="false" ht="14.25" hidden="false" customHeight="true" outlineLevel="0" collapsed="false">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ustomFormat="false" ht="14.25" hidden="false" customHeight="true" outlineLevel="0" collapsed="false">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ustomFormat="false" ht="14.25" hidden="false" customHeight="true" outlineLevel="0" collapsed="false">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ustomFormat="false" ht="14.25" hidden="false" customHeight="true" outlineLevel="0" collapsed="false">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ustomFormat="false" ht="14.25" hidden="false" customHeight="true" outlineLevel="0" collapsed="false">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ustomFormat="false" ht="14.25" hidden="false" customHeight="true" outlineLevel="0" collapsed="false">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ustomFormat="false" ht="14.25" hidden="false" customHeight="true" outlineLevel="0" collapsed="false">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ustomFormat="false" ht="14.25" hidden="false" customHeight="true" outlineLevel="0" collapsed="false">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ustomFormat="false" ht="14.25" hidden="false" customHeight="true" outlineLevel="0" collapsed="false">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ustomFormat="false" ht="14.25" hidden="false" customHeight="true" outlineLevel="0" collapsed="false">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ustomFormat="false" ht="14.25" hidden="false" customHeight="true" outlineLevel="0" collapsed="false">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ustomFormat="false" ht="14.25" hidden="false" customHeight="true" outlineLevel="0" collapsed="false">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ustomFormat="false" ht="14.25" hidden="false" customHeight="true" outlineLevel="0" collapsed="false">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ustomFormat="false" ht="14.25" hidden="false" customHeight="true" outlineLevel="0" collapsed="false">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ustomFormat="false" ht="14.25" hidden="false" customHeight="true" outlineLevel="0" collapsed="false">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ustomFormat="false" ht="14.25" hidden="false" customHeight="true" outlineLevel="0" collapsed="false">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ustomFormat="false" ht="14.25" hidden="false" customHeight="true" outlineLevel="0" collapsed="false">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ustomFormat="false" ht="14.25" hidden="false" customHeight="true" outlineLevel="0" collapsed="false">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ustomFormat="false" ht="14.25" hidden="false" customHeight="true" outlineLevel="0" collapsed="false">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ustomFormat="false" ht="14.25" hidden="false" customHeight="true" outlineLevel="0" collapsed="false">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ustomFormat="false" ht="14.25" hidden="false" customHeight="true" outlineLevel="0" collapsed="false">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ustomFormat="false" ht="14.25" hidden="false" customHeight="true" outlineLevel="0" collapsed="false">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ustomFormat="false" ht="14.25" hidden="false" customHeight="true" outlineLevel="0" collapsed="false">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ustomFormat="false" ht="14.25" hidden="false" customHeight="true" outlineLevel="0" collapsed="false">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ustomFormat="false" ht="14.25" hidden="false" customHeight="true" outlineLevel="0" collapsed="false">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ustomFormat="false" ht="14.25" hidden="false" customHeight="true" outlineLevel="0" collapsed="false">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ustomFormat="false" ht="14.25" hidden="false" customHeight="true" outlineLevel="0" collapsed="false">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ustomFormat="false" ht="14.25" hidden="false" customHeight="true" outlineLevel="0" collapsed="false">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ustomFormat="false" ht="14.25" hidden="false" customHeight="true" outlineLevel="0" collapsed="false">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ustomFormat="false" ht="14.25" hidden="false" customHeight="true" outlineLevel="0" collapsed="false">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ustomFormat="false" ht="14.25" hidden="false" customHeight="true" outlineLevel="0" collapsed="false">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ustomFormat="false" ht="14.25" hidden="false" customHeight="true" outlineLevel="0" collapsed="false">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ustomFormat="false" ht="14.25" hidden="false" customHeight="true" outlineLevel="0" collapsed="false">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ustomFormat="false" ht="14.25" hidden="false" customHeight="true" outlineLevel="0" collapsed="false">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ustomFormat="false" ht="14.25" hidden="false" customHeight="true" outlineLevel="0" collapsed="false">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ustomFormat="false" ht="14.25" hidden="false" customHeight="true" outlineLevel="0" collapsed="false">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ustomFormat="false" ht="14.25" hidden="false" customHeight="true" outlineLevel="0" collapsed="false">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ustomFormat="false" ht="14.25" hidden="false" customHeight="true" outlineLevel="0" collapsed="false">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ustomFormat="false" ht="14.25" hidden="false" customHeight="true" outlineLevel="0" collapsed="false">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ustomFormat="false" ht="14.25" hidden="false" customHeight="true" outlineLevel="0" collapsed="false">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ustomFormat="false" ht="14.25" hidden="false" customHeight="true" outlineLevel="0" collapsed="false">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ustomFormat="false" ht="14.25" hidden="false" customHeight="true" outlineLevel="0" collapsed="false">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ustomFormat="false" ht="14.25" hidden="false" customHeight="true" outlineLevel="0" collapsed="false">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ustomFormat="false" ht="14.25" hidden="false" customHeight="true" outlineLevel="0" collapsed="false">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ustomFormat="false" ht="14.25" hidden="false" customHeight="true" outlineLevel="0" collapsed="false">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ustomFormat="false" ht="14.25" hidden="false" customHeight="true" outlineLevel="0" collapsed="false">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ustomFormat="false" ht="14.25" hidden="false" customHeight="true" outlineLevel="0" collapsed="false">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ustomFormat="false" ht="14.25" hidden="false" customHeight="true" outlineLevel="0" collapsed="false">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ustomFormat="false" ht="14.25" hidden="false" customHeight="true" outlineLevel="0" collapsed="false">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ustomFormat="false" ht="14.25" hidden="false" customHeight="true" outlineLevel="0" collapsed="false">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ustomFormat="false" ht="14.25" hidden="false" customHeight="true" outlineLevel="0" collapsed="false">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ustomFormat="false" ht="14.25" hidden="false" customHeight="true" outlineLevel="0" collapsed="false">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ustomFormat="false" ht="14.25" hidden="false" customHeight="true" outlineLevel="0" collapsed="false">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ustomFormat="false" ht="14.25" hidden="false" customHeight="true" outlineLevel="0" collapsed="false">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ustomFormat="false" ht="14.25" hidden="false" customHeight="true" outlineLevel="0" collapsed="false">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ustomFormat="false" ht="14.25" hidden="false" customHeight="true" outlineLevel="0" collapsed="false">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ustomFormat="false" ht="14.25" hidden="false" customHeight="true" outlineLevel="0" collapsed="false">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ustomFormat="false" ht="14.25" hidden="false" customHeight="true" outlineLevel="0" collapsed="false">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ustomFormat="false" ht="14.25" hidden="false" customHeight="true" outlineLevel="0" collapsed="false">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ustomFormat="false" ht="14.25" hidden="false" customHeight="true" outlineLevel="0" collapsed="false">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ustomFormat="false" ht="14.25" hidden="false" customHeight="true" outlineLevel="0" collapsed="false">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ustomFormat="false" ht="14.25" hidden="false" customHeight="true" outlineLevel="0" collapsed="false">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ustomFormat="false" ht="14.25" hidden="false" customHeight="true" outlineLevel="0" collapsed="false">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ustomFormat="false" ht="14.25" hidden="false" customHeight="true" outlineLevel="0" collapsed="false">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ustomFormat="false" ht="14.25" hidden="false" customHeight="true" outlineLevel="0" collapsed="false">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ustomFormat="false" ht="14.25" hidden="false" customHeight="true" outlineLevel="0" collapsed="false">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ustomFormat="false" ht="14.25" hidden="false" customHeight="true" outlineLevel="0" collapsed="false">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ustomFormat="false" ht="14.25" hidden="false" customHeight="true" outlineLevel="0" collapsed="false">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ustomFormat="false" ht="14.25" hidden="false" customHeight="true" outlineLevel="0" collapsed="false">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ustomFormat="false" ht="14.25" hidden="false" customHeight="true" outlineLevel="0" collapsed="false">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ustomFormat="false" ht="14.25" hidden="false" customHeight="true" outlineLevel="0" collapsed="false">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ustomFormat="false" ht="14.25" hidden="false" customHeight="true" outlineLevel="0" collapsed="false">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ustomFormat="false" ht="14.25" hidden="false" customHeight="true" outlineLevel="0" collapsed="false">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ustomFormat="false" ht="14.25" hidden="false" customHeight="true" outlineLevel="0" collapsed="false">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ustomFormat="false" ht="14.25" hidden="false" customHeight="true" outlineLevel="0" collapsed="false">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ustomFormat="false" ht="14.25" hidden="false" customHeight="true" outlineLevel="0" collapsed="false">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ustomFormat="false" ht="14.25" hidden="false" customHeight="true" outlineLevel="0" collapsed="false">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ustomFormat="false" ht="14.25" hidden="false" customHeight="true" outlineLevel="0" collapsed="false">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ustomFormat="false" ht="14.25" hidden="false" customHeight="true" outlineLevel="0" collapsed="false">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ustomFormat="false" ht="14.25" hidden="false" customHeight="true" outlineLevel="0" collapsed="false">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ustomFormat="false" ht="14.25" hidden="false" customHeight="true" outlineLevel="0" collapsed="false">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ustomFormat="false" ht="14.25" hidden="false" customHeight="true" outlineLevel="0" collapsed="false">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ustomFormat="false" ht="14.25" hidden="false" customHeight="true" outlineLevel="0" collapsed="false">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ustomFormat="false" ht="14.25" hidden="false" customHeight="true" outlineLevel="0" collapsed="false">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ustomFormat="false" ht="14.25" hidden="false" customHeight="true" outlineLevel="0" collapsed="false">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ustomFormat="false" ht="14.25" hidden="false" customHeight="true" outlineLevel="0" collapsed="false">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ustomFormat="false" ht="14.25" hidden="false" customHeight="true" outlineLevel="0" collapsed="false">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ustomFormat="false" ht="14.25" hidden="false" customHeight="true" outlineLevel="0" collapsed="false">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ustomFormat="false" ht="14.25" hidden="false" customHeight="true" outlineLevel="0" collapsed="false">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ustomFormat="false" ht="14.25" hidden="false" customHeight="true" outlineLevel="0" collapsed="false">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ustomFormat="false" ht="14.25" hidden="false" customHeight="true" outlineLevel="0" collapsed="false">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ustomFormat="false" ht="14.25" hidden="false" customHeight="true" outlineLevel="0" collapsed="false">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ustomFormat="false" ht="14.25" hidden="false" customHeight="true" outlineLevel="0" collapsed="false">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ustomFormat="false" ht="14.25" hidden="false" customHeight="true" outlineLevel="0" collapsed="false">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ustomFormat="false" ht="14.25" hidden="false" customHeight="true" outlineLevel="0" collapsed="false">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ustomFormat="false" ht="14.25" hidden="false" customHeight="true" outlineLevel="0" collapsed="false">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ustomFormat="false" ht="14.25" hidden="false" customHeight="true" outlineLevel="0" collapsed="false">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ustomFormat="false" ht="14.25" hidden="false" customHeight="true" outlineLevel="0" collapsed="false">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ustomFormat="false" ht="14.25" hidden="false" customHeight="true" outlineLevel="0" collapsed="false">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ustomFormat="false" ht="14.25" hidden="false" customHeight="true" outlineLevel="0" collapsed="false">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ustomFormat="false" ht="14.25" hidden="false" customHeight="true" outlineLevel="0" collapsed="false">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ustomFormat="false" ht="14.25" hidden="false" customHeight="true" outlineLevel="0" collapsed="false">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ustomFormat="false" ht="14.25" hidden="false" customHeight="true" outlineLevel="0" collapsed="false">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ustomFormat="false" ht="14.25" hidden="false" customHeight="true" outlineLevel="0" collapsed="false">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ustomFormat="false" ht="14.25" hidden="false" customHeight="true" outlineLevel="0" collapsed="false">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ustomFormat="false" ht="14.25" hidden="false" customHeight="true" outlineLevel="0" collapsed="false">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ustomFormat="false" ht="14.25" hidden="false" customHeight="true" outlineLevel="0" collapsed="false">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ustomFormat="false" ht="14.25" hidden="false" customHeight="true" outlineLevel="0" collapsed="false">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ustomFormat="false" ht="14.25" hidden="false" customHeight="true" outlineLevel="0" collapsed="false">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ustomFormat="false" ht="14.25" hidden="false" customHeight="true" outlineLevel="0" collapsed="false">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ustomFormat="false" ht="14.25" hidden="false" customHeight="true" outlineLevel="0" collapsed="false">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ustomFormat="false" ht="14.25" hidden="false" customHeight="true" outlineLevel="0" collapsed="false">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ustomFormat="false" ht="14.25" hidden="false" customHeight="true" outlineLevel="0" collapsed="false">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ustomFormat="false" ht="14.25" hidden="false" customHeight="true" outlineLevel="0" collapsed="false">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ustomFormat="false" ht="14.25" hidden="false" customHeight="true" outlineLevel="0" collapsed="false">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ustomFormat="false" ht="14.25" hidden="false" customHeight="true" outlineLevel="0" collapsed="false">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ustomFormat="false" ht="14.25" hidden="false" customHeight="true" outlineLevel="0" collapsed="false">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ustomFormat="false" ht="14.25" hidden="false" customHeight="true" outlineLevel="0" collapsed="false">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ustomFormat="false" ht="14.25" hidden="false" customHeight="true" outlineLevel="0" collapsed="false">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ustomFormat="false" ht="14.25" hidden="false" customHeight="true" outlineLevel="0" collapsed="false">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ustomFormat="false" ht="14.25" hidden="false" customHeight="true" outlineLevel="0" collapsed="false">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ustomFormat="false" ht="14.25" hidden="false" customHeight="true" outlineLevel="0" collapsed="false">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ustomFormat="false" ht="14.25" hidden="false" customHeight="true" outlineLevel="0" collapsed="false">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ustomFormat="false" ht="14.25" hidden="false" customHeight="true" outlineLevel="0" collapsed="false">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ustomFormat="false" ht="14.25" hidden="false" customHeight="true" outlineLevel="0" collapsed="false">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ustomFormat="false" ht="14.25" hidden="false" customHeight="true" outlineLevel="0" collapsed="false">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ustomFormat="false" ht="14.25" hidden="false" customHeight="true" outlineLevel="0" collapsed="false">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ustomFormat="false" ht="14.25" hidden="false" customHeight="true" outlineLevel="0" collapsed="false">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ustomFormat="false" ht="14.25" hidden="false" customHeight="true" outlineLevel="0" collapsed="false">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ustomFormat="false" ht="14.25" hidden="false" customHeight="true" outlineLevel="0" collapsed="false">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ustomFormat="false" ht="14.25" hidden="false" customHeight="true" outlineLevel="0" collapsed="false">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ustomFormat="false" ht="14.25" hidden="false" customHeight="true" outlineLevel="0" collapsed="false">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ustomFormat="false" ht="14.25" hidden="false" customHeight="true" outlineLevel="0" collapsed="false">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ustomFormat="false" ht="14.25" hidden="false" customHeight="true" outlineLevel="0" collapsed="false">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ustomFormat="false" ht="14.25" hidden="false" customHeight="true" outlineLevel="0" collapsed="false">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ustomFormat="false" ht="14.25" hidden="false" customHeight="true" outlineLevel="0" collapsed="false">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ustomFormat="false" ht="14.25" hidden="false" customHeight="true" outlineLevel="0" collapsed="false">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ustomFormat="false" ht="14.25" hidden="false" customHeight="true" outlineLevel="0" collapsed="false">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ustomFormat="false" ht="14.25" hidden="false" customHeight="true" outlineLevel="0" collapsed="false">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ustomFormat="false" ht="14.25" hidden="false" customHeight="true" outlineLevel="0" collapsed="false">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ustomFormat="false" ht="14.25" hidden="false" customHeight="true" outlineLevel="0" collapsed="false">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ustomFormat="false" ht="14.25" hidden="false" customHeight="true" outlineLevel="0" collapsed="false">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ustomFormat="false" ht="14.25" hidden="false" customHeight="true" outlineLevel="0" collapsed="false">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ustomFormat="false" ht="14.25" hidden="false" customHeight="true" outlineLevel="0" collapsed="false">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ustomFormat="false" ht="14.25" hidden="false" customHeight="true" outlineLevel="0" collapsed="false">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ustomFormat="false" ht="14.25" hidden="false" customHeight="true" outlineLevel="0" collapsed="false">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ustomFormat="false" ht="14.25" hidden="false" customHeight="true" outlineLevel="0" collapsed="false">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ustomFormat="false" ht="14.25" hidden="false" customHeight="true" outlineLevel="0" collapsed="false">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ustomFormat="false" ht="14.25" hidden="false" customHeight="true" outlineLevel="0" collapsed="false">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ustomFormat="false" ht="14.25" hidden="false" customHeight="true" outlineLevel="0" collapsed="false">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ustomFormat="false" ht="14.25" hidden="false" customHeight="true" outlineLevel="0" collapsed="false">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ustomFormat="false" ht="14.25" hidden="false" customHeight="true" outlineLevel="0" collapsed="false">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ustomFormat="false" ht="14.25" hidden="false" customHeight="true" outlineLevel="0" collapsed="false">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ustomFormat="false" ht="14.25" hidden="false" customHeight="true" outlineLevel="0" collapsed="false">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ustomFormat="false" ht="14.25" hidden="false" customHeight="true" outlineLevel="0" collapsed="false">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ustomFormat="false" ht="14.25" hidden="false" customHeight="true" outlineLevel="0" collapsed="false">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ustomFormat="false" ht="14.25" hidden="false" customHeight="true" outlineLevel="0" collapsed="false">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ustomFormat="false" ht="14.25" hidden="false" customHeight="true" outlineLevel="0" collapsed="false">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ustomFormat="false" ht="14.25" hidden="false" customHeight="true" outlineLevel="0" collapsed="false">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ustomFormat="false" ht="14.25" hidden="false" customHeight="true" outlineLevel="0" collapsed="false">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ustomFormat="false" ht="14.25" hidden="false" customHeight="true" outlineLevel="0" collapsed="false">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ustomFormat="false" ht="14.25" hidden="false" customHeight="true" outlineLevel="0" collapsed="false">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ustomFormat="false" ht="14.25" hidden="false" customHeight="true" outlineLevel="0" collapsed="false">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ustomFormat="false" ht="14.25" hidden="false" customHeight="true" outlineLevel="0" collapsed="false">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ustomFormat="false" ht="14.25" hidden="false" customHeight="true" outlineLevel="0" collapsed="false">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ustomFormat="false" ht="14.25" hidden="false" customHeight="true" outlineLevel="0" collapsed="false">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ustomFormat="false" ht="14.25" hidden="false" customHeight="true" outlineLevel="0" collapsed="false">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ustomFormat="false" ht="14.25" hidden="false" customHeight="true" outlineLevel="0" collapsed="false">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ustomFormat="false" ht="14.25" hidden="false" customHeight="true" outlineLevel="0" collapsed="false">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ustomFormat="false" ht="14.25" hidden="false" customHeight="true" outlineLevel="0" collapsed="false">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ustomFormat="false" ht="14.25" hidden="false" customHeight="true" outlineLevel="0" collapsed="false">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ustomFormat="false" ht="14.25" hidden="false" customHeight="true" outlineLevel="0" collapsed="false">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ustomFormat="false" ht="14.25" hidden="false" customHeight="true" outlineLevel="0" collapsed="false">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ustomFormat="false" ht="14.25" hidden="false" customHeight="true" outlineLevel="0" collapsed="false">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ustomFormat="false" ht="14.25" hidden="false" customHeight="true" outlineLevel="0" collapsed="false">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ustomFormat="false" ht="14.25" hidden="false" customHeight="true" outlineLevel="0" collapsed="false">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ustomFormat="false" ht="14.25" hidden="false" customHeight="true" outlineLevel="0" collapsed="false">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ustomFormat="false" ht="14.25" hidden="false" customHeight="true" outlineLevel="0" collapsed="false">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ustomFormat="false" ht="14.25" hidden="false" customHeight="true" outlineLevel="0" collapsed="false">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ustomFormat="false" ht="14.25" hidden="false" customHeight="true" outlineLevel="0" collapsed="false">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ustomFormat="false" ht="14.25" hidden="false" customHeight="true" outlineLevel="0" collapsed="false">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ustomFormat="false" ht="14.25" hidden="false" customHeight="true" outlineLevel="0" collapsed="false">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ustomFormat="false" ht="14.25" hidden="false" customHeight="true" outlineLevel="0" collapsed="false">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ustomFormat="false" ht="14.25" hidden="false" customHeight="true" outlineLevel="0" collapsed="false">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ustomFormat="false" ht="14.25" hidden="false" customHeight="true" outlineLevel="0" collapsed="false">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ustomFormat="false" ht="14.25" hidden="false" customHeight="true" outlineLevel="0" collapsed="false">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ustomFormat="false" ht="14.25" hidden="false" customHeight="true" outlineLevel="0" collapsed="false">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ustomFormat="false" ht="14.25" hidden="false" customHeight="true" outlineLevel="0" collapsed="false">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ustomFormat="false" ht="14.25" hidden="false" customHeight="true" outlineLevel="0" collapsed="false">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ustomFormat="false" ht="14.25" hidden="false" customHeight="true" outlineLevel="0" collapsed="false">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ustomFormat="false" ht="14.25" hidden="false" customHeight="true" outlineLevel="0" collapsed="false">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ustomFormat="false" ht="14.25" hidden="false" customHeight="true" outlineLevel="0" collapsed="false">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ustomFormat="false" ht="14.25" hidden="false" customHeight="true" outlineLevel="0" collapsed="false">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ustomFormat="false" ht="14.25" hidden="false" customHeight="true" outlineLevel="0" collapsed="false">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ustomFormat="false" ht="14.25" hidden="false" customHeight="true" outlineLevel="0" collapsed="false">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ustomFormat="false" ht="14.25" hidden="false" customHeight="true" outlineLevel="0" collapsed="false">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ustomFormat="false" ht="14.25" hidden="false" customHeight="true" outlineLevel="0" collapsed="false">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ustomFormat="false" ht="14.25" hidden="false" customHeight="true" outlineLevel="0" collapsed="false">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ustomFormat="false" ht="14.25" hidden="false" customHeight="true" outlineLevel="0" collapsed="false">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ustomFormat="false" ht="14.25" hidden="false" customHeight="true" outlineLevel="0" collapsed="false">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ustomFormat="false" ht="14.25" hidden="false" customHeight="true" outlineLevel="0" collapsed="false">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ustomFormat="false" ht="14.25" hidden="false" customHeight="true" outlineLevel="0" collapsed="false">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ustomFormat="false" ht="14.25" hidden="false" customHeight="true" outlineLevel="0" collapsed="false">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ustomFormat="false" ht="14.25" hidden="false" customHeight="true" outlineLevel="0" collapsed="false">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ustomFormat="false" ht="14.25" hidden="false" customHeight="true" outlineLevel="0" collapsed="false">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ustomFormat="false" ht="14.25" hidden="false" customHeight="true" outlineLevel="0" collapsed="false">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ustomFormat="false" ht="14.25" hidden="false" customHeight="true" outlineLevel="0" collapsed="false">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ustomFormat="false" ht="14.25" hidden="false" customHeight="true" outlineLevel="0" collapsed="false">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ustomFormat="false" ht="14.25" hidden="false" customHeight="true" outlineLevel="0" collapsed="false">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ustomFormat="false" ht="14.25" hidden="false" customHeight="true" outlineLevel="0" collapsed="false">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ustomFormat="false" ht="14.25" hidden="false" customHeight="true" outlineLevel="0" collapsed="false">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ustomFormat="false" ht="14.25" hidden="false" customHeight="true" outlineLevel="0" collapsed="false">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ustomFormat="false" ht="14.25" hidden="false" customHeight="true" outlineLevel="0" collapsed="false">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ustomFormat="false" ht="14.25" hidden="false" customHeight="true" outlineLevel="0" collapsed="false">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ustomFormat="false" ht="14.25" hidden="false" customHeight="true" outlineLevel="0" collapsed="false">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ustomFormat="false" ht="14.25" hidden="false" customHeight="true" outlineLevel="0" collapsed="false">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ustomFormat="false" ht="14.25" hidden="false" customHeight="true" outlineLevel="0" collapsed="false">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ustomFormat="false" ht="14.25" hidden="false" customHeight="true" outlineLevel="0" collapsed="false">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ustomFormat="false" ht="14.25" hidden="false" customHeight="true" outlineLevel="0" collapsed="false">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ustomFormat="false" ht="14.25" hidden="false" customHeight="true" outlineLevel="0" collapsed="false">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ustomFormat="false" ht="14.25" hidden="false" customHeight="true" outlineLevel="0" collapsed="false">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ustomFormat="false" ht="14.25" hidden="false" customHeight="true" outlineLevel="0" collapsed="false">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ustomFormat="false" ht="14.25" hidden="false" customHeight="true" outlineLevel="0" collapsed="false">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ustomFormat="false" ht="14.25" hidden="false" customHeight="true" outlineLevel="0" collapsed="false">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ustomFormat="false" ht="14.25" hidden="false" customHeight="true" outlineLevel="0" collapsed="false">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ustomFormat="false" ht="14.25" hidden="false" customHeight="true" outlineLevel="0" collapsed="false">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ustomFormat="false" ht="14.25" hidden="false" customHeight="true" outlineLevel="0" collapsed="false">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ustomFormat="false" ht="14.25" hidden="false" customHeight="true" outlineLevel="0" collapsed="false">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ustomFormat="false" ht="14.25" hidden="false" customHeight="true" outlineLevel="0" collapsed="false">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ustomFormat="false" ht="14.25" hidden="false" customHeight="true" outlineLevel="0" collapsed="false">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ustomFormat="false" ht="14.25" hidden="false" customHeight="true" outlineLevel="0" collapsed="false">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ustomFormat="false" ht="14.25" hidden="false" customHeight="true" outlineLevel="0" collapsed="false">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ustomFormat="false" ht="14.25" hidden="false" customHeight="true" outlineLevel="0" collapsed="false">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ustomFormat="false" ht="14.25" hidden="false" customHeight="true" outlineLevel="0" collapsed="false">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ustomFormat="false" ht="14.25" hidden="false" customHeight="true" outlineLevel="0" collapsed="false">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ustomFormat="false" ht="14.25" hidden="false" customHeight="true" outlineLevel="0" collapsed="false">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ustomFormat="false" ht="14.25" hidden="false" customHeight="true" outlineLevel="0" collapsed="false">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ustomFormat="false" ht="14.25" hidden="false" customHeight="true" outlineLevel="0" collapsed="false">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ustomFormat="false" ht="14.25" hidden="false" customHeight="true" outlineLevel="0" collapsed="false">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ustomFormat="false" ht="14.25" hidden="false" customHeight="true" outlineLevel="0" collapsed="false">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ustomFormat="false" ht="14.25" hidden="false" customHeight="true" outlineLevel="0" collapsed="false">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ustomFormat="false" ht="14.25" hidden="false" customHeight="true" outlineLevel="0" collapsed="false">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ustomFormat="false" ht="14.25" hidden="false" customHeight="true" outlineLevel="0" collapsed="false">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ustomFormat="false" ht="14.25" hidden="false" customHeight="true" outlineLevel="0" collapsed="false">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ustomFormat="false" ht="14.25" hidden="false" customHeight="true" outlineLevel="0" collapsed="false">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ustomFormat="false" ht="14.25" hidden="false" customHeight="true" outlineLevel="0" collapsed="false">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ustomFormat="false" ht="14.25" hidden="false" customHeight="true" outlineLevel="0" collapsed="false">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ustomFormat="false" ht="14.25" hidden="false" customHeight="true" outlineLevel="0" collapsed="false">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ustomFormat="false" ht="14.25" hidden="false" customHeight="true" outlineLevel="0" collapsed="false">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ustomFormat="false" ht="14.25" hidden="false" customHeight="true" outlineLevel="0" collapsed="false">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ustomFormat="false" ht="14.25" hidden="false" customHeight="true" outlineLevel="0" collapsed="false">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ustomFormat="false" ht="14.25" hidden="false" customHeight="true" outlineLevel="0" collapsed="false">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ustomFormat="false" ht="14.25" hidden="false" customHeight="true" outlineLevel="0" collapsed="false">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ustomFormat="false" ht="14.25" hidden="false" customHeight="true" outlineLevel="0" collapsed="false">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ustomFormat="false" ht="14.25" hidden="false" customHeight="true" outlineLevel="0" collapsed="false">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ustomFormat="false" ht="14.25" hidden="false" customHeight="true" outlineLevel="0" collapsed="false">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ustomFormat="false" ht="14.25" hidden="false" customHeight="true" outlineLevel="0" collapsed="false">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ustomFormat="false" ht="14.25" hidden="false" customHeight="true" outlineLevel="0" collapsed="false">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ustomFormat="false" ht="14.25" hidden="false" customHeight="true" outlineLevel="0" collapsed="false">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ustomFormat="false" ht="14.25" hidden="false" customHeight="true" outlineLevel="0" collapsed="false">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ustomFormat="false" ht="14.25" hidden="false" customHeight="true" outlineLevel="0" collapsed="false">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ustomFormat="false" ht="14.25" hidden="false" customHeight="true" outlineLevel="0" collapsed="false">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ustomFormat="false" ht="14.25" hidden="false" customHeight="true" outlineLevel="0" collapsed="false">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ustomFormat="false" ht="14.25" hidden="false" customHeight="true" outlineLevel="0" collapsed="false">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ustomFormat="false" ht="14.25" hidden="false" customHeight="true" outlineLevel="0" collapsed="false">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ustomFormat="false" ht="14.25" hidden="false" customHeight="true" outlineLevel="0" collapsed="false">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ustomFormat="false" ht="14.25" hidden="false" customHeight="true" outlineLevel="0" collapsed="false">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ustomFormat="false" ht="14.25" hidden="false" customHeight="true" outlineLevel="0" collapsed="false">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ustomFormat="false" ht="14.25" hidden="false" customHeight="true" outlineLevel="0" collapsed="false">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ustomFormat="false" ht="14.25" hidden="false" customHeight="true" outlineLevel="0" collapsed="false">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ustomFormat="false" ht="14.25" hidden="false" customHeight="true" outlineLevel="0" collapsed="false">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ustomFormat="false" ht="14.25" hidden="false" customHeight="true" outlineLevel="0" collapsed="false">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ustomFormat="false" ht="14.25" hidden="false" customHeight="true" outlineLevel="0" collapsed="false">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ustomFormat="false" ht="14.25" hidden="false" customHeight="true" outlineLevel="0" collapsed="false">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ustomFormat="false" ht="14.25" hidden="false" customHeight="true" outlineLevel="0" collapsed="false">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ustomFormat="false" ht="14.25" hidden="false" customHeight="true" outlineLevel="0" collapsed="false">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ustomFormat="false" ht="14.25" hidden="false" customHeight="true" outlineLevel="0" collapsed="false">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ustomFormat="false" ht="14.25" hidden="false" customHeight="true" outlineLevel="0" collapsed="false">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ustomFormat="false" ht="14.25" hidden="false" customHeight="true" outlineLevel="0" collapsed="false">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ustomFormat="false" ht="14.25" hidden="false" customHeight="true" outlineLevel="0" collapsed="false">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ustomFormat="false" ht="14.25" hidden="false" customHeight="true" outlineLevel="0" collapsed="false">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ustomFormat="false" ht="14.25" hidden="false" customHeight="true" outlineLevel="0" collapsed="false">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ustomFormat="false" ht="14.25" hidden="false" customHeight="true" outlineLevel="0" collapsed="false">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ustomFormat="false" ht="14.25" hidden="false" customHeight="true" outlineLevel="0" collapsed="false">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ustomFormat="false" ht="14.25" hidden="false" customHeight="true" outlineLevel="0" collapsed="false">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ustomFormat="false" ht="14.25" hidden="false" customHeight="true" outlineLevel="0" collapsed="false">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ustomFormat="false" ht="14.25" hidden="false" customHeight="true" outlineLevel="0" collapsed="false">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ustomFormat="false" ht="14.25" hidden="false" customHeight="true" outlineLevel="0" collapsed="false">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ustomFormat="false" ht="14.25" hidden="false" customHeight="true" outlineLevel="0" collapsed="false">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ustomFormat="false" ht="14.25" hidden="false" customHeight="true" outlineLevel="0" collapsed="false">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ustomFormat="false" ht="14.25" hidden="false" customHeight="true" outlineLevel="0" collapsed="false">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ustomFormat="false" ht="14.25" hidden="false" customHeight="true" outlineLevel="0" collapsed="false">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ustomFormat="false" ht="14.25" hidden="false" customHeight="true" outlineLevel="0" collapsed="false">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ustomFormat="false" ht="14.25" hidden="false" customHeight="true" outlineLevel="0" collapsed="false">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ustomFormat="false" ht="14.25" hidden="false" customHeight="true" outlineLevel="0" collapsed="false">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ustomFormat="false" ht="14.25" hidden="false" customHeight="true" outlineLevel="0" collapsed="false">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ustomFormat="false" ht="14.25" hidden="false" customHeight="true" outlineLevel="0" collapsed="false">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ustomFormat="false" ht="14.25" hidden="false" customHeight="true" outlineLevel="0" collapsed="false">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ustomFormat="false" ht="14.25" hidden="false" customHeight="true" outlineLevel="0" collapsed="false">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ustomFormat="false" ht="14.25" hidden="false" customHeight="true" outlineLevel="0" collapsed="false">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ustomFormat="false" ht="14.25" hidden="false" customHeight="true" outlineLevel="0" collapsed="false">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ustomFormat="false" ht="14.25" hidden="false" customHeight="true" outlineLevel="0" collapsed="false">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ustomFormat="false" ht="14.25" hidden="false" customHeight="true" outlineLevel="0" collapsed="false">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ustomFormat="false" ht="14.25" hidden="false" customHeight="true" outlineLevel="0" collapsed="false">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ustomFormat="false" ht="14.25" hidden="false" customHeight="true" outlineLevel="0" collapsed="false">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ustomFormat="false" ht="14.25" hidden="false" customHeight="true" outlineLevel="0" collapsed="false">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ustomFormat="false" ht="14.25" hidden="false" customHeight="true" outlineLevel="0" collapsed="false">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ustomFormat="false" ht="14.25" hidden="false" customHeight="true" outlineLevel="0" collapsed="false">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ustomFormat="false" ht="14.25" hidden="false" customHeight="true" outlineLevel="0" collapsed="false">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ustomFormat="false" ht="14.25" hidden="false" customHeight="true" outlineLevel="0" collapsed="false">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ustomFormat="false" ht="14.25" hidden="false" customHeight="true" outlineLevel="0" collapsed="false">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ustomFormat="false" ht="14.25" hidden="false" customHeight="true" outlineLevel="0" collapsed="false">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ustomFormat="false" ht="14.25" hidden="false" customHeight="true" outlineLevel="0" collapsed="false">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ustomFormat="false" ht="14.25" hidden="false" customHeight="true" outlineLevel="0" collapsed="false">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ustomFormat="false" ht="14.25" hidden="false" customHeight="true" outlineLevel="0" collapsed="false">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ustomFormat="false" ht="14.25" hidden="false" customHeight="true" outlineLevel="0" collapsed="false">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ustomFormat="false" ht="14.25" hidden="false" customHeight="true" outlineLevel="0" collapsed="false">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ustomFormat="false" ht="14.25" hidden="false" customHeight="true" outlineLevel="0" collapsed="false">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ustomFormat="false" ht="14.25" hidden="false" customHeight="true" outlineLevel="0" collapsed="false">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ustomFormat="false" ht="14.25" hidden="false" customHeight="true" outlineLevel="0" collapsed="false">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ustomFormat="false" ht="14.25" hidden="false" customHeight="true" outlineLevel="0" collapsed="false">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ustomFormat="false" ht="14.25" hidden="false" customHeight="true" outlineLevel="0" collapsed="false">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ustomFormat="false" ht="14.25" hidden="false" customHeight="true" outlineLevel="0" collapsed="false">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ustomFormat="false" ht="14.25" hidden="false" customHeight="true" outlineLevel="0" collapsed="false">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ustomFormat="false" ht="14.25" hidden="false" customHeight="true" outlineLevel="0" collapsed="false">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ustomFormat="false" ht="14.25" hidden="false" customHeight="true" outlineLevel="0" collapsed="false">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ustomFormat="false" ht="14.25" hidden="false" customHeight="true" outlineLevel="0" collapsed="false">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ustomFormat="false" ht="14.25" hidden="false" customHeight="true" outlineLevel="0" collapsed="false">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ustomFormat="false" ht="14.25" hidden="false" customHeight="true" outlineLevel="0" collapsed="false">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ustomFormat="false" ht="14.25" hidden="false" customHeight="true" outlineLevel="0" collapsed="false">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ustomFormat="false" ht="14.25" hidden="false" customHeight="true" outlineLevel="0" collapsed="false">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ustomFormat="false" ht="14.25" hidden="false" customHeight="true" outlineLevel="0" collapsed="false">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ustomFormat="false" ht="14.25" hidden="false" customHeight="true" outlineLevel="0" collapsed="false">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ustomFormat="false" ht="14.25" hidden="false" customHeight="true" outlineLevel="0" collapsed="false">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ustomFormat="false" ht="14.25" hidden="false" customHeight="true" outlineLevel="0" collapsed="false">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ustomFormat="false" ht="14.25" hidden="false" customHeight="true" outlineLevel="0" collapsed="false">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ustomFormat="false" ht="14.25" hidden="false" customHeight="true" outlineLevel="0" collapsed="false">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ustomFormat="false" ht="14.25" hidden="false" customHeight="true" outlineLevel="0" collapsed="false">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ustomFormat="false" ht="14.25" hidden="false" customHeight="true" outlineLevel="0" collapsed="false">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ustomFormat="false" ht="14.25" hidden="false" customHeight="true" outlineLevel="0" collapsed="false">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ustomFormat="false" ht="14.25" hidden="false" customHeight="true" outlineLevel="0" collapsed="false">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ustomFormat="false" ht="14.25" hidden="false" customHeight="true" outlineLevel="0" collapsed="false">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ustomFormat="false" ht="14.25" hidden="false" customHeight="true" outlineLevel="0" collapsed="false">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ustomFormat="false" ht="14.25" hidden="false" customHeight="true" outlineLevel="0" collapsed="false">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ustomFormat="false" ht="14.25" hidden="false" customHeight="true" outlineLevel="0" collapsed="false">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ustomFormat="false" ht="14.25" hidden="false" customHeight="true" outlineLevel="0" collapsed="false">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ustomFormat="false" ht="14.25" hidden="false" customHeight="true" outlineLevel="0" collapsed="false">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ustomFormat="false" ht="14.25" hidden="false" customHeight="true" outlineLevel="0" collapsed="false">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ustomFormat="false" ht="14.25" hidden="false" customHeight="true" outlineLevel="0" collapsed="false">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ustomFormat="false" ht="14.25" hidden="false" customHeight="true" outlineLevel="0" collapsed="false">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ustomFormat="false" ht="14.25" hidden="false" customHeight="true" outlineLevel="0" collapsed="false">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ustomFormat="false" ht="14.25" hidden="false" customHeight="true" outlineLevel="0" collapsed="false">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ustomFormat="false" ht="14.25" hidden="false" customHeight="true" outlineLevel="0" collapsed="false">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ustomFormat="false" ht="14.25" hidden="false" customHeight="true" outlineLevel="0" collapsed="false">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ustomFormat="false" ht="14.25" hidden="false" customHeight="true" outlineLevel="0" collapsed="false">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ustomFormat="false" ht="14.25" hidden="false" customHeight="true" outlineLevel="0" collapsed="false">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ustomFormat="false" ht="14.25" hidden="false" customHeight="true" outlineLevel="0" collapsed="false">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ustomFormat="false" ht="14.25" hidden="false" customHeight="true" outlineLevel="0" collapsed="false">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ustomFormat="false" ht="14.25" hidden="false" customHeight="true" outlineLevel="0" collapsed="false">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ustomFormat="false" ht="14.25" hidden="false" customHeight="true" outlineLevel="0" collapsed="false">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ustomFormat="false" ht="14.25" hidden="false" customHeight="true" outlineLevel="0" collapsed="false">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ustomFormat="false" ht="14.25" hidden="false" customHeight="true" outlineLevel="0" collapsed="false">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ustomFormat="false" ht="14.25" hidden="false" customHeight="true" outlineLevel="0" collapsed="false">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ustomFormat="false" ht="14.25" hidden="false" customHeight="true" outlineLevel="0" collapsed="false">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ustomFormat="false" ht="14.25" hidden="false" customHeight="true" outlineLevel="0" collapsed="false">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ustomFormat="false" ht="14.25" hidden="false" customHeight="true" outlineLevel="0" collapsed="false">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ustomFormat="false" ht="14.25" hidden="false" customHeight="true" outlineLevel="0" collapsed="false">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ustomFormat="false" ht="14.25" hidden="false" customHeight="true" outlineLevel="0" collapsed="false">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ustomFormat="false" ht="14.25" hidden="false" customHeight="true" outlineLevel="0" collapsed="false">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ustomFormat="false" ht="14.25" hidden="false" customHeight="true" outlineLevel="0" collapsed="false">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ustomFormat="false" ht="14.25" hidden="false" customHeight="true" outlineLevel="0" collapsed="false">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ustomFormat="false" ht="14.25" hidden="false" customHeight="true" outlineLevel="0" collapsed="false">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ustomFormat="false" ht="14.25" hidden="false" customHeight="true" outlineLevel="0" collapsed="false">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ustomFormat="false" ht="14.25" hidden="false" customHeight="true" outlineLevel="0" collapsed="false">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ustomFormat="false" ht="14.25" hidden="false" customHeight="true" outlineLevel="0" collapsed="false">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ustomFormat="false" ht="14.25" hidden="false" customHeight="true" outlineLevel="0" collapsed="false">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ustomFormat="false" ht="14.25" hidden="false" customHeight="true" outlineLevel="0" collapsed="false">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ustomFormat="false" ht="14.25" hidden="false" customHeight="true" outlineLevel="0" collapsed="false">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ustomFormat="false" ht="14.25" hidden="false" customHeight="true" outlineLevel="0" collapsed="false">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ustomFormat="false" ht="14.25" hidden="false" customHeight="true" outlineLevel="0" collapsed="false">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ustomFormat="false" ht="14.25" hidden="false" customHeight="true" outlineLevel="0" collapsed="false">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ustomFormat="false" ht="14.25" hidden="false" customHeight="true" outlineLevel="0" collapsed="false">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ustomFormat="false" ht="14.25" hidden="false" customHeight="true" outlineLevel="0" collapsed="false">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ustomFormat="false" ht="14.25" hidden="false" customHeight="true" outlineLevel="0" collapsed="false">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ustomFormat="false" ht="14.25" hidden="false" customHeight="true" outlineLevel="0" collapsed="false">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ustomFormat="false" ht="14.25" hidden="false" customHeight="true" outlineLevel="0" collapsed="false">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ustomFormat="false" ht="14.25" hidden="false" customHeight="true" outlineLevel="0" collapsed="false">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ustomFormat="false" ht="14.25" hidden="false" customHeight="true" outlineLevel="0" collapsed="false">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ustomFormat="false" ht="14.25" hidden="false" customHeight="true" outlineLevel="0" collapsed="false">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ustomFormat="false" ht="14.25" hidden="false" customHeight="true" outlineLevel="0" collapsed="false">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ustomFormat="false" ht="14.25" hidden="false" customHeight="true" outlineLevel="0" collapsed="false">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ustomFormat="false" ht="14.25" hidden="false" customHeight="true" outlineLevel="0" collapsed="false">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ustomFormat="false" ht="14.25" hidden="false" customHeight="true" outlineLevel="0" collapsed="false">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ustomFormat="false" ht="14.25" hidden="false" customHeight="true" outlineLevel="0" collapsed="false">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ustomFormat="false" ht="14.25" hidden="false" customHeight="true" outlineLevel="0" collapsed="false">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ustomFormat="false" ht="14.25" hidden="false" customHeight="true" outlineLevel="0" collapsed="false">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ustomFormat="false" ht="14.25" hidden="false" customHeight="true" outlineLevel="0" collapsed="false">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ustomFormat="false" ht="14.25" hidden="false" customHeight="true" outlineLevel="0" collapsed="false">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ustomFormat="false" ht="14.25" hidden="false" customHeight="true" outlineLevel="0" collapsed="false">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ustomFormat="false" ht="14.25" hidden="false" customHeight="true" outlineLevel="0" collapsed="false">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ustomFormat="false" ht="14.25" hidden="false" customHeight="true" outlineLevel="0" collapsed="false">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ustomFormat="false" ht="14.25" hidden="false" customHeight="true" outlineLevel="0" collapsed="false">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ustomFormat="false" ht="14.25" hidden="false" customHeight="true" outlineLevel="0" collapsed="false">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ustomFormat="false" ht="14.25" hidden="false" customHeight="true" outlineLevel="0" collapsed="false">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ustomFormat="false" ht="14.25" hidden="false" customHeight="true" outlineLevel="0" collapsed="false">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ustomFormat="false" ht="14.25" hidden="false" customHeight="true" outlineLevel="0" collapsed="false">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ustomFormat="false" ht="14.25" hidden="false" customHeight="true" outlineLevel="0" collapsed="false">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ustomFormat="false" ht="14.25" hidden="false" customHeight="true" outlineLevel="0" collapsed="false">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ustomFormat="false" ht="14.25" hidden="false" customHeight="true" outlineLevel="0" collapsed="false">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ustomFormat="false" ht="14.25" hidden="false" customHeight="true" outlineLevel="0" collapsed="false">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ustomFormat="false" ht="14.25" hidden="false" customHeight="true" outlineLevel="0" collapsed="false">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ustomFormat="false" ht="14.25" hidden="false" customHeight="true" outlineLevel="0" collapsed="false">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ustomFormat="false" ht="14.25" hidden="false" customHeight="true" outlineLevel="0" collapsed="false">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ustomFormat="false" ht="14.25" hidden="false" customHeight="true" outlineLevel="0" collapsed="false">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ustomFormat="false" ht="14.25" hidden="false" customHeight="true" outlineLevel="0" collapsed="false">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ustomFormat="false" ht="14.25" hidden="false" customHeight="true" outlineLevel="0" collapsed="false">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ustomFormat="false" ht="14.25" hidden="false" customHeight="true" outlineLevel="0" collapsed="false">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ustomFormat="false" ht="14.25" hidden="false" customHeight="true" outlineLevel="0" collapsed="false">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ustomFormat="false" ht="14.25" hidden="false" customHeight="true" outlineLevel="0" collapsed="false">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ustomFormat="false" ht="14.25" hidden="false" customHeight="true" outlineLevel="0" collapsed="false">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ustomFormat="false" ht="14.25" hidden="false" customHeight="true" outlineLevel="0" collapsed="false">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ustomFormat="false" ht="14.25" hidden="false" customHeight="true" outlineLevel="0" collapsed="false">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ustomFormat="false" ht="14.25" hidden="false" customHeight="true" outlineLevel="0" collapsed="false">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ustomFormat="false" ht="14.25" hidden="false" customHeight="true" outlineLevel="0" collapsed="false">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ustomFormat="false" ht="14.25" hidden="false" customHeight="true" outlineLevel="0" collapsed="false">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ustomFormat="false" ht="14.25" hidden="false" customHeight="true" outlineLevel="0" collapsed="false">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ustomFormat="false" ht="14.25" hidden="false" customHeight="true" outlineLevel="0" collapsed="false">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ustomFormat="false" ht="14.25" hidden="false" customHeight="true" outlineLevel="0" collapsed="false">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ustomFormat="false" ht="14.25" hidden="false" customHeight="true" outlineLevel="0" collapsed="false">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ustomFormat="false" ht="14.25" hidden="false" customHeight="true" outlineLevel="0" collapsed="false">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ustomFormat="false" ht="14.25" hidden="false" customHeight="true" outlineLevel="0" collapsed="false">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ustomFormat="false" ht="14.25" hidden="false" customHeight="true" outlineLevel="0" collapsed="false">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ustomFormat="false" ht="14.25" hidden="false" customHeight="true" outlineLevel="0" collapsed="false">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ustomFormat="false" ht="14.25" hidden="false" customHeight="true" outlineLevel="0" collapsed="false">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ustomFormat="false" ht="14.25" hidden="false" customHeight="true" outlineLevel="0" collapsed="false">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ustomFormat="false" ht="14.25" hidden="false" customHeight="true" outlineLevel="0" collapsed="false">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ustomFormat="false" ht="14.25" hidden="false" customHeight="true" outlineLevel="0" collapsed="false">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ustomFormat="false" ht="14.25" hidden="false" customHeight="true" outlineLevel="0" collapsed="false">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ustomFormat="false" ht="14.25" hidden="false" customHeight="true" outlineLevel="0" collapsed="false">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ustomFormat="false" ht="14.25" hidden="false" customHeight="true" outlineLevel="0" collapsed="false">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ustomFormat="false" ht="14.25" hidden="false" customHeight="true" outlineLevel="0" collapsed="false">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ustomFormat="false" ht="14.25" hidden="false" customHeight="true" outlineLevel="0" collapsed="false">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ustomFormat="false" ht="14.25" hidden="false" customHeight="true" outlineLevel="0" collapsed="false">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ustomFormat="false" ht="14.25" hidden="false" customHeight="true" outlineLevel="0" collapsed="false">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ustomFormat="false" ht="14.25" hidden="false" customHeight="true" outlineLevel="0" collapsed="false">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ustomFormat="false" ht="14.25" hidden="false" customHeight="true" outlineLevel="0" collapsed="false">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ustomFormat="false" ht="14.25" hidden="false" customHeight="true" outlineLevel="0" collapsed="false">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ustomFormat="false" ht="14.25" hidden="false" customHeight="true" outlineLevel="0" collapsed="false">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ustomFormat="false" ht="14.25" hidden="false" customHeight="true" outlineLevel="0" collapsed="false">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ustomFormat="false" ht="14.25" hidden="false" customHeight="true" outlineLevel="0" collapsed="false">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ustomFormat="false" ht="14.25" hidden="false" customHeight="true" outlineLevel="0" collapsed="false">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ustomFormat="false" ht="14.25" hidden="false" customHeight="true" outlineLevel="0" collapsed="false">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ustomFormat="false" ht="14.25" hidden="false" customHeight="true" outlineLevel="0" collapsed="false">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ustomFormat="false" ht="14.25" hidden="false" customHeight="true" outlineLevel="0" collapsed="false">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ustomFormat="false" ht="14.25" hidden="false" customHeight="true" outlineLevel="0" collapsed="false">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ustomFormat="false" ht="14.25" hidden="false" customHeight="true" outlineLevel="0" collapsed="false">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ustomFormat="false" ht="14.25" hidden="false" customHeight="true" outlineLevel="0" collapsed="false">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ustomFormat="false" ht="14.25" hidden="false" customHeight="true" outlineLevel="0" collapsed="false">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ustomFormat="false" ht="14.25" hidden="false" customHeight="true" outlineLevel="0" collapsed="false">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ustomFormat="false" ht="14.25" hidden="false" customHeight="true" outlineLevel="0" collapsed="false">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ustomFormat="false" ht="14.25" hidden="false" customHeight="true" outlineLevel="0" collapsed="false">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ustomFormat="false" ht="14.25" hidden="false" customHeight="true" outlineLevel="0" collapsed="false">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ustomFormat="false" ht="14.25" hidden="false" customHeight="true" outlineLevel="0" collapsed="false">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ustomFormat="false" ht="14.25" hidden="false" customHeight="true" outlineLevel="0" collapsed="false">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ustomFormat="false" ht="14.25" hidden="false" customHeight="true" outlineLevel="0" collapsed="false">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ustomFormat="false" ht="14.25" hidden="false" customHeight="true" outlineLevel="0" collapsed="false">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ustomFormat="false" ht="14.25" hidden="false" customHeight="true" outlineLevel="0" collapsed="false">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ustomFormat="false" ht="14.25" hidden="false" customHeight="true" outlineLevel="0" collapsed="false">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ustomFormat="false" ht="14.25" hidden="false" customHeight="true" outlineLevel="0" collapsed="false">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ustomFormat="false" ht="14.25" hidden="false" customHeight="true" outlineLevel="0" collapsed="false">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ustomFormat="false" ht="14.25" hidden="false" customHeight="true" outlineLevel="0" collapsed="false">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ustomFormat="false" ht="14.25" hidden="false" customHeight="true" outlineLevel="0" collapsed="false">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ustomFormat="false" ht="14.25" hidden="false" customHeight="true" outlineLevel="0" collapsed="false">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ustomFormat="false" ht="14.25" hidden="false" customHeight="true" outlineLevel="0" collapsed="false">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ustomFormat="false" ht="14.25" hidden="false" customHeight="true" outlineLevel="0" collapsed="false">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ustomFormat="false" ht="14.25" hidden="false" customHeight="true" outlineLevel="0" collapsed="false">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ustomFormat="false" ht="14.25" hidden="false" customHeight="true" outlineLevel="0" collapsed="false">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ustomFormat="false" ht="14.25" hidden="false" customHeight="true" outlineLevel="0" collapsed="false">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ustomFormat="false" ht="14.25" hidden="false" customHeight="true" outlineLevel="0" collapsed="false">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ustomFormat="false" ht="14.25" hidden="false" customHeight="true" outlineLevel="0" collapsed="false">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ustomFormat="false" ht="14.25" hidden="false" customHeight="true" outlineLevel="0" collapsed="false">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ustomFormat="false" ht="14.25" hidden="false" customHeight="true" outlineLevel="0" collapsed="false">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ustomFormat="false" ht="14.25" hidden="false" customHeight="true" outlineLevel="0" collapsed="false">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ustomFormat="false" ht="14.25" hidden="false" customHeight="true" outlineLevel="0" collapsed="false">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ustomFormat="false" ht="14.25" hidden="false" customHeight="true" outlineLevel="0" collapsed="false">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ustomFormat="false" ht="14.25" hidden="false" customHeight="true" outlineLevel="0" collapsed="false">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ustomFormat="false" ht="14.25" hidden="false" customHeight="true" outlineLevel="0" collapsed="false">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ustomFormat="false" ht="14.25" hidden="false" customHeight="true" outlineLevel="0" collapsed="false">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ustomFormat="false" ht="14.25" hidden="false" customHeight="true" outlineLevel="0" collapsed="false">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ustomFormat="false" ht="14.25" hidden="false" customHeight="true" outlineLevel="0" collapsed="false">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ustomFormat="false" ht="14.25" hidden="false" customHeight="true" outlineLevel="0" collapsed="false">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ustomFormat="false" ht="14.25" hidden="false" customHeight="true" outlineLevel="0" collapsed="false">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ustomFormat="false" ht="14.25" hidden="false" customHeight="true" outlineLevel="0" collapsed="false">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ustomFormat="false" ht="14.25" hidden="false" customHeight="true" outlineLevel="0" collapsed="false">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ustomFormat="false" ht="14.25" hidden="false" customHeight="true" outlineLevel="0" collapsed="false">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ustomFormat="false" ht="14.25" hidden="false" customHeight="true" outlineLevel="0" collapsed="false">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ustomFormat="false" ht="14.25" hidden="false" customHeight="true" outlineLevel="0" collapsed="false">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ustomFormat="false" ht="14.25" hidden="false" customHeight="true" outlineLevel="0" collapsed="false">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ustomFormat="false" ht="14.25" hidden="false" customHeight="true" outlineLevel="0" collapsed="false">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ustomFormat="false" ht="14.25" hidden="false" customHeight="true" outlineLevel="0" collapsed="false">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ustomFormat="false" ht="14.25" hidden="false" customHeight="true" outlineLevel="0" collapsed="false">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ustomFormat="false" ht="14.25" hidden="false" customHeight="true" outlineLevel="0" collapsed="false">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ustomFormat="false" ht="14.25" hidden="false" customHeight="true" outlineLevel="0" collapsed="false">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ustomFormat="false" ht="14.25" hidden="false" customHeight="true" outlineLevel="0" collapsed="false">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ustomFormat="false" ht="14.25" hidden="false" customHeight="true" outlineLevel="0" collapsed="false">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ustomFormat="false" ht="14.25" hidden="false" customHeight="true" outlineLevel="0" collapsed="false">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ustomFormat="false" ht="14.25" hidden="false" customHeight="true" outlineLevel="0" collapsed="false">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ustomFormat="false" ht="14.25" hidden="false" customHeight="true" outlineLevel="0" collapsed="false">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ustomFormat="false" ht="14.25" hidden="false" customHeight="true" outlineLevel="0" collapsed="false">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ustomFormat="false" ht="14.25" hidden="false" customHeight="true" outlineLevel="0" collapsed="false">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ustomFormat="false" ht="14.25" hidden="false" customHeight="true" outlineLevel="0" collapsed="false">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ustomFormat="false" ht="14.25" hidden="false" customHeight="true" outlineLevel="0" collapsed="false">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ustomFormat="false" ht="14.25" hidden="false" customHeight="true" outlineLevel="0" collapsed="false">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ustomFormat="false" ht="14.25" hidden="false" customHeight="true" outlineLevel="0" collapsed="false">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ustomFormat="false" ht="14.25" hidden="false" customHeight="true" outlineLevel="0" collapsed="false">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ustomFormat="false" ht="14.25" hidden="false" customHeight="true" outlineLevel="0" collapsed="false">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ustomFormat="false" ht="14.25" hidden="false" customHeight="true" outlineLevel="0" collapsed="false">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ustomFormat="false" ht="14.25" hidden="false" customHeight="true" outlineLevel="0" collapsed="false">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ustomFormat="false" ht="14.25" hidden="false" customHeight="true" outlineLevel="0" collapsed="false">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ustomFormat="false" ht="14.25" hidden="false" customHeight="true" outlineLevel="0" collapsed="false">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ustomFormat="false" ht="14.25" hidden="false" customHeight="true" outlineLevel="0" collapsed="false">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ustomFormat="false" ht="14.25" hidden="false" customHeight="true" outlineLevel="0" collapsed="false">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ustomFormat="false" ht="14.25" hidden="false" customHeight="true" outlineLevel="0" collapsed="false">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ustomFormat="false" ht="14.25" hidden="false" customHeight="true" outlineLevel="0" collapsed="false">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ustomFormat="false" ht="14.25" hidden="false" customHeight="true" outlineLevel="0" collapsed="false">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ustomFormat="false" ht="14.25" hidden="false" customHeight="true" outlineLevel="0" collapsed="false">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ustomFormat="false" ht="14.25" hidden="false" customHeight="true" outlineLevel="0" collapsed="false">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ustomFormat="false" ht="14.25" hidden="false" customHeight="true" outlineLevel="0" collapsed="false">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ustomFormat="false" ht="14.25" hidden="false" customHeight="true" outlineLevel="0" collapsed="false">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ustomFormat="false" ht="14.25" hidden="false" customHeight="true" outlineLevel="0" collapsed="false">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ustomFormat="false" ht="14.25" hidden="false" customHeight="true" outlineLevel="0" collapsed="false">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ustomFormat="false" ht="14.25" hidden="false" customHeight="true" outlineLevel="0" collapsed="false">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ustomFormat="false" ht="14.25" hidden="false" customHeight="true" outlineLevel="0" collapsed="false">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ustomFormat="false" ht="14.25" hidden="false" customHeight="true" outlineLevel="0" collapsed="false">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ustomFormat="false" ht="14.25" hidden="false" customHeight="true" outlineLevel="0" collapsed="false">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ustomFormat="false" ht="14.25" hidden="false" customHeight="true" outlineLevel="0" collapsed="false">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ustomFormat="false" ht="14.25" hidden="false" customHeight="true" outlineLevel="0" collapsed="false">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ustomFormat="false" ht="14.25" hidden="false" customHeight="true" outlineLevel="0" collapsed="false">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ustomFormat="false" ht="14.25" hidden="false" customHeight="true" outlineLevel="0" collapsed="false">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ustomFormat="false" ht="14.25" hidden="false" customHeight="true" outlineLevel="0" collapsed="false">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ustomFormat="false" ht="14.25" hidden="false" customHeight="true" outlineLevel="0" collapsed="false">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ustomFormat="false" ht="14.25" hidden="false" customHeight="true" outlineLevel="0" collapsed="false">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ustomFormat="false" ht="14.25" hidden="false" customHeight="true" outlineLevel="0" collapsed="false">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ustomFormat="false" ht="14.25" hidden="false" customHeight="true" outlineLevel="0" collapsed="false">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ustomFormat="false" ht="14.25" hidden="false" customHeight="true" outlineLevel="0" collapsed="false">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ustomFormat="false" ht="14.25" hidden="false" customHeight="true" outlineLevel="0" collapsed="false">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ustomFormat="false" ht="14.25" hidden="false" customHeight="true" outlineLevel="0" collapsed="false">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ustomFormat="false" ht="14.25" hidden="false" customHeight="true" outlineLevel="0" collapsed="false">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ustomFormat="false" ht="14.25" hidden="false" customHeight="true" outlineLevel="0" collapsed="false">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ustomFormat="false" ht="14.25" hidden="false" customHeight="true" outlineLevel="0" collapsed="false">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ustomFormat="false" ht="14.25" hidden="false" customHeight="true" outlineLevel="0" collapsed="false">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ustomFormat="false" ht="14.25" hidden="false" customHeight="true" outlineLevel="0" collapsed="false">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ustomFormat="false" ht="14.25" hidden="false" customHeight="true" outlineLevel="0" collapsed="false">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ustomFormat="false" ht="14.25" hidden="false" customHeight="true" outlineLevel="0" collapsed="false">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ustomFormat="false" ht="14.25" hidden="false" customHeight="true" outlineLevel="0" collapsed="false">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ustomFormat="false" ht="14.25" hidden="false" customHeight="true" outlineLevel="0" collapsed="false">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ustomFormat="false" ht="14.25" hidden="false" customHeight="true" outlineLevel="0" collapsed="false">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ustomFormat="false" ht="14.25" hidden="false" customHeight="true" outlineLevel="0" collapsed="false">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ustomFormat="false" ht="14.25" hidden="false" customHeight="true" outlineLevel="0" collapsed="false">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ustomFormat="false" ht="14.25" hidden="false" customHeight="true" outlineLevel="0" collapsed="false">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ustomFormat="false" ht="14.25" hidden="false" customHeight="true" outlineLevel="0" collapsed="false">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ustomFormat="false" ht="14.25" hidden="false" customHeight="true" outlineLevel="0" collapsed="false">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ustomFormat="false" ht="14.25" hidden="false" customHeight="true" outlineLevel="0" collapsed="false">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ustomFormat="false" ht="14.25" hidden="false" customHeight="true" outlineLevel="0" collapsed="false">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ustomFormat="false" ht="14.25" hidden="false" customHeight="true" outlineLevel="0" collapsed="false">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ustomFormat="false" ht="14.25" hidden="false" customHeight="true" outlineLevel="0" collapsed="false">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ustomFormat="false" ht="14.25" hidden="false" customHeight="true" outlineLevel="0" collapsed="false">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ustomFormat="false" ht="14.25" hidden="false" customHeight="true" outlineLevel="0" collapsed="false">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ustomFormat="false" ht="14.25" hidden="false" customHeight="true" outlineLevel="0" collapsed="false">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ustomFormat="false" ht="14.25" hidden="false" customHeight="true" outlineLevel="0" collapsed="false">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ustomFormat="false" ht="14.25" hidden="false" customHeight="true" outlineLevel="0" collapsed="false">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ustomFormat="false" ht="14.25" hidden="false" customHeight="true" outlineLevel="0" collapsed="false">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ustomFormat="false" ht="14.25" hidden="false" customHeight="true" outlineLevel="0" collapsed="false">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ustomFormat="false" ht="14.25" hidden="false" customHeight="true" outlineLevel="0" collapsed="false">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ustomFormat="false" ht="14.25" hidden="false" customHeight="true" outlineLevel="0" collapsed="false">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ustomFormat="false" ht="14.25" hidden="false" customHeight="true" outlineLevel="0" collapsed="false">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ustomFormat="false" ht="14.25" hidden="false" customHeight="true" outlineLevel="0" collapsed="false">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ustomFormat="false" ht="14.25" hidden="false" customHeight="true" outlineLevel="0" collapsed="false">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ustomFormat="false" ht="14.25" hidden="false" customHeight="true" outlineLevel="0" collapsed="false">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ustomFormat="false" ht="14.25" hidden="false" customHeight="true" outlineLevel="0" collapsed="false">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ustomFormat="false" ht="14.25" hidden="false" customHeight="true" outlineLevel="0" collapsed="false">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ustomFormat="false" ht="14.25" hidden="false" customHeight="true" outlineLevel="0" collapsed="false">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ustomFormat="false" ht="14.25" hidden="false" customHeight="true" outlineLevel="0" collapsed="false">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ustomFormat="false" ht="14.25" hidden="false" customHeight="true" outlineLevel="0" collapsed="false">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ustomFormat="false" ht="14.25" hidden="false" customHeight="true" outlineLevel="0" collapsed="false">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ustomFormat="false" ht="14.25" hidden="false" customHeight="true" outlineLevel="0" collapsed="false">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ustomFormat="false" ht="14.25" hidden="false" customHeight="true" outlineLevel="0" collapsed="false">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ustomFormat="false" ht="14.25" hidden="false" customHeight="true" outlineLevel="0" collapsed="false">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ustomFormat="false" ht="14.25" hidden="false" customHeight="true" outlineLevel="0" collapsed="false">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ustomFormat="false" ht="14.25" hidden="false" customHeight="true" outlineLevel="0" collapsed="false">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ustomFormat="false" ht="14.25" hidden="false" customHeight="true" outlineLevel="0" collapsed="false">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ustomFormat="false" ht="14.25" hidden="false" customHeight="true" outlineLevel="0" collapsed="false">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ustomFormat="false" ht="14.25" hidden="false" customHeight="true" outlineLevel="0" collapsed="false">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ustomFormat="false" ht="14.25" hidden="false" customHeight="true" outlineLevel="0" collapsed="false">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ustomFormat="false" ht="14.25" hidden="false" customHeight="true" outlineLevel="0" collapsed="false">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ustomFormat="false" ht="14.25" hidden="false" customHeight="true" outlineLevel="0" collapsed="false">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ustomFormat="false" ht="14.25" hidden="false" customHeight="true" outlineLevel="0" collapsed="false">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ustomFormat="false" ht="14.25" hidden="false" customHeight="true" outlineLevel="0" collapsed="false">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ustomFormat="false" ht="14.25" hidden="false" customHeight="true" outlineLevel="0" collapsed="false">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ustomFormat="false" ht="14.25" hidden="false" customHeight="true" outlineLevel="0" collapsed="false">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ustomFormat="false" ht="14.25" hidden="false" customHeight="true" outlineLevel="0" collapsed="false">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ustomFormat="false" ht="14.25" hidden="false" customHeight="true" outlineLevel="0" collapsed="false">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ustomFormat="false" ht="14.25" hidden="false" customHeight="true" outlineLevel="0" collapsed="false">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ustomFormat="false" ht="14.25" hidden="false" customHeight="true" outlineLevel="0" collapsed="false">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ustomFormat="false" ht="14.25" hidden="false" customHeight="true" outlineLevel="0" collapsed="false">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ustomFormat="false" ht="14.25" hidden="false" customHeight="true" outlineLevel="0" collapsed="false">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ustomFormat="false" ht="14.25" hidden="false" customHeight="true" outlineLevel="0" collapsed="false">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ustomFormat="false" ht="14.25" hidden="false" customHeight="true" outlineLevel="0" collapsed="false">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ustomFormat="false" ht="14.25" hidden="false" customHeight="true" outlineLevel="0" collapsed="false">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ustomFormat="false" ht="14.25" hidden="false" customHeight="true" outlineLevel="0" collapsed="false">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ustomFormat="false" ht="14.25" hidden="false" customHeight="true" outlineLevel="0" collapsed="false">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ustomFormat="false" ht="14.25" hidden="false" customHeight="true" outlineLevel="0" collapsed="false">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ustomFormat="false" ht="14.25" hidden="false" customHeight="true" outlineLevel="0" collapsed="false">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ustomFormat="false" ht="14.25" hidden="false" customHeight="true" outlineLevel="0" collapsed="false">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ustomFormat="false" ht="14.25" hidden="false" customHeight="true" outlineLevel="0" collapsed="false">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ustomFormat="false" ht="14.25" hidden="false" customHeight="true" outlineLevel="0" collapsed="false">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ustomFormat="false" ht="14.25" hidden="false" customHeight="true" outlineLevel="0" collapsed="false">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ustomFormat="false" ht="14.25" hidden="false" customHeight="true" outlineLevel="0" collapsed="false">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ustomFormat="false" ht="14.25" hidden="false" customHeight="true" outlineLevel="0" collapsed="false">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ustomFormat="false" ht="14.25" hidden="false" customHeight="true" outlineLevel="0" collapsed="false">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ustomFormat="false" ht="14.25" hidden="false" customHeight="true" outlineLevel="0" collapsed="false">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ustomFormat="false" ht="14.25" hidden="false" customHeight="true" outlineLevel="0" collapsed="false">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ustomFormat="false" ht="14.25" hidden="false" customHeight="true" outlineLevel="0" collapsed="false">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ustomFormat="false" ht="14.25" hidden="false" customHeight="true" outlineLevel="0" collapsed="false">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ustomFormat="false" ht="14.25" hidden="false" customHeight="true" outlineLevel="0" collapsed="false">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ustomFormat="false" ht="14.25" hidden="false" customHeight="true" outlineLevel="0" collapsed="false">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ustomFormat="false" ht="14.25" hidden="false" customHeight="true" outlineLevel="0" collapsed="false">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ustomFormat="false" ht="14.25" hidden="false" customHeight="true" outlineLevel="0" collapsed="false">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ustomFormat="false" ht="14.25" hidden="false" customHeight="true" outlineLevel="0" collapsed="false">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ustomFormat="false" ht="14.25" hidden="false" customHeight="true" outlineLevel="0" collapsed="false">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ustomFormat="false" ht="14.25" hidden="false" customHeight="true" outlineLevel="0" collapsed="false">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ustomFormat="false" ht="14.25" hidden="false" customHeight="true" outlineLevel="0" collapsed="false">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ustomFormat="false" ht="14.25" hidden="false" customHeight="true" outlineLevel="0" collapsed="false">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ustomFormat="false" ht="14.25" hidden="false" customHeight="true" outlineLevel="0" collapsed="false">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ustomFormat="false" ht="14.25" hidden="false" customHeight="true" outlineLevel="0" collapsed="false">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ustomFormat="false" ht="14.25" hidden="false" customHeight="true" outlineLevel="0" collapsed="false">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ustomFormat="false" ht="14.25" hidden="false" customHeight="true" outlineLevel="0" collapsed="false">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ustomFormat="false" ht="14.25" hidden="false" customHeight="true" outlineLevel="0" collapsed="false">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ustomFormat="false" ht="14.25" hidden="false" customHeight="true" outlineLevel="0" collapsed="false">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ustomFormat="false" ht="14.25" hidden="false" customHeight="true" outlineLevel="0" collapsed="false">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ustomFormat="false" ht="14.25" hidden="false" customHeight="true" outlineLevel="0" collapsed="false">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ustomFormat="false" ht="14.25" hidden="false" customHeight="true" outlineLevel="0" collapsed="false">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ustomFormat="false" ht="14.25" hidden="false" customHeight="true" outlineLevel="0" collapsed="false">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ustomFormat="false" ht="14.25" hidden="false" customHeight="true" outlineLevel="0" collapsed="false">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ustomFormat="false" ht="14.25" hidden="false" customHeight="true" outlineLevel="0" collapsed="false">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ustomFormat="false" ht="14.25" hidden="false" customHeight="true" outlineLevel="0" collapsed="false">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ustomFormat="false" ht="14.25" hidden="false" customHeight="true" outlineLevel="0" collapsed="false">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ustomFormat="false" ht="14.25" hidden="false" customHeight="true" outlineLevel="0" collapsed="false">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ustomFormat="false" ht="14.25" hidden="false" customHeight="true" outlineLevel="0" collapsed="false">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ustomFormat="false" ht="14.25" hidden="false" customHeight="true" outlineLevel="0" collapsed="false">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ustomFormat="false" ht="14.25" hidden="false" customHeight="true" outlineLevel="0" collapsed="false">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ustomFormat="false" ht="14.25" hidden="false" customHeight="true" outlineLevel="0" collapsed="false">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ustomFormat="false" ht="14.25" hidden="false" customHeight="true" outlineLevel="0" collapsed="false">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ustomFormat="false" ht="14.25" hidden="false" customHeight="true" outlineLevel="0" collapsed="false">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ustomFormat="false" ht="14.25" hidden="false" customHeight="true" outlineLevel="0" collapsed="false">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ustomFormat="false" ht="14.25" hidden="false" customHeight="true" outlineLevel="0" collapsed="false">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ustomFormat="false" ht="14.25" hidden="false" customHeight="true" outlineLevel="0" collapsed="false">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ustomFormat="false" ht="14.25" hidden="false" customHeight="true" outlineLevel="0" collapsed="false">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ustomFormat="false" ht="14.25" hidden="false" customHeight="true" outlineLevel="0" collapsed="false">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ustomFormat="false" ht="14.25" hidden="false" customHeight="true" outlineLevel="0" collapsed="false">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ustomFormat="false" ht="14.25" hidden="false" customHeight="true" outlineLevel="0" collapsed="false">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ustomFormat="false" ht="14.25" hidden="false" customHeight="true" outlineLevel="0" collapsed="false">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ustomFormat="false" ht="14.25" hidden="false" customHeight="true" outlineLevel="0" collapsed="false">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ustomFormat="false" ht="14.25" hidden="false" customHeight="true" outlineLevel="0" collapsed="false">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ustomFormat="false" ht="14.25" hidden="false" customHeight="true" outlineLevel="0" collapsed="false">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ustomFormat="false" ht="14.25" hidden="false" customHeight="true" outlineLevel="0" collapsed="false">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ustomFormat="false" ht="14.25" hidden="false" customHeight="true" outlineLevel="0" collapsed="false">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ustomFormat="false" ht="14.25" hidden="false" customHeight="true" outlineLevel="0" collapsed="false">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ustomFormat="false" ht="14.25" hidden="false" customHeight="true" outlineLevel="0" collapsed="false">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ustomFormat="false" ht="14.25" hidden="false" customHeight="true" outlineLevel="0" collapsed="false">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ustomFormat="false" ht="14.25" hidden="false" customHeight="true" outlineLevel="0" collapsed="false">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ustomFormat="false" ht="14.25" hidden="false" customHeight="true" outlineLevel="0" collapsed="false">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ustomFormat="false" ht="14.25" hidden="false" customHeight="true" outlineLevel="0" collapsed="false">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ustomFormat="false" ht="14.25" hidden="false" customHeight="true" outlineLevel="0" collapsed="false">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ustomFormat="false" ht="14.25" hidden="false" customHeight="true" outlineLevel="0" collapsed="false">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ustomFormat="false" ht="14.25" hidden="false" customHeight="true" outlineLevel="0" collapsed="false">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ustomFormat="false" ht="14.25" hidden="false" customHeight="true" outlineLevel="0" collapsed="false">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ustomFormat="false" ht="14.25" hidden="false" customHeight="true" outlineLevel="0" collapsed="false">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ustomFormat="false" ht="14.25" hidden="false" customHeight="true" outlineLevel="0" collapsed="false">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ustomFormat="false" ht="14.25" hidden="false" customHeight="true" outlineLevel="0" collapsed="false">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ustomFormat="false" ht="14.25" hidden="false" customHeight="true" outlineLevel="0" collapsed="false">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ustomFormat="false" ht="14.25" hidden="false" customHeight="true" outlineLevel="0" collapsed="false">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ustomFormat="false" ht="14.25" hidden="false" customHeight="true" outlineLevel="0" collapsed="false">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ustomFormat="false" ht="14.25" hidden="false" customHeight="true" outlineLevel="0" collapsed="false">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ustomFormat="false" ht="14.25" hidden="false" customHeight="true" outlineLevel="0" collapsed="false">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ustomFormat="false" ht="14.25" hidden="false" customHeight="true" outlineLevel="0" collapsed="false">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ustomFormat="false" ht="14.25" hidden="false" customHeight="true" outlineLevel="0" collapsed="false">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ustomFormat="false" ht="14.25" hidden="false" customHeight="true" outlineLevel="0" collapsed="false">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ustomFormat="false" ht="14.25" hidden="false" customHeight="true" outlineLevel="0" collapsed="false">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ustomFormat="false" ht="14.25" hidden="false" customHeight="true" outlineLevel="0" collapsed="false">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ustomFormat="false" ht="14.25" hidden="false" customHeight="true" outlineLevel="0" collapsed="false">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ustomFormat="false" ht="14.25" hidden="false" customHeight="true" outlineLevel="0" collapsed="false">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ustomFormat="false" ht="14.25" hidden="false" customHeight="true" outlineLevel="0" collapsed="false">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ustomFormat="false" ht="14.25" hidden="false" customHeight="true" outlineLevel="0" collapsed="false">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ustomFormat="false" ht="14.25" hidden="false" customHeight="true" outlineLevel="0" collapsed="false">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ustomFormat="false" ht="14.25" hidden="false" customHeight="true" outlineLevel="0" collapsed="false">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ustomFormat="false" ht="14.25" hidden="false" customHeight="true" outlineLevel="0" collapsed="false">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ustomFormat="false" ht="14.25" hidden="false" customHeight="true" outlineLevel="0" collapsed="false">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ustomFormat="false" ht="14.25" hidden="false" customHeight="true" outlineLevel="0" collapsed="false">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ustomFormat="false" ht="14.25" hidden="false" customHeight="true" outlineLevel="0" collapsed="false">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ustomFormat="false" ht="14.25" hidden="false" customHeight="true" outlineLevel="0" collapsed="false">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ustomFormat="false" ht="14.25" hidden="false" customHeight="true" outlineLevel="0" collapsed="false">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ustomFormat="false" ht="14.25" hidden="false" customHeight="true" outlineLevel="0" collapsed="false">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ustomFormat="false" ht="14.25" hidden="false" customHeight="true" outlineLevel="0" collapsed="false">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ustomFormat="false" ht="14.25" hidden="false" customHeight="true" outlineLevel="0" collapsed="false">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ustomFormat="false" ht="14.25" hidden="false" customHeight="true" outlineLevel="0" collapsed="false">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ustomFormat="false" ht="14.25" hidden="false" customHeight="true" outlineLevel="0" collapsed="false">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ustomFormat="false" ht="14.25" hidden="false" customHeight="true" outlineLevel="0" collapsed="false">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ustomFormat="false" ht="14.25" hidden="false" customHeight="true" outlineLevel="0" collapsed="false">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ustomFormat="false" ht="14.25" hidden="false" customHeight="true" outlineLevel="0" collapsed="false">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ustomFormat="false" ht="14.25" hidden="false" customHeight="true" outlineLevel="0" collapsed="false">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ustomFormat="false" ht="14.25" hidden="false" customHeight="true" outlineLevel="0" collapsed="false">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ustomFormat="false" ht="14.25" hidden="false" customHeight="true" outlineLevel="0" collapsed="false">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ustomFormat="false" ht="14.25" hidden="false" customHeight="true" outlineLevel="0" collapsed="false">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ustomFormat="false" ht="14.25" hidden="false" customHeight="true" outlineLevel="0" collapsed="false">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ustomFormat="false" ht="14.25" hidden="false" customHeight="true" outlineLevel="0" collapsed="false">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ustomFormat="false" ht="14.25" hidden="false" customHeight="true" outlineLevel="0" collapsed="false">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ustomFormat="false" ht="14.25" hidden="false" customHeight="true" outlineLevel="0" collapsed="false">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ustomFormat="false" ht="14.25" hidden="false" customHeight="true" outlineLevel="0" collapsed="false">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ustomFormat="false" ht="14.25" hidden="false" customHeight="true" outlineLevel="0" collapsed="false">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ustomFormat="false" ht="14.25" hidden="false" customHeight="true" outlineLevel="0" collapsed="false">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ustomFormat="false" ht="14.25" hidden="false" customHeight="true" outlineLevel="0" collapsed="false">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ustomFormat="false" ht="14.25" hidden="false" customHeight="true" outlineLevel="0" collapsed="false">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ustomFormat="false" ht="14.25" hidden="false" customHeight="true" outlineLevel="0" collapsed="false">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ustomFormat="false" ht="14.25" hidden="false" customHeight="true" outlineLevel="0" collapsed="false">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ustomFormat="false" ht="14.25" hidden="false" customHeight="true" outlineLevel="0" collapsed="false">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ustomFormat="false" ht="14.25" hidden="false" customHeight="true" outlineLevel="0" collapsed="false">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ustomFormat="false" ht="14.25" hidden="false" customHeight="true" outlineLevel="0" collapsed="false">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ustomFormat="false" ht="14.25" hidden="false" customHeight="true" outlineLevel="0" collapsed="false">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ustomFormat="false" ht="14.25" hidden="false" customHeight="true" outlineLevel="0" collapsed="false">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ustomFormat="false" ht="14.25" hidden="false" customHeight="true" outlineLevel="0" collapsed="false">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ustomFormat="false" ht="14.25" hidden="false" customHeight="true" outlineLevel="0" collapsed="false">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ustomFormat="false" ht="14.25" hidden="false" customHeight="true" outlineLevel="0" collapsed="false">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ustomFormat="false" ht="14.25" hidden="false" customHeight="true" outlineLevel="0" collapsed="false">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ustomFormat="false" ht="14.25" hidden="false" customHeight="true" outlineLevel="0" collapsed="false">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ustomFormat="false" ht="14.25" hidden="false" customHeight="true" outlineLevel="0" collapsed="false">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ustomFormat="false" ht="14.25" hidden="false" customHeight="true" outlineLevel="0" collapsed="false">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ustomFormat="false" ht="14.25" hidden="false" customHeight="true" outlineLevel="0" collapsed="false">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ustomFormat="false" ht="14.25" hidden="false" customHeight="true" outlineLevel="0" collapsed="false">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ustomFormat="false" ht="14.25" hidden="false" customHeight="true" outlineLevel="0" collapsed="false">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ustomFormat="false" ht="14.25" hidden="false" customHeight="true" outlineLevel="0" collapsed="false">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ustomFormat="false" ht="14.25" hidden="false" customHeight="true" outlineLevel="0" collapsed="false">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ustomFormat="false" ht="14.25" hidden="false" customHeight="true" outlineLevel="0" collapsed="false">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ustomFormat="false" ht="14.25" hidden="false" customHeight="true" outlineLevel="0" collapsed="false">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ustomFormat="false" ht="14.25" hidden="false" customHeight="true" outlineLevel="0" collapsed="false">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ustomFormat="false" ht="14.25" hidden="false" customHeight="true" outlineLevel="0" collapsed="false">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ustomFormat="false" ht="14.25" hidden="false" customHeight="true" outlineLevel="0" collapsed="false">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ustomFormat="false" ht="14.25" hidden="false" customHeight="true" outlineLevel="0" collapsed="false">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ustomFormat="false" ht="14.25" hidden="false" customHeight="true" outlineLevel="0" collapsed="false">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ustomFormat="false" ht="14.25" hidden="false" customHeight="true" outlineLevel="0" collapsed="false">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ustomFormat="false" ht="14.25" hidden="false" customHeight="true" outlineLevel="0" collapsed="false">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ustomFormat="false" ht="14.25" hidden="false" customHeight="true" outlineLevel="0" collapsed="false">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ustomFormat="false" ht="14.25" hidden="false" customHeight="true" outlineLevel="0" collapsed="false">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ustomFormat="false" ht="14.25" hidden="false" customHeight="true" outlineLevel="0" collapsed="false">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ustomFormat="false" ht="14.25" hidden="false" customHeight="true" outlineLevel="0" collapsed="false">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ustomFormat="false" ht="14.25" hidden="false" customHeight="true" outlineLevel="0" collapsed="false">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ustomFormat="false" ht="14.25" hidden="false" customHeight="true" outlineLevel="0" collapsed="false">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ustomFormat="false" ht="14.25" hidden="false" customHeight="true" outlineLevel="0" collapsed="false">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ustomFormat="false" ht="14.25" hidden="false" customHeight="true" outlineLevel="0" collapsed="false">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ustomFormat="false" ht="14.25" hidden="false" customHeight="true" outlineLevel="0" collapsed="false">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ustomFormat="false" ht="14.25" hidden="false" customHeight="true" outlineLevel="0" collapsed="false">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ustomFormat="false" ht="14.25" hidden="false" customHeight="true" outlineLevel="0" collapsed="false">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ustomFormat="false" ht="14.25" hidden="false" customHeight="true" outlineLevel="0" collapsed="false">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ustomFormat="false" ht="14.25" hidden="false" customHeight="true" outlineLevel="0" collapsed="false">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ustomFormat="false" ht="14.25" hidden="false" customHeight="true" outlineLevel="0" collapsed="false">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ustomFormat="false" ht="14.25" hidden="false" customHeight="true" outlineLevel="0" collapsed="false">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ustomFormat="false" ht="14.25" hidden="false" customHeight="true" outlineLevel="0" collapsed="false">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ustomFormat="false" ht="14.25" hidden="false" customHeight="true" outlineLevel="0" collapsed="false">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ustomFormat="false" ht="14.25" hidden="false" customHeight="true" outlineLevel="0" collapsed="false">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ustomFormat="false" ht="14.25" hidden="false" customHeight="true" outlineLevel="0" collapsed="false">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ustomFormat="false" ht="14.25" hidden="false" customHeight="true" outlineLevel="0" collapsed="false">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ustomFormat="false" ht="14.25" hidden="false" customHeight="true" outlineLevel="0" collapsed="false">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ustomFormat="false" ht="14.25" hidden="false" customHeight="true" outlineLevel="0" collapsed="false">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ustomFormat="false" ht="14.25" hidden="false" customHeight="true" outlineLevel="0" collapsed="false">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ustomFormat="false" ht="14.25" hidden="false" customHeight="true" outlineLevel="0" collapsed="false">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ustomFormat="false" ht="14.25" hidden="false" customHeight="true" outlineLevel="0" collapsed="false">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ustomFormat="false" ht="14.25" hidden="false" customHeight="true" outlineLevel="0" collapsed="false">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ustomFormat="false" ht="14.25" hidden="false" customHeight="true" outlineLevel="0" collapsed="false">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ustomFormat="false" ht="14.25" hidden="false" customHeight="true" outlineLevel="0" collapsed="false">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ustomFormat="false" ht="14.25" hidden="false" customHeight="true" outlineLevel="0" collapsed="false">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ustomFormat="false" ht="14.25" hidden="false" customHeight="true" outlineLevel="0" collapsed="false">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ustomFormat="false" ht="14.25" hidden="false" customHeight="true" outlineLevel="0" collapsed="false">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ustomFormat="false" ht="14.25" hidden="false" customHeight="true" outlineLevel="0" collapsed="false">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ustomFormat="false" ht="14.25" hidden="false" customHeight="true" outlineLevel="0" collapsed="false">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ustomFormat="false" ht="14.25" hidden="false" customHeight="true" outlineLevel="0" collapsed="false">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ustomFormat="false" ht="14.25" hidden="false" customHeight="true" outlineLevel="0" collapsed="false">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ustomFormat="false" ht="14.25" hidden="false" customHeight="true" outlineLevel="0" collapsed="false">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ustomFormat="false" ht="14.25" hidden="false" customHeight="true" outlineLevel="0" collapsed="false">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ustomFormat="false" ht="14.25" hidden="false" customHeight="true" outlineLevel="0" collapsed="false">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ustomFormat="false" ht="14.25" hidden="false" customHeight="true" outlineLevel="0" collapsed="false">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ustomFormat="false" ht="14.25" hidden="false" customHeight="true" outlineLevel="0" collapsed="false">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ustomFormat="false" ht="14.25" hidden="false" customHeight="true" outlineLevel="0" collapsed="false">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ustomFormat="false" ht="14.25" hidden="false" customHeight="true" outlineLevel="0" collapsed="false">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ustomFormat="false" ht="14.25" hidden="false" customHeight="true" outlineLevel="0" collapsed="false">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ustomFormat="false" ht="14.25" hidden="false" customHeight="true" outlineLevel="0" collapsed="false">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ustomFormat="false" ht="14.25" hidden="false" customHeight="true" outlineLevel="0" collapsed="false">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ustomFormat="false" ht="14.25" hidden="false" customHeight="true" outlineLevel="0" collapsed="false">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ustomFormat="false" ht="14.25" hidden="false" customHeight="true" outlineLevel="0" collapsed="false">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ustomFormat="false" ht="14.25" hidden="false" customHeight="true" outlineLevel="0" collapsed="false">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ustomFormat="false" ht="14.25" hidden="false" customHeight="true" outlineLevel="0" collapsed="false">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ustomFormat="false" ht="14.25" hidden="false" customHeight="true" outlineLevel="0" collapsed="false">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ustomFormat="false" ht="14.25" hidden="false" customHeight="true" outlineLevel="0" collapsed="false">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ustomFormat="false" ht="14.25" hidden="false" customHeight="true" outlineLevel="0" collapsed="false">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ustomFormat="false" ht="14.25" hidden="false" customHeight="true" outlineLevel="0" collapsed="false">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ustomFormat="false" ht="14.25" hidden="false" customHeight="true" outlineLevel="0" collapsed="false">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ustomFormat="false" ht="14.25" hidden="false" customHeight="true" outlineLevel="0" collapsed="false">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ustomFormat="false" ht="14.25" hidden="false" customHeight="true" outlineLevel="0" collapsed="false">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ustomFormat="false" ht="14.25" hidden="false" customHeight="true" outlineLevel="0" collapsed="false">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ustomFormat="false" ht="14.25" hidden="false" customHeight="true" outlineLevel="0" collapsed="false">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ustomFormat="false" ht="14.25" hidden="false" customHeight="true" outlineLevel="0" collapsed="false">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ustomFormat="false" ht="14.25" hidden="false" customHeight="true" outlineLevel="0" collapsed="false">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ustomFormat="false" ht="14.25" hidden="false" customHeight="true" outlineLevel="0" collapsed="false">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ustomFormat="false" ht="14.25" hidden="false" customHeight="true" outlineLevel="0" collapsed="false">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ustomFormat="false" ht="14.25" hidden="false" customHeight="true" outlineLevel="0" collapsed="false">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ustomFormat="false" ht="14.25" hidden="false" customHeight="true" outlineLevel="0" collapsed="false">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ustomFormat="false" ht="14.25" hidden="false" customHeight="true" outlineLevel="0" collapsed="false">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ustomFormat="false" ht="14.25" hidden="false" customHeight="true" outlineLevel="0" collapsed="false">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ustomFormat="false" ht="14.25" hidden="false" customHeight="true" outlineLevel="0" collapsed="false">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ustomFormat="false" ht="14.25" hidden="false" customHeight="true" outlineLevel="0" collapsed="false">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ustomFormat="false" ht="14.25" hidden="false" customHeight="true" outlineLevel="0" collapsed="false">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ustomFormat="false" ht="14.25" hidden="false" customHeight="true" outlineLevel="0" collapsed="false">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ustomFormat="false" ht="14.25" hidden="false" customHeight="true" outlineLevel="0" collapsed="false">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ustomFormat="false" ht="14.25" hidden="false" customHeight="true" outlineLevel="0" collapsed="false">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ustomFormat="false" ht="14.25" hidden="false" customHeight="true" outlineLevel="0" collapsed="false">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ustomFormat="false" ht="14.25" hidden="false" customHeight="true" outlineLevel="0" collapsed="false">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ustomFormat="false" ht="14.25" hidden="false" customHeight="true" outlineLevel="0" collapsed="false">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ustomFormat="false" ht="14.25" hidden="false" customHeight="true" outlineLevel="0" collapsed="false">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ustomFormat="false" ht="14.25" hidden="false" customHeight="true" outlineLevel="0" collapsed="false">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ustomFormat="false" ht="14.25" hidden="false" customHeight="true" outlineLevel="0" collapsed="false">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ustomFormat="false" ht="14.25" hidden="false" customHeight="true" outlineLevel="0" collapsed="false">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ustomFormat="false" ht="14.25" hidden="false" customHeight="true" outlineLevel="0" collapsed="false">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ustomFormat="false" ht="14.25" hidden="false" customHeight="true" outlineLevel="0" collapsed="false">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ustomFormat="false" ht="14.25" hidden="false" customHeight="true" outlineLevel="0" collapsed="false">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ustomFormat="false" ht="14.25" hidden="false" customHeight="true" outlineLevel="0" collapsed="false">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1">
    <mergeCell ref="A4:A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156</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172</v>
      </c>
      <c r="B8" s="67" t="s">
        <v>173</v>
      </c>
      <c r="C8" s="67" t="s">
        <v>174</v>
      </c>
      <c r="D8" s="67" t="n">
        <v>0</v>
      </c>
      <c r="E8" s="67" t="n">
        <v>0</v>
      </c>
      <c r="F8" s="67" t="n">
        <v>1</v>
      </c>
      <c r="G8" s="67" t="n">
        <f aca="false">D8*$D$7+E8*$E$7+F8*$F$7</f>
        <v>5</v>
      </c>
      <c r="H8" s="67" t="s">
        <v>81</v>
      </c>
      <c r="I8" s="67" t="s">
        <v>175</v>
      </c>
      <c r="J8" s="67" t="s">
        <v>176</v>
      </c>
      <c r="K8" s="67" t="n">
        <v>20</v>
      </c>
    </row>
    <row r="9" customFormat="false" ht="60" hidden="false" customHeight="true" outlineLevel="0" collapsed="false">
      <c r="A9" s="67" t="s">
        <v>177</v>
      </c>
      <c r="B9" s="67" t="s">
        <v>178</v>
      </c>
      <c r="C9" s="67" t="s">
        <v>179</v>
      </c>
      <c r="D9" s="67" t="n">
        <v>0</v>
      </c>
      <c r="E9" s="67" t="n">
        <v>1</v>
      </c>
      <c r="F9" s="67" t="n">
        <v>0</v>
      </c>
      <c r="G9" s="67" t="n">
        <f aca="false">D9*$D$7+E9*$E$7+F9*$F$7</f>
        <v>3</v>
      </c>
      <c r="H9" s="67" t="s">
        <v>81</v>
      </c>
      <c r="I9" s="67" t="s">
        <v>175</v>
      </c>
      <c r="J9" s="67" t="s">
        <v>176</v>
      </c>
      <c r="K9" s="67" t="n">
        <v>16</v>
      </c>
    </row>
    <row r="10" customFormat="false" ht="60" hidden="false" customHeight="true" outlineLevel="0" collapsed="false">
      <c r="A10" s="67" t="s">
        <v>180</v>
      </c>
      <c r="B10" s="67" t="s">
        <v>181</v>
      </c>
      <c r="C10" s="67" t="s">
        <v>182</v>
      </c>
      <c r="D10" s="67" t="n">
        <v>1</v>
      </c>
      <c r="E10" s="67" t="n">
        <v>0</v>
      </c>
      <c r="F10" s="67" t="n">
        <v>0</v>
      </c>
      <c r="G10" s="67" t="n">
        <f aca="false">D10*$D$7+E10*$E$7+F10*$F$7</f>
        <v>1</v>
      </c>
      <c r="H10" s="67" t="s">
        <v>81</v>
      </c>
      <c r="I10" s="67" t="s">
        <v>175</v>
      </c>
      <c r="J10" s="67" t="s">
        <v>176</v>
      </c>
      <c r="K10" s="67" t="n">
        <v>8</v>
      </c>
    </row>
    <row r="11" customFormat="false" ht="60" hidden="false" customHeight="true" outlineLevel="0" collapsed="false">
      <c r="A11" s="67" t="s">
        <v>183</v>
      </c>
      <c r="B11" s="67" t="s">
        <v>184</v>
      </c>
      <c r="C11" s="67" t="s">
        <v>185</v>
      </c>
      <c r="D11" s="67" t="n">
        <v>0</v>
      </c>
      <c r="E11" s="67" t="n">
        <v>1</v>
      </c>
      <c r="F11" s="67" t="n">
        <v>0</v>
      </c>
      <c r="G11" s="67" t="n">
        <f aca="false">D11*$D$7+E11*$E$7+F11*$F$7</f>
        <v>3</v>
      </c>
      <c r="H11" s="67" t="s">
        <v>81</v>
      </c>
      <c r="I11" s="67" t="s">
        <v>175</v>
      </c>
      <c r="J11" s="67" t="s">
        <v>176</v>
      </c>
      <c r="K11" s="67" t="n">
        <v>16</v>
      </c>
    </row>
    <row r="12" customFormat="false" ht="60" hidden="false" customHeight="true" outlineLevel="0" collapsed="false">
      <c r="A12" s="67" t="s">
        <v>186</v>
      </c>
      <c r="B12" s="67" t="s">
        <v>187</v>
      </c>
      <c r="C12" s="67" t="s">
        <v>188</v>
      </c>
      <c r="D12" s="67" t="n">
        <v>0</v>
      </c>
      <c r="E12" s="67" t="n">
        <v>0</v>
      </c>
      <c r="F12" s="67" t="n">
        <v>1</v>
      </c>
      <c r="G12" s="67" t="n">
        <f aca="false">D12*$D$7+E12*$E$7+F12*$F$7</f>
        <v>5</v>
      </c>
      <c r="H12" s="67" t="s">
        <v>81</v>
      </c>
      <c r="I12" s="67" t="s">
        <v>189</v>
      </c>
      <c r="J12" s="67" t="s">
        <v>190</v>
      </c>
      <c r="K12" s="67" t="n">
        <v>24</v>
      </c>
    </row>
    <row r="13" customFormat="false" ht="60" hidden="false" customHeight="true" outlineLevel="0" collapsed="false">
      <c r="A13" s="67" t="s">
        <v>191</v>
      </c>
      <c r="B13" s="67" t="s">
        <v>192</v>
      </c>
      <c r="C13" s="67" t="s">
        <v>193</v>
      </c>
      <c r="D13" s="67" t="n">
        <v>1</v>
      </c>
      <c r="E13" s="67" t="n">
        <v>0</v>
      </c>
      <c r="F13" s="67" t="n">
        <v>0</v>
      </c>
      <c r="G13" s="67" t="n">
        <f aca="false">D13*$D$7+E13*$E$7+F13*$F$7</f>
        <v>1</v>
      </c>
      <c r="H13" s="67" t="s">
        <v>79</v>
      </c>
      <c r="I13" s="67" t="s">
        <v>189</v>
      </c>
      <c r="J13" s="67" t="s">
        <v>176</v>
      </c>
      <c r="K13" s="67" t="n">
        <v>8</v>
      </c>
    </row>
    <row r="14" customFormat="false" ht="60" hidden="false" customHeight="true" outlineLevel="0" collapsed="false">
      <c r="A14" s="67" t="s">
        <v>194</v>
      </c>
      <c r="B14" s="67" t="s">
        <v>195</v>
      </c>
      <c r="C14" s="67" t="s">
        <v>196</v>
      </c>
      <c r="D14" s="67" t="n">
        <v>1</v>
      </c>
      <c r="E14" s="67" t="n">
        <v>0</v>
      </c>
      <c r="F14" s="67" t="n">
        <v>0</v>
      </c>
      <c r="G14" s="67" t="n">
        <f aca="false">D14*$D$7+E14*$E$7+F14*$F$7</f>
        <v>1</v>
      </c>
      <c r="H14" s="67" t="s">
        <v>79</v>
      </c>
      <c r="I14" s="67" t="s">
        <v>189</v>
      </c>
      <c r="J14" s="67" t="s">
        <v>197</v>
      </c>
      <c r="K14" s="67" t="n">
        <v>8</v>
      </c>
    </row>
    <row r="15" customFormat="false" ht="60" hidden="false" customHeight="true" outlineLevel="0" collapsed="false">
      <c r="A15" s="67" t="s">
        <v>198</v>
      </c>
      <c r="B15" s="67" t="s">
        <v>199</v>
      </c>
      <c r="C15" s="67" t="s">
        <v>200</v>
      </c>
      <c r="D15" s="67" t="n">
        <v>0</v>
      </c>
      <c r="E15" s="67" t="n">
        <v>1</v>
      </c>
      <c r="F15" s="67" t="n">
        <v>0</v>
      </c>
      <c r="G15" s="67" t="n">
        <f aca="false">D15*$D$7+E15*$E$7+F15*$F$7</f>
        <v>3</v>
      </c>
      <c r="H15" s="67" t="s">
        <v>81</v>
      </c>
      <c r="I15" s="67" t="s">
        <v>189</v>
      </c>
      <c r="J15" s="67" t="s">
        <v>197</v>
      </c>
      <c r="K15" s="67" t="n">
        <v>16</v>
      </c>
    </row>
    <row r="16" customFormat="false" ht="60" hidden="false" customHeight="true" outlineLevel="0" collapsed="false">
      <c r="A16" s="67" t="s">
        <v>201</v>
      </c>
      <c r="B16" s="67" t="s">
        <v>202</v>
      </c>
      <c r="C16" s="67" t="s">
        <v>203</v>
      </c>
      <c r="D16" s="67" t="n">
        <v>1</v>
      </c>
      <c r="E16" s="67" t="n">
        <v>0</v>
      </c>
      <c r="F16" s="67" t="n">
        <v>0</v>
      </c>
      <c r="G16" s="67" t="n">
        <f aca="false">D16*$D$7+E16*$E$7+F16*$F$7</f>
        <v>1</v>
      </c>
      <c r="H16" s="67" t="s">
        <v>81</v>
      </c>
      <c r="I16" s="67" t="s">
        <v>189</v>
      </c>
      <c r="J16" s="67" t="s">
        <v>197</v>
      </c>
      <c r="K16" s="67" t="n">
        <v>8</v>
      </c>
    </row>
    <row r="17" customFormat="false" ht="60" hidden="false" customHeight="true" outlineLevel="0" collapsed="false">
      <c r="A17" s="67" t="s">
        <v>204</v>
      </c>
      <c r="B17" s="67" t="s">
        <v>205</v>
      </c>
      <c r="C17" s="67" t="s">
        <v>206</v>
      </c>
      <c r="D17" s="67" t="n">
        <v>0</v>
      </c>
      <c r="E17" s="67" t="n">
        <v>0</v>
      </c>
      <c r="F17" s="67" t="n">
        <v>1</v>
      </c>
      <c r="G17" s="67" t="n">
        <f aca="false">D17*$D$7+E17*$E$7+F17*$F$7</f>
        <v>5</v>
      </c>
      <c r="H17" s="67" t="s">
        <v>81</v>
      </c>
      <c r="I17" s="67" t="s">
        <v>189</v>
      </c>
      <c r="J17" s="67" t="s">
        <v>190</v>
      </c>
      <c r="K17" s="67" t="n">
        <v>40</v>
      </c>
    </row>
    <row r="18" customFormat="false" ht="60" hidden="false" customHeight="true" outlineLevel="0" collapsed="false">
      <c r="A18" s="67" t="s">
        <v>207</v>
      </c>
      <c r="B18" s="67" t="s">
        <v>208</v>
      </c>
      <c r="C18" s="67" t="s">
        <v>209</v>
      </c>
      <c r="D18" s="67" t="n">
        <v>0</v>
      </c>
      <c r="E18" s="67" t="n">
        <v>1</v>
      </c>
      <c r="F18" s="67" t="n">
        <v>0</v>
      </c>
      <c r="G18" s="67" t="n">
        <f aca="false">D18*$D$7+E18*$E$7+F18*$F$7</f>
        <v>3</v>
      </c>
      <c r="H18" s="67" t="s">
        <v>81</v>
      </c>
      <c r="I18" s="67" t="s">
        <v>175</v>
      </c>
      <c r="J18" s="67" t="s">
        <v>176</v>
      </c>
      <c r="K18" s="67" t="n">
        <v>12</v>
      </c>
    </row>
    <row r="19" customFormat="false" ht="60" hidden="false" customHeight="true" outlineLevel="0" collapsed="false">
      <c r="A19" s="67" t="s">
        <v>210</v>
      </c>
      <c r="B19" s="67" t="s">
        <v>211</v>
      </c>
      <c r="C19" s="67" t="s">
        <v>212</v>
      </c>
      <c r="D19" s="67" t="n">
        <v>1</v>
      </c>
      <c r="E19" s="67" t="n">
        <v>0</v>
      </c>
      <c r="F19" s="67" t="n">
        <v>0</v>
      </c>
      <c r="G19" s="67" t="n">
        <f aca="false">D19*$D$7+E19*$E$7+F19*$F$7</f>
        <v>1</v>
      </c>
      <c r="H19" s="67" t="s">
        <v>79</v>
      </c>
      <c r="I19" s="67" t="s">
        <v>175</v>
      </c>
      <c r="J19" s="67" t="s">
        <v>176</v>
      </c>
      <c r="K19" s="67" t="n">
        <v>8</v>
      </c>
    </row>
    <row r="20" customFormat="false" ht="60" hidden="false" customHeight="true" outlineLevel="0" collapsed="false">
      <c r="A20" s="67" t="s">
        <v>213</v>
      </c>
      <c r="B20" s="67" t="s">
        <v>214</v>
      </c>
      <c r="C20" s="67" t="s">
        <v>215</v>
      </c>
      <c r="D20" s="67" t="n">
        <v>1</v>
      </c>
      <c r="E20" s="67" t="n">
        <v>0</v>
      </c>
      <c r="F20" s="67" t="n">
        <v>0</v>
      </c>
      <c r="G20" s="67" t="n">
        <f aca="false">D20*$D$7+E20*$E$7+F20*$F$7</f>
        <v>1</v>
      </c>
      <c r="H20" s="67" t="s">
        <v>79</v>
      </c>
      <c r="I20" s="67" t="s">
        <v>175</v>
      </c>
      <c r="J20" s="67" t="s">
        <v>176</v>
      </c>
      <c r="K20" s="67" t="n">
        <v>4</v>
      </c>
    </row>
    <row r="21" customFormat="false" ht="60" hidden="false" customHeight="true" outlineLevel="0" collapsed="false">
      <c r="A21" s="67" t="s">
        <v>216</v>
      </c>
      <c r="B21" s="67" t="s">
        <v>217</v>
      </c>
      <c r="C21" s="67" t="s">
        <v>218</v>
      </c>
      <c r="D21" s="67" t="n">
        <v>1</v>
      </c>
      <c r="E21" s="67" t="n">
        <v>0</v>
      </c>
      <c r="F21" s="67" t="n">
        <v>0</v>
      </c>
      <c r="G21" s="67" t="n">
        <f aca="false">D21*$D$7+E21*$E$7+F21*$F$7</f>
        <v>1</v>
      </c>
      <c r="H21" s="67" t="s">
        <v>79</v>
      </c>
      <c r="I21" s="67" t="s">
        <v>189</v>
      </c>
      <c r="J21" s="67" t="s">
        <v>197</v>
      </c>
      <c r="K21" s="67" t="n">
        <v>8</v>
      </c>
    </row>
    <row r="22" customFormat="false" ht="60" hidden="false" customHeight="true" outlineLevel="0" collapsed="false">
      <c r="A22" s="67" t="s">
        <v>219</v>
      </c>
      <c r="B22" s="67" t="s">
        <v>220</v>
      </c>
      <c r="C22" s="67" t="s">
        <v>221</v>
      </c>
      <c r="D22" s="67" t="n">
        <v>1</v>
      </c>
      <c r="E22" s="67" t="n">
        <v>0</v>
      </c>
      <c r="F22" s="67" t="n">
        <v>0</v>
      </c>
      <c r="G22" s="67" t="n">
        <f aca="false">D22*$D$7+E22*$E$7+F22*$F$7</f>
        <v>1</v>
      </c>
      <c r="H22" s="67" t="s">
        <v>79</v>
      </c>
      <c r="I22" s="67" t="s">
        <v>175</v>
      </c>
      <c r="J22" s="67" t="s">
        <v>176</v>
      </c>
      <c r="K22" s="67" t="n">
        <v>8</v>
      </c>
    </row>
    <row r="23" customFormat="false" ht="60" hidden="false" customHeight="true" outlineLevel="0" collapsed="false">
      <c r="A23" s="67" t="s">
        <v>222</v>
      </c>
      <c r="B23" s="67" t="s">
        <v>223</v>
      </c>
      <c r="C23" s="67" t="s">
        <v>224</v>
      </c>
      <c r="D23" s="67" t="n">
        <v>1</v>
      </c>
      <c r="E23" s="67" t="n">
        <v>0</v>
      </c>
      <c r="F23" s="67" t="n">
        <v>0</v>
      </c>
      <c r="G23" s="67" t="n">
        <f aca="false">D23*$D$7+E23*$E$7+F23*$F$7</f>
        <v>1</v>
      </c>
      <c r="H23" s="67" t="s">
        <v>79</v>
      </c>
      <c r="I23" s="67" t="s">
        <v>175</v>
      </c>
      <c r="J23" s="67" t="s">
        <v>176</v>
      </c>
      <c r="K23" s="67" t="n">
        <v>6</v>
      </c>
    </row>
    <row r="24" customFormat="false" ht="60" hidden="false" customHeight="true" outlineLevel="0" collapsed="false">
      <c r="A24" s="67" t="s">
        <v>225</v>
      </c>
      <c r="B24" s="67" t="s">
        <v>226</v>
      </c>
      <c r="C24" s="67" t="s">
        <v>227</v>
      </c>
      <c r="D24" s="67" t="n">
        <v>1</v>
      </c>
      <c r="E24" s="67" t="n">
        <v>0</v>
      </c>
      <c r="F24" s="67" t="n">
        <v>0</v>
      </c>
      <c r="G24" s="67" t="n">
        <f aca="false">D24*$D$7+E24*$E$7+F24*$F$7</f>
        <v>1</v>
      </c>
      <c r="H24" s="67" t="s">
        <v>79</v>
      </c>
      <c r="I24" s="67" t="s">
        <v>228</v>
      </c>
      <c r="J24" s="67" t="s">
        <v>197</v>
      </c>
      <c r="K24" s="67" t="n">
        <v>8</v>
      </c>
    </row>
    <row r="25" customFormat="false" ht="35.05" hidden="false" customHeight="false" outlineLevel="0" collapsed="false">
      <c r="A25" s="15" t="s">
        <v>229</v>
      </c>
      <c r="B25" s="68"/>
      <c r="C25" s="68"/>
      <c r="D25" s="68"/>
      <c r="E25" s="68"/>
      <c r="F25" s="68"/>
      <c r="G25" s="15" t="n">
        <f aca="false">SUM(G8:G24)</f>
        <v>37</v>
      </c>
      <c r="H25" s="68"/>
      <c r="I25" s="68"/>
      <c r="J25" s="68"/>
      <c r="K25" s="15" t="n">
        <f aca="false">SUM(K8:K24)</f>
        <v>218</v>
      </c>
    </row>
    <row r="28" customFormat="false" ht="15" hidden="false" customHeight="false" outlineLevel="0" collapsed="false">
      <c r="B28" s="18" t="s">
        <v>230</v>
      </c>
      <c r="G28" s="10" t="n">
        <f aca="false">G25</f>
        <v>37</v>
      </c>
      <c r="J28" s="69" t="s">
        <v>231</v>
      </c>
    </row>
    <row r="29" customFormat="false" ht="15" hidden="false" customHeight="false" outlineLevel="0" collapsed="false">
      <c r="B29" s="18" t="s">
        <v>232</v>
      </c>
      <c r="C29" s="19" t="n">
        <v>0.18</v>
      </c>
      <c r="J29" s="18" t="s">
        <v>233</v>
      </c>
      <c r="L29" s="18" t="s">
        <v>234</v>
      </c>
    </row>
    <row r="30" customFormat="false" ht="15" hidden="false" customHeight="false" outlineLevel="0" collapsed="false">
      <c r="B30" s="18" t="s">
        <v>167</v>
      </c>
      <c r="C30" s="10" t="n">
        <f aca="false">G25</f>
        <v>37</v>
      </c>
      <c r="D30" s="10" t="s">
        <v>235</v>
      </c>
      <c r="J30" s="70" t="s">
        <v>236</v>
      </c>
      <c r="L30" s="19" t="n">
        <v>0</v>
      </c>
    </row>
    <row r="31" customFormat="false" ht="15" hidden="false" customHeight="false" outlineLevel="0" collapsed="false">
      <c r="B31" s="18" t="s">
        <v>237</v>
      </c>
      <c r="C31" s="10" t="n">
        <f aca="false">C30/C29</f>
        <v>205.555555555556</v>
      </c>
      <c r="D31" s="10" t="s">
        <v>238</v>
      </c>
      <c r="J31" s="70" t="s">
        <v>239</v>
      </c>
      <c r="L31" s="19" t="n">
        <v>0</v>
      </c>
    </row>
    <row r="32" customFormat="false" ht="15" hidden="false" customHeight="false" outlineLevel="0" collapsed="false">
      <c r="B32" s="18" t="s">
        <v>240</v>
      </c>
      <c r="C32" s="10" t="n">
        <f aca="false">0.65+0.01*$L$44</f>
        <v>1.01</v>
      </c>
      <c r="J32" s="70" t="s">
        <v>241</v>
      </c>
      <c r="L32" s="19" t="n">
        <v>0</v>
      </c>
    </row>
    <row r="33" customFormat="false" ht="15" hidden="false" customHeight="false" outlineLevel="0" collapsed="false">
      <c r="B33" s="18" t="s">
        <v>242</v>
      </c>
      <c r="C33" s="19" t="n">
        <v>0.05</v>
      </c>
      <c r="J33" s="70" t="s">
        <v>243</v>
      </c>
      <c r="L33" s="19" t="n">
        <v>3</v>
      </c>
    </row>
    <row r="34" customFormat="false" ht="15" hidden="false" customHeight="false" outlineLevel="0" collapsed="false">
      <c r="B34" s="18" t="s">
        <v>244</v>
      </c>
      <c r="C34" s="19" t="n">
        <v>0.1</v>
      </c>
      <c r="J34" s="70" t="s">
        <v>245</v>
      </c>
      <c r="L34" s="19" t="n">
        <v>4</v>
      </c>
    </row>
    <row r="35" customFormat="false" ht="15" hidden="false" customHeight="false" outlineLevel="0" collapsed="false">
      <c r="B35" s="18" t="s">
        <v>246</v>
      </c>
      <c r="C35" s="10" t="n">
        <f aca="false">C31*C32*(1+C33+C34)</f>
        <v>238.752777777778</v>
      </c>
      <c r="D35" s="10" t="s">
        <v>238</v>
      </c>
      <c r="J35" s="70" t="s">
        <v>247</v>
      </c>
      <c r="L35" s="19" t="n">
        <v>3</v>
      </c>
    </row>
    <row r="36" customFormat="false" ht="15" hidden="false" customHeight="false" outlineLevel="0" collapsed="false">
      <c r="J36" s="70" t="s">
        <v>248</v>
      </c>
      <c r="L36" s="19" t="n">
        <v>2</v>
      </c>
    </row>
    <row r="37" customFormat="false" ht="15" hidden="false" customHeight="false" outlineLevel="0" collapsed="false">
      <c r="B37" s="18" t="s">
        <v>249</v>
      </c>
      <c r="C37" s="10" t="n">
        <f aca="false">C35*1.05</f>
        <v>250.690416666667</v>
      </c>
      <c r="D37" s="10" t="n">
        <f aca="false">C35*0.95</f>
        <v>226.815138888889</v>
      </c>
      <c r="J37" s="70" t="s">
        <v>250</v>
      </c>
      <c r="L37" s="19" t="n">
        <v>1</v>
      </c>
    </row>
    <row r="38" customFormat="false" ht="15" hidden="false" customHeight="false" outlineLevel="0" collapsed="false">
      <c r="B38" s="18" t="s">
        <v>251</v>
      </c>
      <c r="C38" s="19" t="n">
        <v>325</v>
      </c>
      <c r="D38" s="10" t="s">
        <v>238</v>
      </c>
      <c r="J38" s="70" t="s">
        <v>252</v>
      </c>
      <c r="L38" s="19" t="n">
        <v>3</v>
      </c>
    </row>
    <row r="39" customFormat="false" ht="15" hidden="false" customHeight="false" outlineLevel="0" collapsed="false">
      <c r="B39" s="18" t="s">
        <v>253</v>
      </c>
      <c r="C39" s="10" t="n">
        <f aca="false">C35-C38</f>
        <v>-86.2472222222222</v>
      </c>
      <c r="D39" s="10" t="s">
        <v>238</v>
      </c>
      <c r="J39" s="70" t="s">
        <v>254</v>
      </c>
      <c r="L39" s="19" t="n">
        <v>4</v>
      </c>
    </row>
    <row r="40" customFormat="false" ht="15" hidden="false" customHeight="false" outlineLevel="0" collapsed="false">
      <c r="B40" s="18" t="s">
        <v>255</v>
      </c>
      <c r="C40" s="10" t="n">
        <f aca="false">K25</f>
        <v>218</v>
      </c>
      <c r="D40" s="10" t="s">
        <v>238</v>
      </c>
      <c r="J40" s="70" t="s">
        <v>256</v>
      </c>
      <c r="L40" s="19" t="n">
        <v>4</v>
      </c>
    </row>
    <row r="41" customFormat="false" ht="15" hidden="false" customHeight="false" outlineLevel="0" collapsed="false">
      <c r="J41" s="70" t="s">
        <v>257</v>
      </c>
      <c r="L41" s="19" t="n">
        <v>4</v>
      </c>
    </row>
    <row r="42" customFormat="false" ht="15" hidden="false" customHeight="false" outlineLevel="0" collapsed="false">
      <c r="J42" s="70" t="s">
        <v>258</v>
      </c>
      <c r="L42" s="19" t="n">
        <v>4</v>
      </c>
    </row>
    <row r="43" customFormat="false" ht="15" hidden="false" customHeight="false" outlineLevel="0" collapsed="false">
      <c r="J43" s="70" t="s">
        <v>259</v>
      </c>
      <c r="L43" s="19" t="n">
        <v>4</v>
      </c>
    </row>
    <row r="44" customFormat="false" ht="15" hidden="false" customHeight="false" outlineLevel="0" collapsed="false">
      <c r="J44" s="18" t="s">
        <v>260</v>
      </c>
      <c r="L44" s="18" t="n">
        <f aca="false">SUM(L30:L43)</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261</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262</v>
      </c>
      <c r="B8" s="67" t="s">
        <v>263</v>
      </c>
      <c r="C8" s="67" t="s">
        <v>264</v>
      </c>
      <c r="D8" s="67" t="n">
        <v>0</v>
      </c>
      <c r="E8" s="67" t="n">
        <v>1</v>
      </c>
      <c r="F8" s="67" t="n">
        <v>0</v>
      </c>
      <c r="G8" s="67" t="n">
        <f aca="false">D8*$D$7+E8*$E$7+F8*$F$7</f>
        <v>3</v>
      </c>
      <c r="H8" s="67" t="s">
        <v>81</v>
      </c>
      <c r="I8" s="67" t="s">
        <v>175</v>
      </c>
      <c r="J8" s="67" t="s">
        <v>176</v>
      </c>
      <c r="K8" s="67" t="n">
        <v>12</v>
      </c>
    </row>
    <row r="9" customFormat="false" ht="60" hidden="false" customHeight="true" outlineLevel="0" collapsed="false">
      <c r="A9" s="67" t="s">
        <v>265</v>
      </c>
      <c r="B9" s="67" t="s">
        <v>266</v>
      </c>
      <c r="C9" s="67" t="s">
        <v>267</v>
      </c>
      <c r="D9" s="67" t="n">
        <v>0</v>
      </c>
      <c r="E9" s="67" t="n">
        <v>1</v>
      </c>
      <c r="F9" s="67" t="n">
        <v>0</v>
      </c>
      <c r="G9" s="67" t="n">
        <f aca="false">D9*$D$7+E9*$E$7+F9*$F$7</f>
        <v>3</v>
      </c>
      <c r="H9" s="67" t="s">
        <v>81</v>
      </c>
      <c r="I9" s="67" t="s">
        <v>175</v>
      </c>
      <c r="J9" s="67" t="s">
        <v>176</v>
      </c>
      <c r="K9" s="67" t="n">
        <v>16</v>
      </c>
    </row>
    <row r="10" customFormat="false" ht="60" hidden="false" customHeight="true" outlineLevel="0" collapsed="false">
      <c r="A10" s="67" t="s">
        <v>268</v>
      </c>
      <c r="B10" s="67" t="s">
        <v>269</v>
      </c>
      <c r="C10" s="67" t="s">
        <v>270</v>
      </c>
      <c r="D10" s="67" t="n">
        <v>1</v>
      </c>
      <c r="E10" s="67" t="n">
        <v>0</v>
      </c>
      <c r="F10" s="67" t="n">
        <v>0</v>
      </c>
      <c r="G10" s="67" t="n">
        <f aca="false">D10*$D$7+E10*$E$7+F10*$F$7</f>
        <v>1</v>
      </c>
      <c r="H10" s="67" t="s">
        <v>81</v>
      </c>
      <c r="I10" s="67" t="s">
        <v>175</v>
      </c>
      <c r="J10" s="67" t="s">
        <v>176</v>
      </c>
      <c r="K10" s="67" t="n">
        <v>8</v>
      </c>
    </row>
    <row r="11" customFormat="false" ht="60" hidden="false" customHeight="true" outlineLevel="0" collapsed="false">
      <c r="A11" s="67" t="s">
        <v>271</v>
      </c>
      <c r="B11" s="67" t="s">
        <v>272</v>
      </c>
      <c r="C11" s="67" t="s">
        <v>273</v>
      </c>
      <c r="D11" s="67" t="n">
        <v>0</v>
      </c>
      <c r="E11" s="67" t="n">
        <v>0</v>
      </c>
      <c r="F11" s="67" t="n">
        <v>1</v>
      </c>
      <c r="G11" s="67" t="n">
        <f aca="false">D11*$D$7+E11*$E$7+F11*$F$7</f>
        <v>5</v>
      </c>
      <c r="H11" s="67" t="s">
        <v>79</v>
      </c>
      <c r="I11" s="67" t="s">
        <v>189</v>
      </c>
      <c r="J11" s="67" t="s">
        <v>197</v>
      </c>
      <c r="K11" s="67" t="n">
        <v>20</v>
      </c>
    </row>
    <row r="12" customFormat="false" ht="60" hidden="false" customHeight="true" outlineLevel="0" collapsed="false">
      <c r="A12" s="67" t="s">
        <v>274</v>
      </c>
      <c r="B12" s="67" t="s">
        <v>275</v>
      </c>
      <c r="C12" s="67" t="s">
        <v>276</v>
      </c>
      <c r="D12" s="67" t="n">
        <v>1</v>
      </c>
      <c r="E12" s="67" t="n">
        <v>0</v>
      </c>
      <c r="F12" s="67" t="n">
        <v>0</v>
      </c>
      <c r="G12" s="67" t="n">
        <f aca="false">D12*$D$7+E12*$E$7+F12*$F$7</f>
        <v>1</v>
      </c>
      <c r="H12" s="67" t="s">
        <v>79</v>
      </c>
      <c r="I12" s="67" t="s">
        <v>175</v>
      </c>
      <c r="J12" s="67" t="s">
        <v>176</v>
      </c>
      <c r="K12" s="67" t="n">
        <v>8</v>
      </c>
    </row>
    <row r="13" customFormat="false" ht="60" hidden="false" customHeight="true" outlineLevel="0" collapsed="false">
      <c r="A13" s="67" t="s">
        <v>277</v>
      </c>
      <c r="B13" s="67" t="s">
        <v>278</v>
      </c>
      <c r="C13" s="67" t="s">
        <v>279</v>
      </c>
      <c r="D13" s="67" t="n">
        <v>1</v>
      </c>
      <c r="E13" s="67" t="n">
        <v>0</v>
      </c>
      <c r="F13" s="67" t="n">
        <v>0</v>
      </c>
      <c r="G13" s="67" t="n">
        <f aca="false">D13*$D$7+E13*$E$7+F13*$F$7</f>
        <v>1</v>
      </c>
      <c r="H13" s="67" t="s">
        <v>79</v>
      </c>
      <c r="I13" s="67" t="s">
        <v>175</v>
      </c>
      <c r="J13" s="67" t="s">
        <v>176</v>
      </c>
      <c r="K13" s="67" t="n">
        <v>8</v>
      </c>
    </row>
    <row r="14" customFormat="false" ht="60" hidden="false" customHeight="true" outlineLevel="0" collapsed="false">
      <c r="A14" s="67" t="s">
        <v>280</v>
      </c>
      <c r="B14" s="67" t="s">
        <v>281</v>
      </c>
      <c r="C14" s="67" t="s">
        <v>282</v>
      </c>
      <c r="D14" s="67" t="n">
        <v>1</v>
      </c>
      <c r="E14" s="67" t="n">
        <v>0</v>
      </c>
      <c r="F14" s="67" t="n">
        <v>0</v>
      </c>
      <c r="G14" s="67" t="n">
        <f aca="false">D14*$D$7+E14*$E$7+F14*$F$7</f>
        <v>1</v>
      </c>
      <c r="H14" s="67" t="s">
        <v>79</v>
      </c>
      <c r="I14" s="67" t="s">
        <v>175</v>
      </c>
      <c r="J14" s="67" t="s">
        <v>176</v>
      </c>
      <c r="K14" s="67" t="n">
        <v>8</v>
      </c>
    </row>
    <row r="15" customFormat="false" ht="60" hidden="false" customHeight="true" outlineLevel="0" collapsed="false">
      <c r="A15" s="67" t="s">
        <v>283</v>
      </c>
      <c r="B15" s="67" t="s">
        <v>284</v>
      </c>
      <c r="C15" s="67" t="s">
        <v>285</v>
      </c>
      <c r="D15" s="67" t="n">
        <v>1</v>
      </c>
      <c r="E15" s="67" t="n">
        <v>0</v>
      </c>
      <c r="F15" s="67" t="n">
        <v>0</v>
      </c>
      <c r="G15" s="67" t="n">
        <f aca="false">D15*$D$7+E15*$E$7+F15*$F$7</f>
        <v>1</v>
      </c>
      <c r="H15" s="67" t="s">
        <v>79</v>
      </c>
      <c r="I15" s="67" t="s">
        <v>175</v>
      </c>
      <c r="J15" s="67" t="s">
        <v>176</v>
      </c>
      <c r="K15" s="67" t="n">
        <v>8</v>
      </c>
    </row>
    <row r="16" customFormat="false" ht="60" hidden="false" customHeight="true" outlineLevel="0" collapsed="false">
      <c r="A16" s="67" t="s">
        <v>286</v>
      </c>
      <c r="B16" s="67" t="s">
        <v>287</v>
      </c>
      <c r="C16" s="67" t="s">
        <v>288</v>
      </c>
      <c r="D16" s="67" t="n">
        <v>1</v>
      </c>
      <c r="E16" s="67" t="n">
        <v>0</v>
      </c>
      <c r="F16" s="67" t="n">
        <v>0</v>
      </c>
      <c r="G16" s="67" t="n">
        <f aca="false">D16*$D$7+E16*$E$7+F16*$F$7</f>
        <v>1</v>
      </c>
      <c r="H16" s="67" t="s">
        <v>79</v>
      </c>
      <c r="I16" s="67" t="s">
        <v>175</v>
      </c>
      <c r="J16" s="67" t="s">
        <v>176</v>
      </c>
      <c r="K16" s="67" t="n">
        <v>6</v>
      </c>
    </row>
    <row r="17" customFormat="false" ht="60" hidden="false" customHeight="true" outlineLevel="0" collapsed="false">
      <c r="A17" s="67" t="s">
        <v>289</v>
      </c>
      <c r="B17" s="67" t="s">
        <v>290</v>
      </c>
      <c r="C17" s="67" t="s">
        <v>291</v>
      </c>
      <c r="D17" s="67" t="n">
        <v>1</v>
      </c>
      <c r="E17" s="67" t="n">
        <v>0</v>
      </c>
      <c r="F17" s="67" t="n">
        <v>0</v>
      </c>
      <c r="G17" s="67" t="n">
        <f aca="false">D17*$D$7+E17*$E$7+F17*$F$7</f>
        <v>1</v>
      </c>
      <c r="H17" s="67" t="s">
        <v>79</v>
      </c>
      <c r="I17" s="67" t="s">
        <v>175</v>
      </c>
      <c r="J17" s="67" t="s">
        <v>176</v>
      </c>
      <c r="K17" s="67" t="n">
        <v>6</v>
      </c>
    </row>
    <row r="18" customFormat="false" ht="60" hidden="false" customHeight="true" outlineLevel="0" collapsed="false">
      <c r="A18" s="67" t="s">
        <v>292</v>
      </c>
      <c r="B18" s="67" t="s">
        <v>293</v>
      </c>
      <c r="C18" s="67" t="s">
        <v>294</v>
      </c>
      <c r="D18" s="67" t="n">
        <v>1</v>
      </c>
      <c r="E18" s="67" t="n">
        <v>0</v>
      </c>
      <c r="F18" s="67" t="n">
        <v>0</v>
      </c>
      <c r="G18" s="67" t="n">
        <f aca="false">D18*$D$7+E18*$E$7+F18*$F$7</f>
        <v>1</v>
      </c>
      <c r="H18" s="67" t="s">
        <v>77</v>
      </c>
      <c r="I18" s="67" t="s">
        <v>175</v>
      </c>
      <c r="J18" s="67" t="s">
        <v>176</v>
      </c>
      <c r="K18" s="67" t="n">
        <v>4</v>
      </c>
    </row>
    <row r="19" customFormat="false" ht="23.85" hidden="false" customHeight="false" outlineLevel="0" collapsed="false">
      <c r="A19" s="15" t="s">
        <v>295</v>
      </c>
      <c r="B19" s="68"/>
      <c r="C19" s="68"/>
      <c r="D19" s="68"/>
      <c r="E19" s="68"/>
      <c r="F19" s="68"/>
      <c r="G19" s="15" t="n">
        <f aca="false">SUM(G8:G18)</f>
        <v>19</v>
      </c>
      <c r="H19" s="68"/>
      <c r="I19" s="68"/>
      <c r="J19" s="68"/>
      <c r="K19" s="15" t="n">
        <f aca="false">SUM(K8:K18)</f>
        <v>104</v>
      </c>
    </row>
    <row r="22" customFormat="false" ht="15" hidden="false" customHeight="false" outlineLevel="0" collapsed="false">
      <c r="B22" s="18" t="s">
        <v>230</v>
      </c>
      <c r="G22" s="10" t="n">
        <f aca="false">G19</f>
        <v>19</v>
      </c>
      <c r="J22" s="69" t="s">
        <v>231</v>
      </c>
    </row>
    <row r="23" customFormat="false" ht="15" hidden="false" customHeight="false" outlineLevel="0" collapsed="false">
      <c r="B23" s="18" t="s">
        <v>232</v>
      </c>
      <c r="C23" s="19" t="n">
        <v>0.18</v>
      </c>
      <c r="J23" s="18" t="s">
        <v>233</v>
      </c>
      <c r="L23" s="18" t="s">
        <v>234</v>
      </c>
    </row>
    <row r="24" customFormat="false" ht="15" hidden="false" customHeight="false" outlineLevel="0" collapsed="false">
      <c r="B24" s="18" t="s">
        <v>167</v>
      </c>
      <c r="C24" s="10" t="n">
        <f aca="false">G19</f>
        <v>19</v>
      </c>
      <c r="D24" s="10" t="s">
        <v>235</v>
      </c>
      <c r="J24" s="70" t="s">
        <v>236</v>
      </c>
      <c r="L24" s="19" t="n">
        <v>0</v>
      </c>
    </row>
    <row r="25" customFormat="false" ht="15" hidden="false" customHeight="false" outlineLevel="0" collapsed="false">
      <c r="B25" s="18" t="s">
        <v>237</v>
      </c>
      <c r="C25" s="10" t="n">
        <f aca="false">C24/C23</f>
        <v>105.555555555556</v>
      </c>
      <c r="D25" s="10" t="s">
        <v>238</v>
      </c>
      <c r="J25" s="70" t="s">
        <v>239</v>
      </c>
      <c r="L25" s="19" t="n">
        <v>0</v>
      </c>
    </row>
    <row r="26" customFormat="false" ht="15" hidden="false" customHeight="false" outlineLevel="0" collapsed="false">
      <c r="B26" s="18" t="s">
        <v>240</v>
      </c>
      <c r="C26" s="10" t="n">
        <f aca="false">0.65+0.01*$L$38</f>
        <v>1.01</v>
      </c>
      <c r="J26" s="70" t="s">
        <v>241</v>
      </c>
      <c r="L26" s="19" t="n">
        <v>0</v>
      </c>
    </row>
    <row r="27" customFormat="false" ht="15" hidden="false" customHeight="false" outlineLevel="0" collapsed="false">
      <c r="B27" s="18" t="s">
        <v>242</v>
      </c>
      <c r="C27" s="19" t="n">
        <v>0.05</v>
      </c>
      <c r="J27" s="70" t="s">
        <v>243</v>
      </c>
      <c r="L27" s="19" t="n">
        <v>3</v>
      </c>
    </row>
    <row r="28" customFormat="false" ht="15" hidden="false" customHeight="false" outlineLevel="0" collapsed="false">
      <c r="B28" s="18" t="s">
        <v>244</v>
      </c>
      <c r="C28" s="19" t="n">
        <v>0.1</v>
      </c>
      <c r="J28" s="70" t="s">
        <v>245</v>
      </c>
      <c r="L28" s="19" t="n">
        <v>4</v>
      </c>
    </row>
    <row r="29" customFormat="false" ht="15" hidden="false" customHeight="false" outlineLevel="0" collapsed="false">
      <c r="B29" s="18" t="s">
        <v>246</v>
      </c>
      <c r="C29" s="10" t="n">
        <f aca="false">C25*C26*(1+C27+C28)</f>
        <v>122.602777777778</v>
      </c>
      <c r="D29" s="10" t="s">
        <v>238</v>
      </c>
      <c r="J29" s="70" t="s">
        <v>247</v>
      </c>
      <c r="L29" s="19" t="n">
        <v>3</v>
      </c>
    </row>
    <row r="30" customFormat="false" ht="15" hidden="false" customHeight="false" outlineLevel="0" collapsed="false">
      <c r="J30" s="70" t="s">
        <v>248</v>
      </c>
      <c r="L30" s="19" t="n">
        <v>2</v>
      </c>
    </row>
    <row r="31" customFormat="false" ht="15" hidden="false" customHeight="false" outlineLevel="0" collapsed="false">
      <c r="B31" s="18" t="s">
        <v>249</v>
      </c>
      <c r="C31" s="10" t="n">
        <f aca="false">C29*1.05</f>
        <v>128.732916666667</v>
      </c>
      <c r="D31" s="10" t="n">
        <f aca="false">C29*0.95</f>
        <v>116.472638888889</v>
      </c>
      <c r="J31" s="70" t="s">
        <v>250</v>
      </c>
      <c r="L31" s="19" t="n">
        <v>1</v>
      </c>
    </row>
    <row r="32" customFormat="false" ht="15" hidden="false" customHeight="false" outlineLevel="0" collapsed="false">
      <c r="B32" s="18" t="s">
        <v>251</v>
      </c>
      <c r="C32" s="19" t="n">
        <v>271</v>
      </c>
      <c r="D32" s="10" t="s">
        <v>238</v>
      </c>
      <c r="J32" s="70" t="s">
        <v>252</v>
      </c>
      <c r="L32" s="19" t="n">
        <v>3</v>
      </c>
    </row>
    <row r="33" customFormat="false" ht="15" hidden="false" customHeight="false" outlineLevel="0" collapsed="false">
      <c r="B33" s="18" t="s">
        <v>253</v>
      </c>
      <c r="C33" s="10" t="n">
        <f aca="false">C29-C32</f>
        <v>-148.397222222222</v>
      </c>
      <c r="D33" s="10" t="s">
        <v>238</v>
      </c>
      <c r="J33" s="70" t="s">
        <v>254</v>
      </c>
      <c r="L33" s="19" t="n">
        <v>4</v>
      </c>
    </row>
    <row r="34" customFormat="false" ht="15" hidden="false" customHeight="false" outlineLevel="0" collapsed="false">
      <c r="B34" s="18" t="s">
        <v>255</v>
      </c>
      <c r="C34" s="10" t="n">
        <f aca="false">K19</f>
        <v>104</v>
      </c>
      <c r="D34" s="10" t="s">
        <v>238</v>
      </c>
      <c r="J34" s="70" t="s">
        <v>256</v>
      </c>
      <c r="L34" s="19" t="n">
        <v>4</v>
      </c>
    </row>
    <row r="35" customFormat="false" ht="15" hidden="false" customHeight="false" outlineLevel="0" collapsed="false">
      <c r="J35" s="70" t="s">
        <v>257</v>
      </c>
      <c r="L35" s="19" t="n">
        <v>4</v>
      </c>
    </row>
    <row r="36" customFormat="false" ht="15" hidden="false" customHeight="false" outlineLevel="0" collapsed="false">
      <c r="J36" s="70" t="s">
        <v>258</v>
      </c>
      <c r="L36" s="19" t="n">
        <v>4</v>
      </c>
    </row>
    <row r="37" customFormat="false" ht="15" hidden="false" customHeight="false" outlineLevel="0" collapsed="false">
      <c r="J37" s="70" t="s">
        <v>259</v>
      </c>
      <c r="L37" s="19" t="n">
        <v>4</v>
      </c>
    </row>
    <row r="38" customFormat="false" ht="15" hidden="false" customHeight="false" outlineLevel="0" collapsed="false">
      <c r="J38" s="18" t="s">
        <v>260</v>
      </c>
      <c r="L38" s="18" t="n">
        <f aca="false">SUM(L24:L37)</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296</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297</v>
      </c>
      <c r="B8" s="67" t="s">
        <v>298</v>
      </c>
      <c r="C8" s="67" t="s">
        <v>299</v>
      </c>
      <c r="D8" s="67" t="n">
        <v>0</v>
      </c>
      <c r="E8" s="67" t="n">
        <v>1</v>
      </c>
      <c r="F8" s="67" t="n">
        <v>0</v>
      </c>
      <c r="G8" s="67" t="n">
        <f aca="false">D8*$D$7+E8*$E$7+F8*$F$7</f>
        <v>3</v>
      </c>
      <c r="H8" s="67" t="s">
        <v>81</v>
      </c>
      <c r="I8" s="67" t="s">
        <v>175</v>
      </c>
      <c r="J8" s="67" t="s">
        <v>176</v>
      </c>
      <c r="K8" s="67" t="n">
        <v>16</v>
      </c>
    </row>
    <row r="9" customFormat="false" ht="60" hidden="false" customHeight="true" outlineLevel="0" collapsed="false">
      <c r="A9" s="67" t="s">
        <v>300</v>
      </c>
      <c r="B9" s="67" t="s">
        <v>301</v>
      </c>
      <c r="C9" s="67" t="s">
        <v>302</v>
      </c>
      <c r="D9" s="67" t="n">
        <v>0</v>
      </c>
      <c r="E9" s="67" t="n">
        <v>1</v>
      </c>
      <c r="F9" s="67" t="n">
        <v>0</v>
      </c>
      <c r="G9" s="67" t="n">
        <f aca="false">D9*$D$7+E9*$E$7+F9*$F$7</f>
        <v>3</v>
      </c>
      <c r="H9" s="67" t="s">
        <v>81</v>
      </c>
      <c r="I9" s="67" t="s">
        <v>175</v>
      </c>
      <c r="J9" s="67" t="s">
        <v>176</v>
      </c>
      <c r="K9" s="67" t="n">
        <v>12</v>
      </c>
    </row>
    <row r="10" customFormat="false" ht="60" hidden="false" customHeight="true" outlineLevel="0" collapsed="false">
      <c r="A10" s="67" t="s">
        <v>303</v>
      </c>
      <c r="B10" s="67" t="s">
        <v>304</v>
      </c>
      <c r="C10" s="67" t="s">
        <v>305</v>
      </c>
      <c r="D10" s="67" t="n">
        <v>0</v>
      </c>
      <c r="E10" s="67" t="n">
        <v>1</v>
      </c>
      <c r="F10" s="67" t="n">
        <v>0</v>
      </c>
      <c r="G10" s="67" t="n">
        <f aca="false">D10*$D$7+E10*$E$7+F10*$F$7</f>
        <v>3</v>
      </c>
      <c r="H10" s="67" t="s">
        <v>81</v>
      </c>
      <c r="I10" s="67" t="s">
        <v>189</v>
      </c>
      <c r="J10" s="67" t="s">
        <v>190</v>
      </c>
      <c r="K10" s="67" t="n">
        <v>16</v>
      </c>
    </row>
    <row r="11" customFormat="false" ht="60" hidden="false" customHeight="true" outlineLevel="0" collapsed="false">
      <c r="A11" s="67" t="s">
        <v>306</v>
      </c>
      <c r="B11" s="67" t="s">
        <v>307</v>
      </c>
      <c r="C11" s="67" t="s">
        <v>308</v>
      </c>
      <c r="D11" s="67" t="n">
        <v>1</v>
      </c>
      <c r="E11" s="67" t="n">
        <v>0</v>
      </c>
      <c r="F11" s="67" t="n">
        <v>0</v>
      </c>
      <c r="G11" s="67" t="n">
        <f aca="false">D11*$D$7+E11*$E$7+F11*$F$7</f>
        <v>1</v>
      </c>
      <c r="H11" s="67" t="s">
        <v>81</v>
      </c>
      <c r="I11" s="67" t="s">
        <v>175</v>
      </c>
      <c r="J11" s="67" t="s">
        <v>176</v>
      </c>
      <c r="K11" s="67" t="n">
        <v>8</v>
      </c>
    </row>
    <row r="12" customFormat="false" ht="60" hidden="false" customHeight="true" outlineLevel="0" collapsed="false">
      <c r="A12" s="67" t="s">
        <v>309</v>
      </c>
      <c r="B12" s="67" t="s">
        <v>310</v>
      </c>
      <c r="C12" s="67" t="s">
        <v>311</v>
      </c>
      <c r="D12" s="67" t="n">
        <v>1</v>
      </c>
      <c r="E12" s="67" t="n">
        <v>0</v>
      </c>
      <c r="F12" s="67" t="n">
        <v>0</v>
      </c>
      <c r="G12" s="67" t="n">
        <f aca="false">D12*$D$7+E12*$E$7+F12*$F$7</f>
        <v>1</v>
      </c>
      <c r="H12" s="67" t="s">
        <v>81</v>
      </c>
      <c r="I12" s="67" t="s">
        <v>175</v>
      </c>
      <c r="J12" s="67" t="s">
        <v>176</v>
      </c>
      <c r="K12" s="67" t="n">
        <v>8</v>
      </c>
    </row>
    <row r="13" customFormat="false" ht="60" hidden="false" customHeight="true" outlineLevel="0" collapsed="false">
      <c r="A13" s="67" t="s">
        <v>312</v>
      </c>
      <c r="B13" s="67" t="s">
        <v>313</v>
      </c>
      <c r="C13" s="67" t="s">
        <v>314</v>
      </c>
      <c r="D13" s="67" t="n">
        <v>1</v>
      </c>
      <c r="E13" s="67" t="n">
        <v>0</v>
      </c>
      <c r="F13" s="67" t="n">
        <v>0</v>
      </c>
      <c r="G13" s="67" t="n">
        <f aca="false">D13*$D$7+E13*$E$7+F13*$F$7</f>
        <v>1</v>
      </c>
      <c r="H13" s="67" t="s">
        <v>79</v>
      </c>
      <c r="I13" s="67" t="s">
        <v>189</v>
      </c>
      <c r="J13" s="67" t="s">
        <v>197</v>
      </c>
      <c r="K13" s="67" t="n">
        <v>8</v>
      </c>
    </row>
    <row r="14" customFormat="false" ht="60" hidden="false" customHeight="true" outlineLevel="0" collapsed="false">
      <c r="A14" s="67" t="s">
        <v>315</v>
      </c>
      <c r="B14" s="67" t="s">
        <v>316</v>
      </c>
      <c r="C14" s="67" t="s">
        <v>317</v>
      </c>
      <c r="D14" s="67" t="n">
        <v>1</v>
      </c>
      <c r="E14" s="67" t="n">
        <v>0</v>
      </c>
      <c r="F14" s="67" t="n">
        <v>0</v>
      </c>
      <c r="G14" s="67" t="n">
        <f aca="false">D14*$D$7+E14*$E$7+F14*$F$7</f>
        <v>1</v>
      </c>
      <c r="H14" s="67" t="s">
        <v>81</v>
      </c>
      <c r="I14" s="67" t="s">
        <v>175</v>
      </c>
      <c r="J14" s="67" t="s">
        <v>197</v>
      </c>
      <c r="K14" s="67" t="n">
        <v>8</v>
      </c>
    </row>
    <row r="15" customFormat="false" ht="60" hidden="false" customHeight="true" outlineLevel="0" collapsed="false">
      <c r="A15" s="67" t="s">
        <v>318</v>
      </c>
      <c r="B15" s="67" t="s">
        <v>319</v>
      </c>
      <c r="C15" s="67" t="s">
        <v>320</v>
      </c>
      <c r="D15" s="67" t="n">
        <v>1</v>
      </c>
      <c r="E15" s="67" t="n">
        <v>0</v>
      </c>
      <c r="F15" s="67" t="n">
        <v>0</v>
      </c>
      <c r="G15" s="67" t="n">
        <f aca="false">D15*$D$7+E15*$E$7+F15*$F$7</f>
        <v>1</v>
      </c>
      <c r="H15" s="67" t="s">
        <v>81</v>
      </c>
      <c r="I15" s="67" t="s">
        <v>175</v>
      </c>
      <c r="J15" s="67" t="s">
        <v>176</v>
      </c>
      <c r="K15" s="67" t="n">
        <v>6</v>
      </c>
    </row>
    <row r="16" customFormat="false" ht="35.05" hidden="false" customHeight="false" outlineLevel="0" collapsed="false">
      <c r="A16" s="15" t="s">
        <v>321</v>
      </c>
      <c r="B16" s="68"/>
      <c r="C16" s="68"/>
      <c r="D16" s="68"/>
      <c r="E16" s="68"/>
      <c r="F16" s="68"/>
      <c r="G16" s="15" t="n">
        <f aca="false">SUM(G8:G15)</f>
        <v>14</v>
      </c>
      <c r="H16" s="68"/>
      <c r="I16" s="68"/>
      <c r="J16" s="68"/>
      <c r="K16" s="15" t="n">
        <f aca="false">SUM(K8:K15)</f>
        <v>82</v>
      </c>
    </row>
    <row r="19" customFormat="false" ht="15" hidden="false" customHeight="false" outlineLevel="0" collapsed="false">
      <c r="B19" s="18" t="s">
        <v>230</v>
      </c>
      <c r="G19" s="10" t="n">
        <f aca="false">G16</f>
        <v>14</v>
      </c>
      <c r="J19" s="69" t="s">
        <v>231</v>
      </c>
    </row>
    <row r="20" customFormat="false" ht="15" hidden="false" customHeight="false" outlineLevel="0" collapsed="false">
      <c r="B20" s="18" t="s">
        <v>232</v>
      </c>
      <c r="C20" s="19" t="n">
        <v>0.18</v>
      </c>
      <c r="J20" s="18" t="s">
        <v>233</v>
      </c>
      <c r="L20" s="18" t="s">
        <v>234</v>
      </c>
    </row>
    <row r="21" customFormat="false" ht="15" hidden="false" customHeight="false" outlineLevel="0" collapsed="false">
      <c r="B21" s="18" t="s">
        <v>167</v>
      </c>
      <c r="C21" s="10" t="n">
        <f aca="false">G16</f>
        <v>14</v>
      </c>
      <c r="D21" s="10" t="s">
        <v>235</v>
      </c>
      <c r="J21" s="70" t="s">
        <v>236</v>
      </c>
      <c r="L21" s="19" t="n">
        <v>0</v>
      </c>
    </row>
    <row r="22" customFormat="false" ht="15" hidden="false" customHeight="false" outlineLevel="0" collapsed="false">
      <c r="B22" s="18" t="s">
        <v>237</v>
      </c>
      <c r="C22" s="10" t="n">
        <f aca="false">C21/C20</f>
        <v>77.7777777777778</v>
      </c>
      <c r="D22" s="10" t="s">
        <v>238</v>
      </c>
      <c r="J22" s="70" t="s">
        <v>239</v>
      </c>
      <c r="L22" s="19" t="n">
        <v>0</v>
      </c>
    </row>
    <row r="23" customFormat="false" ht="15" hidden="false" customHeight="false" outlineLevel="0" collapsed="false">
      <c r="B23" s="18" t="s">
        <v>240</v>
      </c>
      <c r="C23" s="10" t="n">
        <f aca="false">0.65+0.01*$L$35</f>
        <v>1.01</v>
      </c>
      <c r="J23" s="70" t="s">
        <v>241</v>
      </c>
      <c r="L23" s="19" t="n">
        <v>0</v>
      </c>
    </row>
    <row r="24" customFormat="false" ht="15" hidden="false" customHeight="false" outlineLevel="0" collapsed="false">
      <c r="B24" s="18" t="s">
        <v>242</v>
      </c>
      <c r="C24" s="19" t="n">
        <v>0.05</v>
      </c>
      <c r="J24" s="70" t="s">
        <v>243</v>
      </c>
      <c r="L24" s="19" t="n">
        <v>3</v>
      </c>
    </row>
    <row r="25" customFormat="false" ht="15" hidden="false" customHeight="false" outlineLevel="0" collapsed="false">
      <c r="B25" s="18" t="s">
        <v>244</v>
      </c>
      <c r="C25" s="19" t="n">
        <v>0.1</v>
      </c>
      <c r="J25" s="70" t="s">
        <v>245</v>
      </c>
      <c r="L25" s="19" t="n">
        <v>4</v>
      </c>
    </row>
    <row r="26" customFormat="false" ht="15" hidden="false" customHeight="false" outlineLevel="0" collapsed="false">
      <c r="B26" s="18" t="s">
        <v>246</v>
      </c>
      <c r="C26" s="10" t="n">
        <f aca="false">C22*C23*(1+C24+C25)</f>
        <v>90.3388888888889</v>
      </c>
      <c r="D26" s="10" t="s">
        <v>238</v>
      </c>
      <c r="J26" s="70" t="s">
        <v>247</v>
      </c>
      <c r="L26" s="19" t="n">
        <v>3</v>
      </c>
    </row>
    <row r="27" customFormat="false" ht="15" hidden="false" customHeight="false" outlineLevel="0" collapsed="false">
      <c r="J27" s="70" t="s">
        <v>248</v>
      </c>
      <c r="L27" s="19" t="n">
        <v>2</v>
      </c>
    </row>
    <row r="28" customFormat="false" ht="15" hidden="false" customHeight="false" outlineLevel="0" collapsed="false">
      <c r="B28" s="18" t="s">
        <v>249</v>
      </c>
      <c r="C28" s="10" t="n">
        <f aca="false">C26*1.05</f>
        <v>94.8558333333334</v>
      </c>
      <c r="D28" s="10" t="n">
        <f aca="false">C26*0.95</f>
        <v>85.8219444444445</v>
      </c>
      <c r="J28" s="70" t="s">
        <v>250</v>
      </c>
      <c r="L28" s="19" t="n">
        <v>1</v>
      </c>
    </row>
    <row r="29" customFormat="false" ht="15" hidden="false" customHeight="false" outlineLevel="0" collapsed="false">
      <c r="B29" s="18" t="s">
        <v>251</v>
      </c>
      <c r="C29" s="19" t="n">
        <v>112</v>
      </c>
      <c r="D29" s="10" t="s">
        <v>238</v>
      </c>
      <c r="J29" s="70" t="s">
        <v>252</v>
      </c>
      <c r="L29" s="19" t="n">
        <v>3</v>
      </c>
    </row>
    <row r="30" customFormat="false" ht="15" hidden="false" customHeight="false" outlineLevel="0" collapsed="false">
      <c r="B30" s="18" t="s">
        <v>253</v>
      </c>
      <c r="C30" s="10" t="n">
        <f aca="false">C26-C29</f>
        <v>-21.6611111111111</v>
      </c>
      <c r="D30" s="10" t="s">
        <v>238</v>
      </c>
      <c r="J30" s="70" t="s">
        <v>254</v>
      </c>
      <c r="L30" s="19" t="n">
        <v>4</v>
      </c>
    </row>
    <row r="31" customFormat="false" ht="15" hidden="false" customHeight="false" outlineLevel="0" collapsed="false">
      <c r="B31" s="18" t="s">
        <v>255</v>
      </c>
      <c r="C31" s="10" t="n">
        <f aca="false">K16</f>
        <v>82</v>
      </c>
      <c r="D31" s="10" t="s">
        <v>238</v>
      </c>
      <c r="J31" s="70" t="s">
        <v>256</v>
      </c>
      <c r="L31" s="19" t="n">
        <v>4</v>
      </c>
    </row>
    <row r="32" customFormat="false" ht="15" hidden="false" customHeight="false" outlineLevel="0" collapsed="false">
      <c r="J32" s="70" t="s">
        <v>257</v>
      </c>
      <c r="L32" s="19" t="n">
        <v>4</v>
      </c>
    </row>
    <row r="33" customFormat="false" ht="15" hidden="false" customHeight="false" outlineLevel="0" collapsed="false">
      <c r="J33" s="70" t="s">
        <v>258</v>
      </c>
      <c r="L33" s="19" t="n">
        <v>4</v>
      </c>
    </row>
    <row r="34" customFormat="false" ht="15" hidden="false" customHeight="false" outlineLevel="0" collapsed="false">
      <c r="J34" s="70" t="s">
        <v>259</v>
      </c>
      <c r="L34" s="19" t="n">
        <v>4</v>
      </c>
    </row>
    <row r="35" customFormat="false" ht="15" hidden="false" customHeight="false" outlineLevel="0" collapsed="false">
      <c r="J35" s="18" t="s">
        <v>260</v>
      </c>
      <c r="L35" s="18" t="n">
        <f aca="false">SUM(L21:L34)</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322</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323</v>
      </c>
      <c r="B8" s="67" t="s">
        <v>324</v>
      </c>
      <c r="C8" s="67" t="s">
        <v>325</v>
      </c>
      <c r="D8" s="67" t="n">
        <v>1</v>
      </c>
      <c r="E8" s="67" t="n">
        <v>0</v>
      </c>
      <c r="F8" s="67" t="n">
        <v>0</v>
      </c>
      <c r="G8" s="67" t="n">
        <f aca="false">D8*$D$7+E8*$E$7+F8*$F$7</f>
        <v>1</v>
      </c>
      <c r="H8" s="67" t="s">
        <v>81</v>
      </c>
      <c r="I8" s="67" t="s">
        <v>175</v>
      </c>
      <c r="J8" s="67" t="s">
        <v>176</v>
      </c>
      <c r="K8" s="67" t="n">
        <v>8</v>
      </c>
    </row>
    <row r="9" customFormat="false" ht="60" hidden="false" customHeight="true" outlineLevel="0" collapsed="false">
      <c r="A9" s="67" t="s">
        <v>326</v>
      </c>
      <c r="B9" s="67" t="s">
        <v>327</v>
      </c>
      <c r="C9" s="67" t="s">
        <v>328</v>
      </c>
      <c r="D9" s="67" t="n">
        <v>1</v>
      </c>
      <c r="E9" s="67" t="n">
        <v>0</v>
      </c>
      <c r="F9" s="67" t="n">
        <v>0</v>
      </c>
      <c r="G9" s="67" t="n">
        <f aca="false">D9*$D$7+E9*$E$7+F9*$F$7</f>
        <v>1</v>
      </c>
      <c r="H9" s="67" t="s">
        <v>81</v>
      </c>
      <c r="I9" s="67" t="s">
        <v>175</v>
      </c>
      <c r="J9" s="67" t="s">
        <v>176</v>
      </c>
      <c r="K9" s="67" t="n">
        <v>8</v>
      </c>
    </row>
    <row r="10" customFormat="false" ht="60" hidden="false" customHeight="true" outlineLevel="0" collapsed="false">
      <c r="A10" s="67" t="s">
        <v>329</v>
      </c>
      <c r="B10" s="67" t="s">
        <v>330</v>
      </c>
      <c r="C10" s="67" t="s">
        <v>331</v>
      </c>
      <c r="D10" s="67" t="n">
        <v>1</v>
      </c>
      <c r="E10" s="67" t="n">
        <v>0</v>
      </c>
      <c r="F10" s="67" t="n">
        <v>0</v>
      </c>
      <c r="G10" s="67" t="n">
        <f aca="false">D10*$D$7+E10*$E$7+F10*$F$7</f>
        <v>1</v>
      </c>
      <c r="H10" s="67" t="s">
        <v>79</v>
      </c>
      <c r="I10" s="67" t="s">
        <v>175</v>
      </c>
      <c r="J10" s="67" t="s">
        <v>176</v>
      </c>
      <c r="K10" s="67" t="n">
        <v>6</v>
      </c>
    </row>
    <row r="11" customFormat="false" ht="60" hidden="false" customHeight="true" outlineLevel="0" collapsed="false">
      <c r="A11" s="67" t="s">
        <v>332</v>
      </c>
      <c r="B11" s="67" t="s">
        <v>333</v>
      </c>
      <c r="C11" s="67" t="s">
        <v>334</v>
      </c>
      <c r="D11" s="67" t="n">
        <v>1</v>
      </c>
      <c r="E11" s="67" t="n">
        <v>0</v>
      </c>
      <c r="F11" s="67" t="n">
        <v>0</v>
      </c>
      <c r="G11" s="67" t="n">
        <f aca="false">D11*$D$7+E11*$E$7+F11*$F$7</f>
        <v>1</v>
      </c>
      <c r="H11" s="67" t="s">
        <v>81</v>
      </c>
      <c r="I11" s="67" t="s">
        <v>175</v>
      </c>
      <c r="J11" s="67" t="s">
        <v>176</v>
      </c>
      <c r="K11" s="67" t="n">
        <v>8</v>
      </c>
    </row>
    <row r="12" customFormat="false" ht="60" hidden="false" customHeight="true" outlineLevel="0" collapsed="false">
      <c r="A12" s="67" t="s">
        <v>335</v>
      </c>
      <c r="B12" s="67" t="s">
        <v>336</v>
      </c>
      <c r="C12" s="67" t="s">
        <v>337</v>
      </c>
      <c r="D12" s="67" t="n">
        <v>1</v>
      </c>
      <c r="E12" s="67" t="n">
        <v>0</v>
      </c>
      <c r="F12" s="67" t="n">
        <v>0</v>
      </c>
      <c r="G12" s="67" t="n">
        <f aca="false">D12*$D$7+E12*$E$7+F12*$F$7</f>
        <v>1</v>
      </c>
      <c r="H12" s="67" t="s">
        <v>77</v>
      </c>
      <c r="I12" s="67" t="s">
        <v>175</v>
      </c>
      <c r="J12" s="67" t="s">
        <v>176</v>
      </c>
      <c r="K12" s="67" t="n">
        <v>4</v>
      </c>
    </row>
    <row r="13" customFormat="false" ht="35.05" hidden="false" customHeight="false" outlineLevel="0" collapsed="false">
      <c r="A13" s="15" t="s">
        <v>338</v>
      </c>
      <c r="B13" s="68"/>
      <c r="C13" s="68"/>
      <c r="D13" s="68"/>
      <c r="E13" s="68"/>
      <c r="F13" s="68"/>
      <c r="G13" s="15" t="n">
        <f aca="false">SUM(G8:G12)</f>
        <v>5</v>
      </c>
      <c r="H13" s="68"/>
      <c r="I13" s="68"/>
      <c r="J13" s="68"/>
      <c r="K13" s="15" t="n">
        <f aca="false">SUM(K8:K12)</f>
        <v>34</v>
      </c>
    </row>
    <row r="16" customFormat="false" ht="15" hidden="false" customHeight="false" outlineLevel="0" collapsed="false">
      <c r="B16" s="18" t="s">
        <v>230</v>
      </c>
      <c r="G16" s="10" t="n">
        <f aca="false">G13</f>
        <v>5</v>
      </c>
      <c r="J16" s="69" t="s">
        <v>231</v>
      </c>
    </row>
    <row r="17" customFormat="false" ht="15" hidden="false" customHeight="false" outlineLevel="0" collapsed="false">
      <c r="B17" s="18" t="s">
        <v>232</v>
      </c>
      <c r="C17" s="19" t="n">
        <v>0.18</v>
      </c>
      <c r="J17" s="18" t="s">
        <v>233</v>
      </c>
      <c r="L17" s="18" t="s">
        <v>234</v>
      </c>
    </row>
    <row r="18" customFormat="false" ht="15" hidden="false" customHeight="false" outlineLevel="0" collapsed="false">
      <c r="B18" s="18" t="s">
        <v>167</v>
      </c>
      <c r="C18" s="10" t="n">
        <f aca="false">G13</f>
        <v>5</v>
      </c>
      <c r="D18" s="10" t="s">
        <v>235</v>
      </c>
      <c r="J18" s="70" t="s">
        <v>236</v>
      </c>
      <c r="L18" s="19" t="n">
        <v>0</v>
      </c>
    </row>
    <row r="19" customFormat="false" ht="15" hidden="false" customHeight="false" outlineLevel="0" collapsed="false">
      <c r="B19" s="18" t="s">
        <v>237</v>
      </c>
      <c r="C19" s="10" t="n">
        <f aca="false">C18/C17</f>
        <v>27.7777777777778</v>
      </c>
      <c r="D19" s="10" t="s">
        <v>238</v>
      </c>
      <c r="J19" s="70" t="s">
        <v>239</v>
      </c>
      <c r="L19" s="19" t="n">
        <v>0</v>
      </c>
    </row>
    <row r="20" customFormat="false" ht="15" hidden="false" customHeight="false" outlineLevel="0" collapsed="false">
      <c r="B20" s="18" t="s">
        <v>240</v>
      </c>
      <c r="C20" s="10" t="n">
        <f aca="false">0.65+0.01*$L$32</f>
        <v>1.01</v>
      </c>
      <c r="J20" s="70" t="s">
        <v>241</v>
      </c>
      <c r="L20" s="19" t="n">
        <v>0</v>
      </c>
    </row>
    <row r="21" customFormat="false" ht="15" hidden="false" customHeight="false" outlineLevel="0" collapsed="false">
      <c r="B21" s="18" t="s">
        <v>242</v>
      </c>
      <c r="C21" s="19" t="n">
        <v>0.05</v>
      </c>
      <c r="J21" s="70" t="s">
        <v>243</v>
      </c>
      <c r="L21" s="19" t="n">
        <v>3</v>
      </c>
    </row>
    <row r="22" customFormat="false" ht="15" hidden="false" customHeight="false" outlineLevel="0" collapsed="false">
      <c r="B22" s="18" t="s">
        <v>244</v>
      </c>
      <c r="C22" s="19" t="n">
        <v>0.1</v>
      </c>
      <c r="J22" s="70" t="s">
        <v>245</v>
      </c>
      <c r="L22" s="19" t="n">
        <v>4</v>
      </c>
    </row>
    <row r="23" customFormat="false" ht="15" hidden="false" customHeight="false" outlineLevel="0" collapsed="false">
      <c r="B23" s="18" t="s">
        <v>246</v>
      </c>
      <c r="C23" s="10" t="n">
        <f aca="false">C19*C20*(1+C21+C22)</f>
        <v>32.2638888888889</v>
      </c>
      <c r="D23" s="10" t="s">
        <v>238</v>
      </c>
      <c r="J23" s="70" t="s">
        <v>247</v>
      </c>
      <c r="L23" s="19" t="n">
        <v>3</v>
      </c>
    </row>
    <row r="24" customFormat="false" ht="15" hidden="false" customHeight="false" outlineLevel="0" collapsed="false">
      <c r="J24" s="70" t="s">
        <v>248</v>
      </c>
      <c r="L24" s="19" t="n">
        <v>2</v>
      </c>
    </row>
    <row r="25" customFormat="false" ht="15" hidden="false" customHeight="false" outlineLevel="0" collapsed="false">
      <c r="B25" s="18" t="s">
        <v>249</v>
      </c>
      <c r="C25" s="10" t="n">
        <f aca="false">C23*1.05</f>
        <v>33.8770833333333</v>
      </c>
      <c r="D25" s="10" t="n">
        <f aca="false">C23*0.95</f>
        <v>30.6506944444444</v>
      </c>
      <c r="J25" s="70" t="s">
        <v>250</v>
      </c>
      <c r="L25" s="19" t="n">
        <v>1</v>
      </c>
    </row>
    <row r="26" customFormat="false" ht="15" hidden="false" customHeight="false" outlineLevel="0" collapsed="false">
      <c r="B26" s="18" t="s">
        <v>251</v>
      </c>
      <c r="C26" s="19" t="n">
        <v>0</v>
      </c>
      <c r="D26" s="10" t="s">
        <v>238</v>
      </c>
      <c r="J26" s="70" t="s">
        <v>252</v>
      </c>
      <c r="L26" s="19" t="n">
        <v>3</v>
      </c>
    </row>
    <row r="27" customFormat="false" ht="15" hidden="false" customHeight="false" outlineLevel="0" collapsed="false">
      <c r="B27" s="18" t="s">
        <v>253</v>
      </c>
      <c r="C27" s="10" t="n">
        <f aca="false">C23-C26</f>
        <v>32.2638888888889</v>
      </c>
      <c r="D27" s="10" t="s">
        <v>238</v>
      </c>
      <c r="J27" s="70" t="s">
        <v>254</v>
      </c>
      <c r="L27" s="19" t="n">
        <v>4</v>
      </c>
    </row>
    <row r="28" customFormat="false" ht="15" hidden="false" customHeight="false" outlineLevel="0" collapsed="false">
      <c r="B28" s="18" t="s">
        <v>255</v>
      </c>
      <c r="C28" s="10" t="n">
        <f aca="false">K13</f>
        <v>34</v>
      </c>
      <c r="D28" s="10" t="s">
        <v>238</v>
      </c>
      <c r="J28" s="70" t="s">
        <v>256</v>
      </c>
      <c r="L28" s="19" t="n">
        <v>4</v>
      </c>
    </row>
    <row r="29" customFormat="false" ht="15" hidden="false" customHeight="false" outlineLevel="0" collapsed="false">
      <c r="J29" s="70" t="s">
        <v>257</v>
      </c>
      <c r="L29" s="19" t="n">
        <v>4</v>
      </c>
    </row>
    <row r="30" customFormat="false" ht="15" hidden="false" customHeight="false" outlineLevel="0" collapsed="false">
      <c r="J30" s="70" t="s">
        <v>258</v>
      </c>
      <c r="L30" s="19" t="n">
        <v>4</v>
      </c>
    </row>
    <row r="31" customFormat="false" ht="15" hidden="false" customHeight="false" outlineLevel="0" collapsed="false">
      <c r="J31" s="70" t="s">
        <v>259</v>
      </c>
      <c r="L31" s="19" t="n">
        <v>4</v>
      </c>
    </row>
    <row r="32" customFormat="false" ht="15" hidden="false" customHeight="false" outlineLevel="0" collapsed="false">
      <c r="J32" s="18" t="s">
        <v>260</v>
      </c>
      <c r="L32" s="18" t="n">
        <f aca="false">SUM(L18:L31)</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339</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340</v>
      </c>
      <c r="B8" s="67" t="s">
        <v>341</v>
      </c>
      <c r="C8" s="67" t="s">
        <v>342</v>
      </c>
      <c r="D8" s="67" t="n">
        <v>0</v>
      </c>
      <c r="E8" s="67" t="n">
        <v>1</v>
      </c>
      <c r="F8" s="67" t="n">
        <v>0</v>
      </c>
      <c r="G8" s="67" t="n">
        <f aca="false">D8*$D$7+E8*$E$7+F8*$F$7</f>
        <v>3</v>
      </c>
      <c r="H8" s="67" t="s">
        <v>81</v>
      </c>
      <c r="I8" s="67" t="s">
        <v>189</v>
      </c>
      <c r="J8" s="67" t="s">
        <v>176</v>
      </c>
      <c r="K8" s="67" t="n">
        <v>16</v>
      </c>
    </row>
    <row r="9" customFormat="false" ht="60" hidden="false" customHeight="true" outlineLevel="0" collapsed="false">
      <c r="A9" s="67" t="s">
        <v>343</v>
      </c>
      <c r="B9" s="67" t="s">
        <v>344</v>
      </c>
      <c r="C9" s="67" t="s">
        <v>345</v>
      </c>
      <c r="D9" s="67" t="n">
        <v>1</v>
      </c>
      <c r="E9" s="67" t="n">
        <v>0</v>
      </c>
      <c r="F9" s="67" t="n">
        <v>0</v>
      </c>
      <c r="G9" s="67" t="n">
        <f aca="false">D9*$D$7+E9*$E$7+F9*$F$7</f>
        <v>1</v>
      </c>
      <c r="H9" s="67" t="s">
        <v>79</v>
      </c>
      <c r="I9" s="67" t="s">
        <v>175</v>
      </c>
      <c r="J9" s="67" t="s">
        <v>176</v>
      </c>
      <c r="K9" s="67" t="n">
        <v>4</v>
      </c>
    </row>
    <row r="10" customFormat="false" ht="60" hidden="false" customHeight="true" outlineLevel="0" collapsed="false">
      <c r="A10" s="67" t="s">
        <v>346</v>
      </c>
      <c r="B10" s="67" t="s">
        <v>347</v>
      </c>
      <c r="C10" s="67" t="s">
        <v>348</v>
      </c>
      <c r="D10" s="67" t="n">
        <v>1</v>
      </c>
      <c r="E10" s="67" t="n">
        <v>0</v>
      </c>
      <c r="F10" s="67" t="n">
        <v>0</v>
      </c>
      <c r="G10" s="67" t="n">
        <f aca="false">D10*$D$7+E10*$E$7+F10*$F$7</f>
        <v>1</v>
      </c>
      <c r="H10" s="67" t="s">
        <v>79</v>
      </c>
      <c r="I10" s="67" t="s">
        <v>175</v>
      </c>
      <c r="J10" s="67" t="s">
        <v>176</v>
      </c>
      <c r="K10" s="67" t="n">
        <v>4</v>
      </c>
    </row>
    <row r="11" customFormat="false" ht="60" hidden="false" customHeight="true" outlineLevel="0" collapsed="false">
      <c r="A11" s="67" t="s">
        <v>349</v>
      </c>
      <c r="B11" s="67" t="s">
        <v>350</v>
      </c>
      <c r="C11" s="67" t="s">
        <v>351</v>
      </c>
      <c r="D11" s="67" t="n">
        <v>0</v>
      </c>
      <c r="E11" s="67" t="n">
        <v>0</v>
      </c>
      <c r="F11" s="67" t="n">
        <v>1</v>
      </c>
      <c r="G11" s="67" t="n">
        <f aca="false">D11*$D$7+E11*$E$7+F11*$F$7</f>
        <v>5</v>
      </c>
      <c r="H11" s="67" t="s">
        <v>81</v>
      </c>
      <c r="I11" s="67" t="s">
        <v>189</v>
      </c>
      <c r="J11" s="67" t="s">
        <v>190</v>
      </c>
      <c r="K11" s="67" t="n">
        <v>24</v>
      </c>
    </row>
    <row r="12" customFormat="false" ht="60" hidden="false" customHeight="true" outlineLevel="0" collapsed="false">
      <c r="A12" s="67" t="s">
        <v>352</v>
      </c>
      <c r="B12" s="67" t="s">
        <v>353</v>
      </c>
      <c r="C12" s="67" t="s">
        <v>354</v>
      </c>
      <c r="D12" s="67" t="n">
        <v>1</v>
      </c>
      <c r="E12" s="67" t="n">
        <v>0</v>
      </c>
      <c r="F12" s="67" t="n">
        <v>0</v>
      </c>
      <c r="G12" s="67" t="n">
        <f aca="false">D12*$D$7+E12*$E$7+F12*$F$7</f>
        <v>1</v>
      </c>
      <c r="H12" s="67" t="s">
        <v>79</v>
      </c>
      <c r="I12" s="67" t="s">
        <v>355</v>
      </c>
      <c r="J12" s="67" t="s">
        <v>197</v>
      </c>
      <c r="K12" s="67" t="n">
        <v>8</v>
      </c>
    </row>
    <row r="13" customFormat="false" ht="23.85" hidden="false" customHeight="false" outlineLevel="0" collapsed="false">
      <c r="A13" s="15" t="s">
        <v>356</v>
      </c>
      <c r="B13" s="68"/>
      <c r="C13" s="68"/>
      <c r="D13" s="68"/>
      <c r="E13" s="68"/>
      <c r="F13" s="68"/>
      <c r="G13" s="15" t="n">
        <f aca="false">SUM(G8:G12)</f>
        <v>11</v>
      </c>
      <c r="H13" s="68"/>
      <c r="I13" s="68"/>
      <c r="J13" s="68"/>
      <c r="K13" s="15" t="n">
        <f aca="false">SUM(K8:K12)</f>
        <v>56</v>
      </c>
    </row>
    <row r="16" customFormat="false" ht="15" hidden="false" customHeight="false" outlineLevel="0" collapsed="false">
      <c r="B16" s="18" t="s">
        <v>230</v>
      </c>
      <c r="G16" s="10" t="n">
        <f aca="false">G13</f>
        <v>11</v>
      </c>
      <c r="J16" s="69" t="s">
        <v>231</v>
      </c>
    </row>
    <row r="17" customFormat="false" ht="15" hidden="false" customHeight="false" outlineLevel="0" collapsed="false">
      <c r="B17" s="18" t="s">
        <v>232</v>
      </c>
      <c r="C17" s="19" t="n">
        <v>0.18</v>
      </c>
      <c r="J17" s="18" t="s">
        <v>233</v>
      </c>
      <c r="L17" s="18" t="s">
        <v>234</v>
      </c>
    </row>
    <row r="18" customFormat="false" ht="15" hidden="false" customHeight="false" outlineLevel="0" collapsed="false">
      <c r="B18" s="18" t="s">
        <v>167</v>
      </c>
      <c r="C18" s="10" t="n">
        <f aca="false">G13</f>
        <v>11</v>
      </c>
      <c r="D18" s="10" t="s">
        <v>235</v>
      </c>
      <c r="J18" s="70" t="s">
        <v>236</v>
      </c>
      <c r="L18" s="19" t="n">
        <v>0</v>
      </c>
    </row>
    <row r="19" customFormat="false" ht="15" hidden="false" customHeight="false" outlineLevel="0" collapsed="false">
      <c r="B19" s="18" t="s">
        <v>237</v>
      </c>
      <c r="C19" s="10" t="n">
        <f aca="false">C18/C17</f>
        <v>61.1111111111111</v>
      </c>
      <c r="D19" s="10" t="s">
        <v>238</v>
      </c>
      <c r="J19" s="70" t="s">
        <v>239</v>
      </c>
      <c r="L19" s="19" t="n">
        <v>0</v>
      </c>
    </row>
    <row r="20" customFormat="false" ht="15" hidden="false" customHeight="false" outlineLevel="0" collapsed="false">
      <c r="B20" s="18" t="s">
        <v>240</v>
      </c>
      <c r="C20" s="10" t="n">
        <f aca="false">0.65+0.01*$L$32</f>
        <v>1.01</v>
      </c>
      <c r="J20" s="70" t="s">
        <v>241</v>
      </c>
      <c r="L20" s="19" t="n">
        <v>0</v>
      </c>
    </row>
    <row r="21" customFormat="false" ht="15" hidden="false" customHeight="false" outlineLevel="0" collapsed="false">
      <c r="B21" s="18" t="s">
        <v>242</v>
      </c>
      <c r="C21" s="19" t="n">
        <v>0.05</v>
      </c>
      <c r="J21" s="70" t="s">
        <v>243</v>
      </c>
      <c r="L21" s="19" t="n">
        <v>3</v>
      </c>
    </row>
    <row r="22" customFormat="false" ht="15" hidden="false" customHeight="false" outlineLevel="0" collapsed="false">
      <c r="B22" s="18" t="s">
        <v>244</v>
      </c>
      <c r="C22" s="19" t="n">
        <v>0.1</v>
      </c>
      <c r="J22" s="70" t="s">
        <v>245</v>
      </c>
      <c r="L22" s="19" t="n">
        <v>4</v>
      </c>
    </row>
    <row r="23" customFormat="false" ht="15" hidden="false" customHeight="false" outlineLevel="0" collapsed="false">
      <c r="B23" s="18" t="s">
        <v>246</v>
      </c>
      <c r="C23" s="10" t="n">
        <f aca="false">C19*C20*(1+C21+C22)</f>
        <v>70.9805555555556</v>
      </c>
      <c r="D23" s="10" t="s">
        <v>238</v>
      </c>
      <c r="J23" s="70" t="s">
        <v>247</v>
      </c>
      <c r="L23" s="19" t="n">
        <v>3</v>
      </c>
    </row>
    <row r="24" customFormat="false" ht="15" hidden="false" customHeight="false" outlineLevel="0" collapsed="false">
      <c r="J24" s="70" t="s">
        <v>248</v>
      </c>
      <c r="L24" s="19" t="n">
        <v>2</v>
      </c>
    </row>
    <row r="25" customFormat="false" ht="15" hidden="false" customHeight="false" outlineLevel="0" collapsed="false">
      <c r="B25" s="18" t="s">
        <v>249</v>
      </c>
      <c r="C25" s="10" t="n">
        <f aca="false">C23*1.05</f>
        <v>74.5295833333334</v>
      </c>
      <c r="D25" s="10" t="n">
        <f aca="false">C23*0.95</f>
        <v>67.4315277777778</v>
      </c>
      <c r="J25" s="70" t="s">
        <v>250</v>
      </c>
      <c r="L25" s="19" t="n">
        <v>1</v>
      </c>
    </row>
    <row r="26" customFormat="false" ht="15" hidden="false" customHeight="false" outlineLevel="0" collapsed="false">
      <c r="B26" s="18" t="s">
        <v>251</v>
      </c>
      <c r="C26" s="19" t="n">
        <v>108</v>
      </c>
      <c r="D26" s="10" t="s">
        <v>238</v>
      </c>
      <c r="J26" s="70" t="s">
        <v>252</v>
      </c>
      <c r="L26" s="19" t="n">
        <v>3</v>
      </c>
    </row>
    <row r="27" customFormat="false" ht="15" hidden="false" customHeight="false" outlineLevel="0" collapsed="false">
      <c r="B27" s="18" t="s">
        <v>253</v>
      </c>
      <c r="C27" s="10" t="n">
        <f aca="false">C23-C26</f>
        <v>-37.0194444444444</v>
      </c>
      <c r="D27" s="10" t="s">
        <v>238</v>
      </c>
      <c r="J27" s="70" t="s">
        <v>254</v>
      </c>
      <c r="L27" s="19" t="n">
        <v>4</v>
      </c>
    </row>
    <row r="28" customFormat="false" ht="15" hidden="false" customHeight="false" outlineLevel="0" collapsed="false">
      <c r="B28" s="18" t="s">
        <v>255</v>
      </c>
      <c r="C28" s="10" t="n">
        <f aca="false">K13</f>
        <v>56</v>
      </c>
      <c r="D28" s="10" t="s">
        <v>238</v>
      </c>
      <c r="J28" s="70" t="s">
        <v>256</v>
      </c>
      <c r="L28" s="19" t="n">
        <v>4</v>
      </c>
    </row>
    <row r="29" customFormat="false" ht="15" hidden="false" customHeight="false" outlineLevel="0" collapsed="false">
      <c r="J29" s="70" t="s">
        <v>257</v>
      </c>
      <c r="L29" s="19" t="n">
        <v>4</v>
      </c>
    </row>
    <row r="30" customFormat="false" ht="15" hidden="false" customHeight="false" outlineLevel="0" collapsed="false">
      <c r="J30" s="70" t="s">
        <v>258</v>
      </c>
      <c r="L30" s="19" t="n">
        <v>4</v>
      </c>
    </row>
    <row r="31" customFormat="false" ht="15" hidden="false" customHeight="false" outlineLevel="0" collapsed="false">
      <c r="J31" s="70" t="s">
        <v>259</v>
      </c>
      <c r="L31" s="19" t="n">
        <v>4</v>
      </c>
    </row>
    <row r="32" customFormat="false" ht="15" hidden="false" customHeight="false" outlineLevel="0" collapsed="false">
      <c r="J32" s="18" t="s">
        <v>260</v>
      </c>
      <c r="L32" s="18" t="n">
        <f aca="false">SUM(L18:L31)</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357</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358</v>
      </c>
      <c r="B8" s="67" t="s">
        <v>359</v>
      </c>
      <c r="C8" s="67" t="s">
        <v>360</v>
      </c>
      <c r="D8" s="67" t="n">
        <v>0</v>
      </c>
      <c r="E8" s="67" t="n">
        <v>0</v>
      </c>
      <c r="F8" s="67" t="n">
        <v>1</v>
      </c>
      <c r="G8" s="67" t="n">
        <f aca="false">D8*$D$7+E8*$E$7+F8*$F$7</f>
        <v>5</v>
      </c>
      <c r="H8" s="67" t="s">
        <v>81</v>
      </c>
      <c r="I8" s="67" t="s">
        <v>189</v>
      </c>
      <c r="J8" s="67" t="s">
        <v>197</v>
      </c>
      <c r="K8" s="67" t="n">
        <v>24</v>
      </c>
    </row>
    <row r="9" customFormat="false" ht="60" hidden="false" customHeight="true" outlineLevel="0" collapsed="false">
      <c r="A9" s="67" t="s">
        <v>361</v>
      </c>
      <c r="B9" s="67" t="s">
        <v>362</v>
      </c>
      <c r="C9" s="67" t="s">
        <v>363</v>
      </c>
      <c r="D9" s="67" t="n">
        <v>0</v>
      </c>
      <c r="E9" s="67" t="n">
        <v>0</v>
      </c>
      <c r="F9" s="67" t="n">
        <v>1</v>
      </c>
      <c r="G9" s="67" t="n">
        <f aca="false">D9*$D$7+E9*$E$7+F9*$F$7</f>
        <v>5</v>
      </c>
      <c r="H9" s="67" t="s">
        <v>81</v>
      </c>
      <c r="I9" s="67" t="s">
        <v>189</v>
      </c>
      <c r="J9" s="67" t="s">
        <v>197</v>
      </c>
      <c r="K9" s="67" t="n">
        <v>20</v>
      </c>
    </row>
    <row r="10" customFormat="false" ht="60" hidden="false" customHeight="true" outlineLevel="0" collapsed="false">
      <c r="A10" s="67" t="s">
        <v>364</v>
      </c>
      <c r="B10" s="67" t="s">
        <v>365</v>
      </c>
      <c r="C10" s="67" t="s">
        <v>366</v>
      </c>
      <c r="D10" s="67" t="n">
        <v>1</v>
      </c>
      <c r="E10" s="67" t="n">
        <v>0</v>
      </c>
      <c r="F10" s="67" t="n">
        <v>0</v>
      </c>
      <c r="G10" s="67" t="n">
        <f aca="false">D10*$D$7+E10*$E$7+F10*$F$7</f>
        <v>1</v>
      </c>
      <c r="H10" s="67" t="s">
        <v>79</v>
      </c>
      <c r="I10" s="67" t="s">
        <v>175</v>
      </c>
      <c r="J10" s="67" t="s">
        <v>176</v>
      </c>
      <c r="K10" s="67" t="n">
        <v>8</v>
      </c>
    </row>
    <row r="11" customFormat="false" ht="35.05" hidden="false" customHeight="false" outlineLevel="0" collapsed="false">
      <c r="A11" s="15" t="s">
        <v>367</v>
      </c>
      <c r="B11" s="68"/>
      <c r="C11" s="68"/>
      <c r="D11" s="68"/>
      <c r="E11" s="68"/>
      <c r="F11" s="68"/>
      <c r="G11" s="15" t="n">
        <f aca="false">SUM(G8:G10)</f>
        <v>11</v>
      </c>
      <c r="H11" s="68"/>
      <c r="I11" s="68"/>
      <c r="J11" s="68"/>
      <c r="K11" s="15" t="n">
        <f aca="false">SUM(K8:K10)</f>
        <v>52</v>
      </c>
    </row>
    <row r="14" customFormat="false" ht="15" hidden="false" customHeight="false" outlineLevel="0" collapsed="false">
      <c r="B14" s="18" t="s">
        <v>230</v>
      </c>
      <c r="G14" s="10" t="n">
        <f aca="false">G11</f>
        <v>11</v>
      </c>
      <c r="J14" s="69" t="s">
        <v>231</v>
      </c>
    </row>
    <row r="15" customFormat="false" ht="15" hidden="false" customHeight="false" outlineLevel="0" collapsed="false">
      <c r="B15" s="18" t="s">
        <v>232</v>
      </c>
      <c r="C15" s="19" t="n">
        <v>0.18</v>
      </c>
      <c r="J15" s="18" t="s">
        <v>233</v>
      </c>
      <c r="L15" s="18" t="s">
        <v>234</v>
      </c>
    </row>
    <row r="16" customFormat="false" ht="15" hidden="false" customHeight="false" outlineLevel="0" collapsed="false">
      <c r="B16" s="18" t="s">
        <v>167</v>
      </c>
      <c r="C16" s="10" t="n">
        <f aca="false">G11</f>
        <v>11</v>
      </c>
      <c r="D16" s="10" t="s">
        <v>235</v>
      </c>
      <c r="J16" s="70" t="s">
        <v>236</v>
      </c>
      <c r="L16" s="19" t="n">
        <v>0</v>
      </c>
    </row>
    <row r="17" customFormat="false" ht="15" hidden="false" customHeight="false" outlineLevel="0" collapsed="false">
      <c r="B17" s="18" t="s">
        <v>237</v>
      </c>
      <c r="C17" s="10" t="n">
        <f aca="false">C16/C15</f>
        <v>61.1111111111111</v>
      </c>
      <c r="D17" s="10" t="s">
        <v>238</v>
      </c>
      <c r="J17" s="70" t="s">
        <v>239</v>
      </c>
      <c r="L17" s="19" t="n">
        <v>0</v>
      </c>
    </row>
    <row r="18" customFormat="false" ht="15" hidden="false" customHeight="false" outlineLevel="0" collapsed="false">
      <c r="B18" s="18" t="s">
        <v>240</v>
      </c>
      <c r="C18" s="10" t="n">
        <f aca="false">0.65+0.01*$L$30</f>
        <v>1.01</v>
      </c>
      <c r="J18" s="70" t="s">
        <v>241</v>
      </c>
      <c r="L18" s="19" t="n">
        <v>0</v>
      </c>
    </row>
    <row r="19" customFormat="false" ht="15" hidden="false" customHeight="false" outlineLevel="0" collapsed="false">
      <c r="B19" s="18" t="s">
        <v>242</v>
      </c>
      <c r="C19" s="19" t="n">
        <v>0.05</v>
      </c>
      <c r="J19" s="70" t="s">
        <v>243</v>
      </c>
      <c r="L19" s="19" t="n">
        <v>3</v>
      </c>
    </row>
    <row r="20" customFormat="false" ht="15" hidden="false" customHeight="false" outlineLevel="0" collapsed="false">
      <c r="B20" s="18" t="s">
        <v>244</v>
      </c>
      <c r="C20" s="19" t="n">
        <v>0.1</v>
      </c>
      <c r="J20" s="70" t="s">
        <v>245</v>
      </c>
      <c r="L20" s="19" t="n">
        <v>4</v>
      </c>
    </row>
    <row r="21" customFormat="false" ht="15" hidden="false" customHeight="false" outlineLevel="0" collapsed="false">
      <c r="B21" s="18" t="s">
        <v>246</v>
      </c>
      <c r="C21" s="10" t="n">
        <f aca="false">C17*C18*(1+C19+C20)</f>
        <v>70.9805555555556</v>
      </c>
      <c r="D21" s="10" t="s">
        <v>238</v>
      </c>
      <c r="J21" s="70" t="s">
        <v>247</v>
      </c>
      <c r="L21" s="19" t="n">
        <v>3</v>
      </c>
    </row>
    <row r="22" customFormat="false" ht="15" hidden="false" customHeight="false" outlineLevel="0" collapsed="false">
      <c r="J22" s="70" t="s">
        <v>248</v>
      </c>
      <c r="L22" s="19" t="n">
        <v>2</v>
      </c>
    </row>
    <row r="23" customFormat="false" ht="15" hidden="false" customHeight="false" outlineLevel="0" collapsed="false">
      <c r="B23" s="18" t="s">
        <v>249</v>
      </c>
      <c r="C23" s="10" t="n">
        <f aca="false">C21*1.05</f>
        <v>74.5295833333334</v>
      </c>
      <c r="D23" s="10" t="n">
        <f aca="false">C21*0.95</f>
        <v>67.4315277777778</v>
      </c>
      <c r="J23" s="70" t="s">
        <v>250</v>
      </c>
      <c r="L23" s="19" t="n">
        <v>1</v>
      </c>
    </row>
    <row r="24" customFormat="false" ht="15" hidden="false" customHeight="false" outlineLevel="0" collapsed="false">
      <c r="B24" s="18" t="s">
        <v>251</v>
      </c>
      <c r="C24" s="19" t="n">
        <v>0</v>
      </c>
      <c r="D24" s="10" t="s">
        <v>238</v>
      </c>
      <c r="J24" s="70" t="s">
        <v>252</v>
      </c>
      <c r="L24" s="19" t="n">
        <v>3</v>
      </c>
    </row>
    <row r="25" customFormat="false" ht="15" hidden="false" customHeight="false" outlineLevel="0" collapsed="false">
      <c r="B25" s="18" t="s">
        <v>253</v>
      </c>
      <c r="C25" s="10" t="n">
        <f aca="false">C21-C24</f>
        <v>70.9805555555556</v>
      </c>
      <c r="D25" s="10" t="s">
        <v>238</v>
      </c>
      <c r="J25" s="70" t="s">
        <v>254</v>
      </c>
      <c r="L25" s="19" t="n">
        <v>4</v>
      </c>
    </row>
    <row r="26" customFormat="false" ht="15" hidden="false" customHeight="false" outlineLevel="0" collapsed="false">
      <c r="B26" s="18" t="s">
        <v>255</v>
      </c>
      <c r="C26" s="10" t="n">
        <f aca="false">K11</f>
        <v>52</v>
      </c>
      <c r="D26" s="10" t="s">
        <v>238</v>
      </c>
      <c r="J26" s="70" t="s">
        <v>256</v>
      </c>
      <c r="L26" s="19" t="n">
        <v>4</v>
      </c>
    </row>
    <row r="27" customFormat="false" ht="15" hidden="false" customHeight="false" outlineLevel="0" collapsed="false">
      <c r="J27" s="70" t="s">
        <v>257</v>
      </c>
      <c r="L27" s="19" t="n">
        <v>4</v>
      </c>
    </row>
    <row r="28" customFormat="false" ht="15" hidden="false" customHeight="false" outlineLevel="0" collapsed="false">
      <c r="J28" s="70" t="s">
        <v>258</v>
      </c>
      <c r="L28" s="19" t="n">
        <v>4</v>
      </c>
    </row>
    <row r="29" customFormat="false" ht="15" hidden="false" customHeight="false" outlineLevel="0" collapsed="false">
      <c r="J29" s="70" t="s">
        <v>259</v>
      </c>
      <c r="L29" s="19" t="n">
        <v>4</v>
      </c>
    </row>
    <row r="30" customFormat="false" ht="15" hidden="false" customHeight="false" outlineLevel="0" collapsed="false">
      <c r="J30" s="18" t="s">
        <v>260</v>
      </c>
      <c r="L30" s="18" t="n">
        <f aca="false">SUM(L16:L29)</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368</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369</v>
      </c>
      <c r="B8" s="67" t="s">
        <v>370</v>
      </c>
      <c r="C8" s="67" t="s">
        <v>371</v>
      </c>
      <c r="D8" s="67" t="n">
        <v>0</v>
      </c>
      <c r="E8" s="67" t="n">
        <v>0</v>
      </c>
      <c r="F8" s="67" t="n">
        <v>1</v>
      </c>
      <c r="G8" s="67" t="n">
        <f aca="false">D8*$D$7+E8*$E$7+F8*$F$7</f>
        <v>5</v>
      </c>
      <c r="H8" s="67" t="s">
        <v>81</v>
      </c>
      <c r="I8" s="67" t="s">
        <v>189</v>
      </c>
      <c r="J8" s="67" t="s">
        <v>190</v>
      </c>
      <c r="K8" s="67" t="n">
        <v>30</v>
      </c>
    </row>
    <row r="9" customFormat="false" ht="60" hidden="false" customHeight="true" outlineLevel="0" collapsed="false">
      <c r="A9" s="67" t="s">
        <v>372</v>
      </c>
      <c r="B9" s="67" t="s">
        <v>373</v>
      </c>
      <c r="C9" s="67" t="s">
        <v>374</v>
      </c>
      <c r="D9" s="67" t="n">
        <v>0</v>
      </c>
      <c r="E9" s="67" t="n">
        <v>0</v>
      </c>
      <c r="F9" s="67" t="n">
        <v>1</v>
      </c>
      <c r="G9" s="67" t="n">
        <f aca="false">D9*$D$7+E9*$E$7+F9*$F$7</f>
        <v>5</v>
      </c>
      <c r="H9" s="67" t="s">
        <v>81</v>
      </c>
      <c r="I9" s="67" t="s">
        <v>189</v>
      </c>
      <c r="J9" s="67" t="s">
        <v>190</v>
      </c>
      <c r="K9" s="67" t="n">
        <v>20</v>
      </c>
    </row>
    <row r="10" customFormat="false" ht="60" hidden="false" customHeight="true" outlineLevel="0" collapsed="false">
      <c r="A10" s="67" t="s">
        <v>375</v>
      </c>
      <c r="B10" s="67" t="s">
        <v>376</v>
      </c>
      <c r="C10" s="67" t="s">
        <v>377</v>
      </c>
      <c r="D10" s="67" t="n">
        <v>0</v>
      </c>
      <c r="E10" s="67" t="n">
        <v>1</v>
      </c>
      <c r="F10" s="67" t="n">
        <v>0</v>
      </c>
      <c r="G10" s="67" t="n">
        <f aca="false">D10*$D$7+E10*$E$7+F10*$F$7</f>
        <v>3</v>
      </c>
      <c r="H10" s="67" t="s">
        <v>79</v>
      </c>
      <c r="I10" s="67" t="s">
        <v>189</v>
      </c>
      <c r="J10" s="67" t="s">
        <v>197</v>
      </c>
      <c r="K10" s="67" t="n">
        <v>16</v>
      </c>
    </row>
    <row r="11" customFormat="false" ht="60" hidden="false" customHeight="true" outlineLevel="0" collapsed="false">
      <c r="A11" s="67" t="s">
        <v>378</v>
      </c>
      <c r="B11" s="67" t="s">
        <v>379</v>
      </c>
      <c r="C11" s="67" t="s">
        <v>380</v>
      </c>
      <c r="D11" s="67" t="n">
        <v>0</v>
      </c>
      <c r="E11" s="67" t="n">
        <v>1</v>
      </c>
      <c r="F11" s="67" t="n">
        <v>0</v>
      </c>
      <c r="G11" s="67" t="n">
        <f aca="false">D11*$D$7+E11*$E$7+F11*$F$7</f>
        <v>3</v>
      </c>
      <c r="H11" s="67" t="s">
        <v>79</v>
      </c>
      <c r="I11" s="67" t="s">
        <v>189</v>
      </c>
      <c r="J11" s="67" t="s">
        <v>197</v>
      </c>
      <c r="K11" s="67" t="n">
        <v>16</v>
      </c>
    </row>
    <row r="12" customFormat="false" ht="35.05" hidden="false" customHeight="false" outlineLevel="0" collapsed="false">
      <c r="A12" s="15" t="s">
        <v>381</v>
      </c>
      <c r="B12" s="68"/>
      <c r="C12" s="68"/>
      <c r="D12" s="68"/>
      <c r="E12" s="68"/>
      <c r="F12" s="68"/>
      <c r="G12" s="15" t="n">
        <f aca="false">SUM(G8:G11)</f>
        <v>16</v>
      </c>
      <c r="H12" s="68"/>
      <c r="I12" s="68"/>
      <c r="J12" s="68"/>
      <c r="K12" s="15" t="n">
        <f aca="false">SUM(K8:K11)</f>
        <v>82</v>
      </c>
    </row>
    <row r="15" customFormat="false" ht="15" hidden="false" customHeight="false" outlineLevel="0" collapsed="false">
      <c r="B15" s="18" t="s">
        <v>230</v>
      </c>
      <c r="G15" s="10" t="n">
        <f aca="false">G12</f>
        <v>16</v>
      </c>
      <c r="J15" s="69" t="s">
        <v>231</v>
      </c>
    </row>
    <row r="16" customFormat="false" ht="15" hidden="false" customHeight="false" outlineLevel="0" collapsed="false">
      <c r="B16" s="18" t="s">
        <v>232</v>
      </c>
      <c r="C16" s="19" t="n">
        <v>0.18</v>
      </c>
      <c r="J16" s="18" t="s">
        <v>233</v>
      </c>
      <c r="L16" s="18" t="s">
        <v>234</v>
      </c>
    </row>
    <row r="17" customFormat="false" ht="15" hidden="false" customHeight="false" outlineLevel="0" collapsed="false">
      <c r="B17" s="18" t="s">
        <v>167</v>
      </c>
      <c r="C17" s="10" t="n">
        <f aca="false">G12</f>
        <v>16</v>
      </c>
      <c r="D17" s="10" t="s">
        <v>235</v>
      </c>
      <c r="J17" s="70" t="s">
        <v>236</v>
      </c>
      <c r="L17" s="19" t="n">
        <v>0</v>
      </c>
    </row>
    <row r="18" customFormat="false" ht="15" hidden="false" customHeight="false" outlineLevel="0" collapsed="false">
      <c r="B18" s="18" t="s">
        <v>237</v>
      </c>
      <c r="C18" s="10" t="n">
        <f aca="false">C17/C16</f>
        <v>88.8888888888889</v>
      </c>
      <c r="D18" s="10" t="s">
        <v>238</v>
      </c>
      <c r="J18" s="70" t="s">
        <v>239</v>
      </c>
      <c r="L18" s="19" t="n">
        <v>0</v>
      </c>
    </row>
    <row r="19" customFormat="false" ht="15" hidden="false" customHeight="false" outlineLevel="0" collapsed="false">
      <c r="B19" s="18" t="s">
        <v>240</v>
      </c>
      <c r="C19" s="10" t="n">
        <f aca="false">0.65+0.01*$L$31</f>
        <v>1.01</v>
      </c>
      <c r="J19" s="70" t="s">
        <v>241</v>
      </c>
      <c r="L19" s="19" t="n">
        <v>0</v>
      </c>
    </row>
    <row r="20" customFormat="false" ht="15" hidden="false" customHeight="false" outlineLevel="0" collapsed="false">
      <c r="B20" s="18" t="s">
        <v>242</v>
      </c>
      <c r="C20" s="19" t="n">
        <v>0.05</v>
      </c>
      <c r="J20" s="70" t="s">
        <v>243</v>
      </c>
      <c r="L20" s="19" t="n">
        <v>3</v>
      </c>
    </row>
    <row r="21" customFormat="false" ht="15" hidden="false" customHeight="false" outlineLevel="0" collapsed="false">
      <c r="B21" s="18" t="s">
        <v>244</v>
      </c>
      <c r="C21" s="19" t="n">
        <v>0.1</v>
      </c>
      <c r="J21" s="70" t="s">
        <v>245</v>
      </c>
      <c r="L21" s="19" t="n">
        <v>4</v>
      </c>
    </row>
    <row r="22" customFormat="false" ht="15" hidden="false" customHeight="false" outlineLevel="0" collapsed="false">
      <c r="B22" s="18" t="s">
        <v>246</v>
      </c>
      <c r="C22" s="10" t="n">
        <f aca="false">C18*C19*(1+C20+C21)</f>
        <v>103.244444444444</v>
      </c>
      <c r="D22" s="10" t="s">
        <v>238</v>
      </c>
      <c r="J22" s="70" t="s">
        <v>247</v>
      </c>
      <c r="L22" s="19" t="n">
        <v>3</v>
      </c>
    </row>
    <row r="23" customFormat="false" ht="15" hidden="false" customHeight="false" outlineLevel="0" collapsed="false">
      <c r="J23" s="70" t="s">
        <v>248</v>
      </c>
      <c r="L23" s="19" t="n">
        <v>2</v>
      </c>
    </row>
    <row r="24" customFormat="false" ht="15" hidden="false" customHeight="false" outlineLevel="0" collapsed="false">
      <c r="B24" s="18" t="s">
        <v>249</v>
      </c>
      <c r="C24" s="10" t="n">
        <f aca="false">C22*1.05</f>
        <v>108.406666666667</v>
      </c>
      <c r="D24" s="10" t="n">
        <f aca="false">C22*0.95</f>
        <v>98.0822222222222</v>
      </c>
      <c r="J24" s="70" t="s">
        <v>250</v>
      </c>
      <c r="L24" s="19" t="n">
        <v>1</v>
      </c>
    </row>
    <row r="25" customFormat="false" ht="15" hidden="false" customHeight="false" outlineLevel="0" collapsed="false">
      <c r="B25" s="18" t="s">
        <v>251</v>
      </c>
      <c r="C25" s="19" t="n">
        <v>0</v>
      </c>
      <c r="D25" s="10" t="s">
        <v>238</v>
      </c>
      <c r="J25" s="70" t="s">
        <v>252</v>
      </c>
      <c r="L25" s="19" t="n">
        <v>3</v>
      </c>
    </row>
    <row r="26" customFormat="false" ht="15" hidden="false" customHeight="false" outlineLevel="0" collapsed="false">
      <c r="B26" s="18" t="s">
        <v>253</v>
      </c>
      <c r="C26" s="10" t="n">
        <f aca="false">C22-C25</f>
        <v>103.244444444444</v>
      </c>
      <c r="D26" s="10" t="s">
        <v>238</v>
      </c>
      <c r="J26" s="70" t="s">
        <v>254</v>
      </c>
      <c r="L26" s="19" t="n">
        <v>4</v>
      </c>
    </row>
    <row r="27" customFormat="false" ht="15" hidden="false" customHeight="false" outlineLevel="0" collapsed="false">
      <c r="B27" s="18" t="s">
        <v>255</v>
      </c>
      <c r="C27" s="10" t="n">
        <f aca="false">K12</f>
        <v>82</v>
      </c>
      <c r="D27" s="10" t="s">
        <v>238</v>
      </c>
      <c r="J27" s="70" t="s">
        <v>256</v>
      </c>
      <c r="L27" s="19" t="n">
        <v>4</v>
      </c>
    </row>
    <row r="28" customFormat="false" ht="15" hidden="false" customHeight="false" outlineLevel="0" collapsed="false">
      <c r="J28" s="70" t="s">
        <v>257</v>
      </c>
      <c r="L28" s="19" t="n">
        <v>4</v>
      </c>
    </row>
    <row r="29" customFormat="false" ht="15" hidden="false" customHeight="false" outlineLevel="0" collapsed="false">
      <c r="J29" s="70" t="s">
        <v>258</v>
      </c>
      <c r="L29" s="19" t="n">
        <v>4</v>
      </c>
    </row>
    <row r="30" customFormat="false" ht="15" hidden="false" customHeight="false" outlineLevel="0" collapsed="false">
      <c r="J30" s="70" t="s">
        <v>259</v>
      </c>
      <c r="L30" s="19" t="n">
        <v>4</v>
      </c>
    </row>
    <row r="31" customFormat="false" ht="15" hidden="false" customHeight="false" outlineLevel="0" collapsed="false">
      <c r="J31" s="18" t="s">
        <v>260</v>
      </c>
      <c r="L31" s="18" t="n">
        <f aca="false">SUM(L17:L30)</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382</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383</v>
      </c>
      <c r="B8" s="67" t="s">
        <v>384</v>
      </c>
      <c r="C8" s="67" t="s">
        <v>385</v>
      </c>
      <c r="D8" s="67" t="n">
        <v>1</v>
      </c>
      <c r="E8" s="67" t="n">
        <v>0</v>
      </c>
      <c r="F8" s="67" t="n">
        <v>0</v>
      </c>
      <c r="G8" s="67" t="n">
        <f aca="false">D8*$D$7+E8*$E$7+F8*$F$7</f>
        <v>1</v>
      </c>
      <c r="H8" s="67" t="s">
        <v>81</v>
      </c>
      <c r="I8" s="67" t="s">
        <v>175</v>
      </c>
      <c r="J8" s="67" t="s">
        <v>176</v>
      </c>
      <c r="K8" s="67" t="n">
        <v>8</v>
      </c>
    </row>
    <row r="9" customFormat="false" ht="60" hidden="false" customHeight="true" outlineLevel="0" collapsed="false">
      <c r="A9" s="67" t="s">
        <v>386</v>
      </c>
      <c r="B9" s="67" t="s">
        <v>387</v>
      </c>
      <c r="C9" s="67" t="s">
        <v>388</v>
      </c>
      <c r="D9" s="67" t="n">
        <v>1</v>
      </c>
      <c r="E9" s="67" t="n">
        <v>0</v>
      </c>
      <c r="F9" s="67" t="n">
        <v>0</v>
      </c>
      <c r="G9" s="67" t="n">
        <f aca="false">D9*$D$7+E9*$E$7+F9*$F$7</f>
        <v>1</v>
      </c>
      <c r="H9" s="67" t="s">
        <v>79</v>
      </c>
      <c r="I9" s="67" t="s">
        <v>175</v>
      </c>
      <c r="J9" s="67" t="s">
        <v>176</v>
      </c>
      <c r="K9" s="67" t="n">
        <v>6</v>
      </c>
    </row>
    <row r="10" customFormat="false" ht="60" hidden="false" customHeight="true" outlineLevel="0" collapsed="false">
      <c r="A10" s="67" t="s">
        <v>389</v>
      </c>
      <c r="B10" s="67" t="s">
        <v>390</v>
      </c>
      <c r="C10" s="67" t="s">
        <v>391</v>
      </c>
      <c r="D10" s="67" t="n">
        <v>1</v>
      </c>
      <c r="E10" s="67" t="n">
        <v>0</v>
      </c>
      <c r="F10" s="67" t="n">
        <v>0</v>
      </c>
      <c r="G10" s="67" t="n">
        <f aca="false">D10*$D$7+E10*$E$7+F10*$F$7</f>
        <v>1</v>
      </c>
      <c r="H10" s="67" t="s">
        <v>79</v>
      </c>
      <c r="I10" s="67" t="s">
        <v>175</v>
      </c>
      <c r="J10" s="67" t="s">
        <v>176</v>
      </c>
      <c r="K10" s="67" t="n">
        <v>4</v>
      </c>
    </row>
    <row r="11" customFormat="false" ht="35.05" hidden="false" customHeight="false" outlineLevel="0" collapsed="false">
      <c r="A11" s="15" t="s">
        <v>392</v>
      </c>
      <c r="B11" s="68"/>
      <c r="C11" s="68"/>
      <c r="D11" s="68"/>
      <c r="E11" s="68"/>
      <c r="F11" s="68"/>
      <c r="G11" s="15" t="n">
        <f aca="false">SUM(G8:G10)</f>
        <v>3</v>
      </c>
      <c r="H11" s="68"/>
      <c r="I11" s="68"/>
      <c r="J11" s="68"/>
      <c r="K11" s="15" t="n">
        <f aca="false">SUM(K8:K10)</f>
        <v>18</v>
      </c>
    </row>
    <row r="14" customFormat="false" ht="15" hidden="false" customHeight="false" outlineLevel="0" collapsed="false">
      <c r="B14" s="18" t="s">
        <v>230</v>
      </c>
      <c r="G14" s="10" t="n">
        <f aca="false">G11</f>
        <v>3</v>
      </c>
      <c r="J14" s="69" t="s">
        <v>231</v>
      </c>
    </row>
    <row r="15" customFormat="false" ht="15" hidden="false" customHeight="false" outlineLevel="0" collapsed="false">
      <c r="B15" s="18" t="s">
        <v>232</v>
      </c>
      <c r="C15" s="19" t="n">
        <v>0.18</v>
      </c>
      <c r="J15" s="18" t="s">
        <v>233</v>
      </c>
      <c r="L15" s="18" t="s">
        <v>234</v>
      </c>
    </row>
    <row r="16" customFormat="false" ht="15" hidden="false" customHeight="false" outlineLevel="0" collapsed="false">
      <c r="B16" s="18" t="s">
        <v>167</v>
      </c>
      <c r="C16" s="10" t="n">
        <f aca="false">G11</f>
        <v>3</v>
      </c>
      <c r="D16" s="10" t="s">
        <v>235</v>
      </c>
      <c r="J16" s="70" t="s">
        <v>236</v>
      </c>
      <c r="L16" s="19" t="n">
        <v>0</v>
      </c>
    </row>
    <row r="17" customFormat="false" ht="15" hidden="false" customHeight="false" outlineLevel="0" collapsed="false">
      <c r="B17" s="18" t="s">
        <v>237</v>
      </c>
      <c r="C17" s="10" t="n">
        <f aca="false">C16/C15</f>
        <v>16.6666666666667</v>
      </c>
      <c r="D17" s="10" t="s">
        <v>238</v>
      </c>
      <c r="J17" s="70" t="s">
        <v>239</v>
      </c>
      <c r="L17" s="19" t="n">
        <v>0</v>
      </c>
    </row>
    <row r="18" customFormat="false" ht="15" hidden="false" customHeight="false" outlineLevel="0" collapsed="false">
      <c r="B18" s="18" t="s">
        <v>240</v>
      </c>
      <c r="C18" s="10" t="n">
        <f aca="false">0.65+0.01*$L$30</f>
        <v>1.01</v>
      </c>
      <c r="J18" s="70" t="s">
        <v>241</v>
      </c>
      <c r="L18" s="19" t="n">
        <v>0</v>
      </c>
    </row>
    <row r="19" customFormat="false" ht="15" hidden="false" customHeight="false" outlineLevel="0" collapsed="false">
      <c r="B19" s="18" t="s">
        <v>242</v>
      </c>
      <c r="C19" s="19" t="n">
        <v>0.05</v>
      </c>
      <c r="J19" s="70" t="s">
        <v>243</v>
      </c>
      <c r="L19" s="19" t="n">
        <v>3</v>
      </c>
    </row>
    <row r="20" customFormat="false" ht="15" hidden="false" customHeight="false" outlineLevel="0" collapsed="false">
      <c r="B20" s="18" t="s">
        <v>244</v>
      </c>
      <c r="C20" s="19" t="n">
        <v>0.1</v>
      </c>
      <c r="J20" s="70" t="s">
        <v>245</v>
      </c>
      <c r="L20" s="19" t="n">
        <v>4</v>
      </c>
    </row>
    <row r="21" customFormat="false" ht="15" hidden="false" customHeight="false" outlineLevel="0" collapsed="false">
      <c r="B21" s="18" t="s">
        <v>246</v>
      </c>
      <c r="C21" s="10" t="n">
        <f aca="false">C17*C18*(1+C19+C20)</f>
        <v>19.3583333333333</v>
      </c>
      <c r="D21" s="10" t="s">
        <v>238</v>
      </c>
      <c r="J21" s="70" t="s">
        <v>247</v>
      </c>
      <c r="L21" s="19" t="n">
        <v>3</v>
      </c>
    </row>
    <row r="22" customFormat="false" ht="15" hidden="false" customHeight="false" outlineLevel="0" collapsed="false">
      <c r="J22" s="70" t="s">
        <v>248</v>
      </c>
      <c r="L22" s="19" t="n">
        <v>2</v>
      </c>
    </row>
    <row r="23" customFormat="false" ht="15" hidden="false" customHeight="false" outlineLevel="0" collapsed="false">
      <c r="B23" s="18" t="s">
        <v>249</v>
      </c>
      <c r="C23" s="10" t="n">
        <f aca="false">C21*1.05</f>
        <v>20.32625</v>
      </c>
      <c r="D23" s="10" t="n">
        <f aca="false">C21*0.95</f>
        <v>18.3904166666667</v>
      </c>
      <c r="J23" s="70" t="s">
        <v>250</v>
      </c>
      <c r="L23" s="19" t="n">
        <v>1</v>
      </c>
    </row>
    <row r="24" customFormat="false" ht="15" hidden="false" customHeight="false" outlineLevel="0" collapsed="false">
      <c r="B24" s="18" t="s">
        <v>251</v>
      </c>
      <c r="C24" s="19" t="n">
        <v>70</v>
      </c>
      <c r="D24" s="10" t="s">
        <v>238</v>
      </c>
      <c r="J24" s="70" t="s">
        <v>252</v>
      </c>
      <c r="L24" s="19" t="n">
        <v>3</v>
      </c>
    </row>
    <row r="25" customFormat="false" ht="15" hidden="false" customHeight="false" outlineLevel="0" collapsed="false">
      <c r="B25" s="18" t="s">
        <v>253</v>
      </c>
      <c r="C25" s="10" t="n">
        <f aca="false">C21-C24</f>
        <v>-50.6416666666667</v>
      </c>
      <c r="D25" s="10" t="s">
        <v>238</v>
      </c>
      <c r="J25" s="70" t="s">
        <v>254</v>
      </c>
      <c r="L25" s="19" t="n">
        <v>4</v>
      </c>
    </row>
    <row r="26" customFormat="false" ht="15" hidden="false" customHeight="false" outlineLevel="0" collapsed="false">
      <c r="B26" s="18" t="s">
        <v>255</v>
      </c>
      <c r="C26" s="10" t="n">
        <f aca="false">K11</f>
        <v>18</v>
      </c>
      <c r="D26" s="10" t="s">
        <v>238</v>
      </c>
      <c r="J26" s="70" t="s">
        <v>256</v>
      </c>
      <c r="L26" s="19" t="n">
        <v>4</v>
      </c>
    </row>
    <row r="27" customFormat="false" ht="15" hidden="false" customHeight="false" outlineLevel="0" collapsed="false">
      <c r="J27" s="70" t="s">
        <v>257</v>
      </c>
      <c r="L27" s="19" t="n">
        <v>4</v>
      </c>
    </row>
    <row r="28" customFormat="false" ht="15" hidden="false" customHeight="false" outlineLevel="0" collapsed="false">
      <c r="J28" s="70" t="s">
        <v>258</v>
      </c>
      <c r="L28" s="19" t="n">
        <v>4</v>
      </c>
    </row>
    <row r="29" customFormat="false" ht="15" hidden="false" customHeight="false" outlineLevel="0" collapsed="false">
      <c r="J29" s="70" t="s">
        <v>259</v>
      </c>
      <c r="L29" s="19" t="n">
        <v>4</v>
      </c>
    </row>
    <row r="30" customFormat="false" ht="15" hidden="false" customHeight="false" outlineLevel="0" collapsed="false">
      <c r="J30" s="18" t="s">
        <v>260</v>
      </c>
      <c r="L30" s="18" t="n">
        <f aca="false">SUM(L16:L29)</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393</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394</v>
      </c>
      <c r="B8" s="67" t="s">
        <v>395</v>
      </c>
      <c r="C8" s="67" t="s">
        <v>396</v>
      </c>
      <c r="D8" s="67" t="n">
        <v>1</v>
      </c>
      <c r="E8" s="67" t="n">
        <v>0</v>
      </c>
      <c r="F8" s="67" t="n">
        <v>0</v>
      </c>
      <c r="G8" s="67" t="n">
        <f aca="false">D8*$D$7+E8*$E$7+F8*$F$7</f>
        <v>1</v>
      </c>
      <c r="H8" s="67" t="s">
        <v>81</v>
      </c>
      <c r="I8" s="67" t="s">
        <v>175</v>
      </c>
      <c r="J8" s="67" t="s">
        <v>176</v>
      </c>
      <c r="K8" s="67" t="n">
        <v>6</v>
      </c>
    </row>
    <row r="9" customFormat="false" ht="60" hidden="false" customHeight="true" outlineLevel="0" collapsed="false">
      <c r="A9" s="67" t="s">
        <v>397</v>
      </c>
      <c r="B9" s="67" t="s">
        <v>398</v>
      </c>
      <c r="C9" s="67" t="s">
        <v>399</v>
      </c>
      <c r="D9" s="67" t="n">
        <v>1</v>
      </c>
      <c r="E9" s="67" t="n">
        <v>0</v>
      </c>
      <c r="F9" s="67" t="n">
        <v>0</v>
      </c>
      <c r="G9" s="67" t="n">
        <f aca="false">D9*$D$7+E9*$E$7+F9*$F$7</f>
        <v>1</v>
      </c>
      <c r="H9" s="67" t="s">
        <v>81</v>
      </c>
      <c r="I9" s="67" t="s">
        <v>175</v>
      </c>
      <c r="J9" s="67" t="s">
        <v>176</v>
      </c>
      <c r="K9" s="67" t="n">
        <v>6</v>
      </c>
    </row>
    <row r="10" customFormat="false" ht="60" hidden="false" customHeight="true" outlineLevel="0" collapsed="false">
      <c r="A10" s="67" t="s">
        <v>400</v>
      </c>
      <c r="B10" s="67" t="s">
        <v>401</v>
      </c>
      <c r="C10" s="67" t="s">
        <v>402</v>
      </c>
      <c r="D10" s="67" t="n">
        <v>1</v>
      </c>
      <c r="E10" s="67" t="n">
        <v>0</v>
      </c>
      <c r="F10" s="67" t="n">
        <v>0</v>
      </c>
      <c r="G10" s="67" t="n">
        <f aca="false">D10*$D$7+E10*$E$7+F10*$F$7</f>
        <v>1</v>
      </c>
      <c r="H10" s="67" t="s">
        <v>77</v>
      </c>
      <c r="I10" s="67" t="s">
        <v>175</v>
      </c>
      <c r="J10" s="67" t="s">
        <v>176</v>
      </c>
      <c r="K10" s="67" t="n">
        <v>4</v>
      </c>
    </row>
    <row r="11" customFormat="false" ht="60" hidden="false" customHeight="true" outlineLevel="0" collapsed="false">
      <c r="A11" s="67" t="s">
        <v>403</v>
      </c>
      <c r="B11" s="67" t="s">
        <v>404</v>
      </c>
      <c r="C11" s="67" t="s">
        <v>405</v>
      </c>
      <c r="D11" s="67" t="n">
        <v>0</v>
      </c>
      <c r="E11" s="67" t="n">
        <v>1</v>
      </c>
      <c r="F11" s="67" t="n">
        <v>0</v>
      </c>
      <c r="G11" s="67" t="n">
        <f aca="false">D11*$D$7+E11*$E$7+F11*$F$7</f>
        <v>3</v>
      </c>
      <c r="H11" s="67" t="s">
        <v>81</v>
      </c>
      <c r="I11" s="67" t="s">
        <v>175</v>
      </c>
      <c r="J11" s="67" t="s">
        <v>197</v>
      </c>
      <c r="K11" s="67" t="n">
        <v>16</v>
      </c>
    </row>
    <row r="12" customFormat="false" ht="60" hidden="false" customHeight="true" outlineLevel="0" collapsed="false">
      <c r="A12" s="67" t="s">
        <v>406</v>
      </c>
      <c r="B12" s="67" t="s">
        <v>407</v>
      </c>
      <c r="C12" s="67" t="s">
        <v>408</v>
      </c>
      <c r="D12" s="67" t="n">
        <v>1</v>
      </c>
      <c r="E12" s="67" t="n">
        <v>0</v>
      </c>
      <c r="F12" s="67" t="n">
        <v>0</v>
      </c>
      <c r="G12" s="67" t="n">
        <f aca="false">D12*$D$7+E12*$E$7+F12*$F$7</f>
        <v>1</v>
      </c>
      <c r="H12" s="67" t="s">
        <v>79</v>
      </c>
      <c r="I12" s="67" t="s">
        <v>175</v>
      </c>
      <c r="J12" s="67" t="s">
        <v>197</v>
      </c>
      <c r="K12" s="67" t="n">
        <v>6</v>
      </c>
    </row>
    <row r="13" customFormat="false" ht="35.05" hidden="false" customHeight="false" outlineLevel="0" collapsed="false">
      <c r="A13" s="15" t="s">
        <v>409</v>
      </c>
      <c r="B13" s="68"/>
      <c r="C13" s="68"/>
      <c r="D13" s="68"/>
      <c r="E13" s="68"/>
      <c r="F13" s="68"/>
      <c r="G13" s="15" t="n">
        <f aca="false">SUM(G8:G12)</f>
        <v>7</v>
      </c>
      <c r="H13" s="68"/>
      <c r="I13" s="68"/>
      <c r="J13" s="68"/>
      <c r="K13" s="15" t="n">
        <f aca="false">SUM(K8:K12)</f>
        <v>38</v>
      </c>
    </row>
    <row r="16" customFormat="false" ht="15" hidden="false" customHeight="false" outlineLevel="0" collapsed="false">
      <c r="B16" s="18" t="s">
        <v>230</v>
      </c>
      <c r="G16" s="10" t="n">
        <f aca="false">G13</f>
        <v>7</v>
      </c>
      <c r="J16" s="69" t="s">
        <v>231</v>
      </c>
    </row>
    <row r="17" customFormat="false" ht="15" hidden="false" customHeight="false" outlineLevel="0" collapsed="false">
      <c r="B17" s="18" t="s">
        <v>232</v>
      </c>
      <c r="C17" s="19" t="n">
        <v>0.18</v>
      </c>
      <c r="J17" s="18" t="s">
        <v>233</v>
      </c>
      <c r="L17" s="18" t="s">
        <v>234</v>
      </c>
    </row>
    <row r="18" customFormat="false" ht="15" hidden="false" customHeight="false" outlineLevel="0" collapsed="false">
      <c r="B18" s="18" t="s">
        <v>167</v>
      </c>
      <c r="C18" s="10" t="n">
        <f aca="false">G13</f>
        <v>7</v>
      </c>
      <c r="D18" s="10" t="s">
        <v>235</v>
      </c>
      <c r="J18" s="70" t="s">
        <v>236</v>
      </c>
      <c r="L18" s="19" t="n">
        <v>0</v>
      </c>
    </row>
    <row r="19" customFormat="false" ht="15" hidden="false" customHeight="false" outlineLevel="0" collapsed="false">
      <c r="B19" s="18" t="s">
        <v>237</v>
      </c>
      <c r="C19" s="10" t="n">
        <f aca="false">C18/C17</f>
        <v>38.8888888888889</v>
      </c>
      <c r="D19" s="10" t="s">
        <v>238</v>
      </c>
      <c r="J19" s="70" t="s">
        <v>239</v>
      </c>
      <c r="L19" s="19" t="n">
        <v>0</v>
      </c>
    </row>
    <row r="20" customFormat="false" ht="15" hidden="false" customHeight="false" outlineLevel="0" collapsed="false">
      <c r="B20" s="18" t="s">
        <v>240</v>
      </c>
      <c r="C20" s="10" t="n">
        <f aca="false">0.65+0.01*$L$32</f>
        <v>1.01</v>
      </c>
      <c r="J20" s="70" t="s">
        <v>241</v>
      </c>
      <c r="L20" s="19" t="n">
        <v>0</v>
      </c>
    </row>
    <row r="21" customFormat="false" ht="15" hidden="false" customHeight="false" outlineLevel="0" collapsed="false">
      <c r="B21" s="18" t="s">
        <v>242</v>
      </c>
      <c r="C21" s="19" t="n">
        <v>0.05</v>
      </c>
      <c r="J21" s="70" t="s">
        <v>243</v>
      </c>
      <c r="L21" s="19" t="n">
        <v>3</v>
      </c>
    </row>
    <row r="22" customFormat="false" ht="15" hidden="false" customHeight="false" outlineLevel="0" collapsed="false">
      <c r="B22" s="18" t="s">
        <v>244</v>
      </c>
      <c r="C22" s="19" t="n">
        <v>0.1</v>
      </c>
      <c r="J22" s="70" t="s">
        <v>245</v>
      </c>
      <c r="L22" s="19" t="n">
        <v>4</v>
      </c>
    </row>
    <row r="23" customFormat="false" ht="15" hidden="false" customHeight="false" outlineLevel="0" collapsed="false">
      <c r="B23" s="18" t="s">
        <v>246</v>
      </c>
      <c r="C23" s="10" t="n">
        <f aca="false">C19*C20*(1+C21+C22)</f>
        <v>45.1694444444445</v>
      </c>
      <c r="D23" s="10" t="s">
        <v>238</v>
      </c>
      <c r="J23" s="70" t="s">
        <v>247</v>
      </c>
      <c r="L23" s="19" t="n">
        <v>3</v>
      </c>
    </row>
    <row r="24" customFormat="false" ht="15" hidden="false" customHeight="false" outlineLevel="0" collapsed="false">
      <c r="J24" s="70" t="s">
        <v>248</v>
      </c>
      <c r="L24" s="19" t="n">
        <v>2</v>
      </c>
    </row>
    <row r="25" customFormat="false" ht="15" hidden="false" customHeight="false" outlineLevel="0" collapsed="false">
      <c r="B25" s="18" t="s">
        <v>249</v>
      </c>
      <c r="C25" s="10" t="n">
        <f aca="false">C23*1.05</f>
        <v>47.4279166666667</v>
      </c>
      <c r="D25" s="10" t="n">
        <f aca="false">C23*0.95</f>
        <v>42.9109722222222</v>
      </c>
      <c r="J25" s="70" t="s">
        <v>250</v>
      </c>
      <c r="L25" s="19" t="n">
        <v>1</v>
      </c>
    </row>
    <row r="26" customFormat="false" ht="15" hidden="false" customHeight="false" outlineLevel="0" collapsed="false">
      <c r="B26" s="18" t="s">
        <v>251</v>
      </c>
      <c r="C26" s="19" t="n">
        <v>345</v>
      </c>
      <c r="D26" s="10" t="s">
        <v>238</v>
      </c>
      <c r="J26" s="70" t="s">
        <v>252</v>
      </c>
      <c r="L26" s="19" t="n">
        <v>3</v>
      </c>
    </row>
    <row r="27" customFormat="false" ht="15" hidden="false" customHeight="false" outlineLevel="0" collapsed="false">
      <c r="B27" s="18" t="s">
        <v>253</v>
      </c>
      <c r="C27" s="10" t="n">
        <f aca="false">C23-C26</f>
        <v>-299.830555555556</v>
      </c>
      <c r="D27" s="10" t="s">
        <v>238</v>
      </c>
      <c r="J27" s="70" t="s">
        <v>254</v>
      </c>
      <c r="L27" s="19" t="n">
        <v>4</v>
      </c>
    </row>
    <row r="28" customFormat="false" ht="15" hidden="false" customHeight="false" outlineLevel="0" collapsed="false">
      <c r="B28" s="18" t="s">
        <v>255</v>
      </c>
      <c r="C28" s="10" t="n">
        <f aca="false">K13</f>
        <v>38</v>
      </c>
      <c r="D28" s="10" t="s">
        <v>238</v>
      </c>
      <c r="J28" s="70" t="s">
        <v>256</v>
      </c>
      <c r="L28" s="19" t="n">
        <v>4</v>
      </c>
    </row>
    <row r="29" customFormat="false" ht="15" hidden="false" customHeight="false" outlineLevel="0" collapsed="false">
      <c r="J29" s="70" t="s">
        <v>257</v>
      </c>
      <c r="L29" s="19" t="n">
        <v>4</v>
      </c>
    </row>
    <row r="30" customFormat="false" ht="15" hidden="false" customHeight="false" outlineLevel="0" collapsed="false">
      <c r="J30" s="70" t="s">
        <v>258</v>
      </c>
      <c r="L30" s="19" t="n">
        <v>4</v>
      </c>
    </row>
    <row r="31" customFormat="false" ht="15" hidden="false" customHeight="false" outlineLevel="0" collapsed="false">
      <c r="J31" s="70" t="s">
        <v>259</v>
      </c>
      <c r="L31" s="19" t="n">
        <v>4</v>
      </c>
    </row>
    <row r="32" customFormat="false" ht="15" hidden="false" customHeight="false" outlineLevel="0" collapsed="false">
      <c r="J32" s="18" t="s">
        <v>260</v>
      </c>
      <c r="L32" s="18" t="n">
        <f aca="false">SUM(L18:L31)</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410</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411</v>
      </c>
      <c r="B8" s="67" t="s">
        <v>412</v>
      </c>
      <c r="C8" s="67" t="s">
        <v>413</v>
      </c>
      <c r="D8" s="67" t="n">
        <v>1</v>
      </c>
      <c r="E8" s="67" t="n">
        <v>0</v>
      </c>
      <c r="F8" s="67" t="n">
        <v>0</v>
      </c>
      <c r="G8" s="67" t="n">
        <f aca="false">D8*$D$7+E8*$E$7+F8*$F$7</f>
        <v>1</v>
      </c>
      <c r="H8" s="67" t="s">
        <v>81</v>
      </c>
      <c r="I8" s="67" t="s">
        <v>175</v>
      </c>
      <c r="J8" s="67" t="s">
        <v>176</v>
      </c>
      <c r="K8" s="67" t="n">
        <v>8</v>
      </c>
    </row>
    <row r="9" customFormat="false" ht="60" hidden="false" customHeight="true" outlineLevel="0" collapsed="false">
      <c r="A9" s="67" t="s">
        <v>414</v>
      </c>
      <c r="B9" s="67" t="s">
        <v>415</v>
      </c>
      <c r="C9" s="67" t="s">
        <v>416</v>
      </c>
      <c r="D9" s="67" t="n">
        <v>1</v>
      </c>
      <c r="E9" s="67" t="n">
        <v>0</v>
      </c>
      <c r="F9" s="67" t="n">
        <v>0</v>
      </c>
      <c r="G9" s="67" t="n">
        <f aca="false">D9*$D$7+E9*$E$7+F9*$F$7</f>
        <v>1</v>
      </c>
      <c r="H9" s="67" t="s">
        <v>81</v>
      </c>
      <c r="I9" s="67" t="s">
        <v>175</v>
      </c>
      <c r="J9" s="67" t="s">
        <v>176</v>
      </c>
      <c r="K9" s="67" t="n">
        <v>4</v>
      </c>
    </row>
    <row r="10" customFormat="false" ht="60" hidden="false" customHeight="true" outlineLevel="0" collapsed="false">
      <c r="A10" s="67" t="s">
        <v>417</v>
      </c>
      <c r="B10" s="67" t="s">
        <v>418</v>
      </c>
      <c r="C10" s="67" t="s">
        <v>419</v>
      </c>
      <c r="D10" s="67" t="n">
        <v>1</v>
      </c>
      <c r="E10" s="67" t="n">
        <v>0</v>
      </c>
      <c r="F10" s="67" t="n">
        <v>0</v>
      </c>
      <c r="G10" s="67" t="n">
        <f aca="false">D10*$D$7+E10*$E$7+F10*$F$7</f>
        <v>1</v>
      </c>
      <c r="H10" s="67" t="s">
        <v>79</v>
      </c>
      <c r="I10" s="67" t="s">
        <v>175</v>
      </c>
      <c r="J10" s="67" t="s">
        <v>176</v>
      </c>
      <c r="K10" s="67" t="n">
        <v>4</v>
      </c>
    </row>
    <row r="11" customFormat="false" ht="60" hidden="false" customHeight="true" outlineLevel="0" collapsed="false">
      <c r="A11" s="67" t="s">
        <v>420</v>
      </c>
      <c r="B11" s="67" t="s">
        <v>421</v>
      </c>
      <c r="C11" s="67" t="s">
        <v>422</v>
      </c>
      <c r="D11" s="67" t="n">
        <v>1</v>
      </c>
      <c r="E11" s="67" t="n">
        <v>0</v>
      </c>
      <c r="F11" s="67" t="n">
        <v>0</v>
      </c>
      <c r="G11" s="67" t="n">
        <f aca="false">D11*$D$7+E11*$E$7+F11*$F$7</f>
        <v>1</v>
      </c>
      <c r="H11" s="67" t="s">
        <v>79</v>
      </c>
      <c r="I11" s="67" t="s">
        <v>175</v>
      </c>
      <c r="J11" s="67" t="s">
        <v>176</v>
      </c>
      <c r="K11" s="67" t="n">
        <v>4</v>
      </c>
    </row>
    <row r="12" customFormat="false" ht="35.05" hidden="false" customHeight="false" outlineLevel="0" collapsed="false">
      <c r="A12" s="15" t="s">
        <v>423</v>
      </c>
      <c r="B12" s="68"/>
      <c r="C12" s="68"/>
      <c r="D12" s="68"/>
      <c r="E12" s="68"/>
      <c r="F12" s="68"/>
      <c r="G12" s="15" t="n">
        <f aca="false">SUM(G8:G11)</f>
        <v>4</v>
      </c>
      <c r="H12" s="68"/>
      <c r="I12" s="68"/>
      <c r="J12" s="68"/>
      <c r="K12" s="15" t="n">
        <f aca="false">SUM(K8:K11)</f>
        <v>20</v>
      </c>
    </row>
    <row r="15" customFormat="false" ht="15" hidden="false" customHeight="false" outlineLevel="0" collapsed="false">
      <c r="B15" s="18" t="s">
        <v>230</v>
      </c>
      <c r="G15" s="10" t="n">
        <f aca="false">G12</f>
        <v>4</v>
      </c>
      <c r="J15" s="69" t="s">
        <v>231</v>
      </c>
    </row>
    <row r="16" customFormat="false" ht="15" hidden="false" customHeight="false" outlineLevel="0" collapsed="false">
      <c r="B16" s="18" t="s">
        <v>232</v>
      </c>
      <c r="C16" s="19" t="n">
        <v>0.18</v>
      </c>
      <c r="J16" s="18" t="s">
        <v>233</v>
      </c>
      <c r="L16" s="18" t="s">
        <v>234</v>
      </c>
    </row>
    <row r="17" customFormat="false" ht="15" hidden="false" customHeight="false" outlineLevel="0" collapsed="false">
      <c r="B17" s="18" t="s">
        <v>167</v>
      </c>
      <c r="C17" s="10" t="n">
        <f aca="false">G12</f>
        <v>4</v>
      </c>
      <c r="D17" s="10" t="s">
        <v>235</v>
      </c>
      <c r="J17" s="70" t="s">
        <v>236</v>
      </c>
      <c r="L17" s="19" t="n">
        <v>0</v>
      </c>
    </row>
    <row r="18" customFormat="false" ht="15" hidden="false" customHeight="false" outlineLevel="0" collapsed="false">
      <c r="B18" s="18" t="s">
        <v>237</v>
      </c>
      <c r="C18" s="10" t="n">
        <f aca="false">C17/C16</f>
        <v>22.2222222222222</v>
      </c>
      <c r="D18" s="10" t="s">
        <v>238</v>
      </c>
      <c r="J18" s="70" t="s">
        <v>239</v>
      </c>
      <c r="L18" s="19" t="n">
        <v>0</v>
      </c>
    </row>
    <row r="19" customFormat="false" ht="15" hidden="false" customHeight="false" outlineLevel="0" collapsed="false">
      <c r="B19" s="18" t="s">
        <v>240</v>
      </c>
      <c r="C19" s="10" t="n">
        <f aca="false">0.65+0.01*$L$31</f>
        <v>1.01</v>
      </c>
      <c r="J19" s="70" t="s">
        <v>241</v>
      </c>
      <c r="L19" s="19" t="n">
        <v>0</v>
      </c>
    </row>
    <row r="20" customFormat="false" ht="15" hidden="false" customHeight="false" outlineLevel="0" collapsed="false">
      <c r="B20" s="18" t="s">
        <v>242</v>
      </c>
      <c r="C20" s="19" t="n">
        <v>0.05</v>
      </c>
      <c r="J20" s="70" t="s">
        <v>243</v>
      </c>
      <c r="L20" s="19" t="n">
        <v>3</v>
      </c>
    </row>
    <row r="21" customFormat="false" ht="15" hidden="false" customHeight="false" outlineLevel="0" collapsed="false">
      <c r="B21" s="18" t="s">
        <v>244</v>
      </c>
      <c r="C21" s="19" t="n">
        <v>0.1</v>
      </c>
      <c r="J21" s="70" t="s">
        <v>245</v>
      </c>
      <c r="L21" s="19" t="n">
        <v>4</v>
      </c>
    </row>
    <row r="22" customFormat="false" ht="15" hidden="false" customHeight="false" outlineLevel="0" collapsed="false">
      <c r="B22" s="18" t="s">
        <v>246</v>
      </c>
      <c r="C22" s="10" t="n">
        <f aca="false">C18*C19*(1+C20+C21)</f>
        <v>25.8111111111111</v>
      </c>
      <c r="D22" s="10" t="s">
        <v>238</v>
      </c>
      <c r="J22" s="70" t="s">
        <v>247</v>
      </c>
      <c r="L22" s="19" t="n">
        <v>3</v>
      </c>
    </row>
    <row r="23" customFormat="false" ht="15" hidden="false" customHeight="false" outlineLevel="0" collapsed="false">
      <c r="J23" s="70" t="s">
        <v>248</v>
      </c>
      <c r="L23" s="19" t="n">
        <v>2</v>
      </c>
    </row>
    <row r="24" customFormat="false" ht="15" hidden="false" customHeight="false" outlineLevel="0" collapsed="false">
      <c r="B24" s="18" t="s">
        <v>249</v>
      </c>
      <c r="C24" s="10" t="n">
        <f aca="false">C22*1.05</f>
        <v>27.1016666666667</v>
      </c>
      <c r="D24" s="10" t="n">
        <f aca="false">C22*0.95</f>
        <v>24.5205555555556</v>
      </c>
      <c r="J24" s="70" t="s">
        <v>250</v>
      </c>
      <c r="L24" s="19" t="n">
        <v>1</v>
      </c>
    </row>
    <row r="25" customFormat="false" ht="15" hidden="false" customHeight="false" outlineLevel="0" collapsed="false">
      <c r="B25" s="18" t="s">
        <v>251</v>
      </c>
      <c r="C25" s="19" t="n">
        <v>105</v>
      </c>
      <c r="D25" s="10" t="s">
        <v>238</v>
      </c>
      <c r="J25" s="70" t="s">
        <v>252</v>
      </c>
      <c r="L25" s="19" t="n">
        <v>3</v>
      </c>
    </row>
    <row r="26" customFormat="false" ht="15" hidden="false" customHeight="false" outlineLevel="0" collapsed="false">
      <c r="B26" s="18" t="s">
        <v>253</v>
      </c>
      <c r="C26" s="10" t="n">
        <f aca="false">C22-C25</f>
        <v>-79.1888888888889</v>
      </c>
      <c r="D26" s="10" t="s">
        <v>238</v>
      </c>
      <c r="J26" s="70" t="s">
        <v>254</v>
      </c>
      <c r="L26" s="19" t="n">
        <v>4</v>
      </c>
    </row>
    <row r="27" customFormat="false" ht="15" hidden="false" customHeight="false" outlineLevel="0" collapsed="false">
      <c r="B27" s="18" t="s">
        <v>255</v>
      </c>
      <c r="C27" s="10" t="n">
        <f aca="false">K12</f>
        <v>20</v>
      </c>
      <c r="D27" s="10" t="s">
        <v>238</v>
      </c>
      <c r="J27" s="70" t="s">
        <v>256</v>
      </c>
      <c r="L27" s="19" t="n">
        <v>4</v>
      </c>
    </row>
    <row r="28" customFormat="false" ht="15" hidden="false" customHeight="false" outlineLevel="0" collapsed="false">
      <c r="J28" s="70" t="s">
        <v>257</v>
      </c>
      <c r="L28" s="19" t="n">
        <v>4</v>
      </c>
    </row>
    <row r="29" customFormat="false" ht="15" hidden="false" customHeight="false" outlineLevel="0" collapsed="false">
      <c r="J29" s="70" t="s">
        <v>258</v>
      </c>
      <c r="L29" s="19" t="n">
        <v>4</v>
      </c>
    </row>
    <row r="30" customFormat="false" ht="15" hidden="false" customHeight="false" outlineLevel="0" collapsed="false">
      <c r="J30" s="70" t="s">
        <v>259</v>
      </c>
      <c r="L30" s="19" t="n">
        <v>4</v>
      </c>
    </row>
    <row r="31" customFormat="false" ht="15" hidden="false" customHeight="false" outlineLevel="0" collapsed="false">
      <c r="J31" s="18" t="s">
        <v>260</v>
      </c>
      <c r="L31" s="18" t="n">
        <f aca="false">SUM(L17:L30)</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424</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425</v>
      </c>
      <c r="B8" s="67" t="s">
        <v>426</v>
      </c>
      <c r="C8" s="67" t="s">
        <v>427</v>
      </c>
      <c r="D8" s="67" t="n">
        <v>1</v>
      </c>
      <c r="E8" s="67" t="n">
        <v>0</v>
      </c>
      <c r="F8" s="67" t="n">
        <v>0</v>
      </c>
      <c r="G8" s="67" t="n">
        <f aca="false">D8*$D$7+E8*$E$7+F8*$F$7</f>
        <v>1</v>
      </c>
      <c r="H8" s="67" t="s">
        <v>81</v>
      </c>
      <c r="I8" s="67" t="s">
        <v>175</v>
      </c>
      <c r="J8" s="67" t="s">
        <v>176</v>
      </c>
      <c r="K8" s="67" t="n">
        <v>8</v>
      </c>
    </row>
    <row r="9" customFormat="false" ht="60" hidden="false" customHeight="true" outlineLevel="0" collapsed="false">
      <c r="A9" s="67" t="s">
        <v>428</v>
      </c>
      <c r="B9" s="67" t="s">
        <v>429</v>
      </c>
      <c r="C9" s="67" t="s">
        <v>430</v>
      </c>
      <c r="D9" s="67" t="n">
        <v>1</v>
      </c>
      <c r="E9" s="67" t="n">
        <v>0</v>
      </c>
      <c r="F9" s="67" t="n">
        <v>0</v>
      </c>
      <c r="G9" s="67" t="n">
        <f aca="false">D9*$D$7+E9*$E$7+F9*$F$7</f>
        <v>1</v>
      </c>
      <c r="H9" s="67" t="s">
        <v>79</v>
      </c>
      <c r="I9" s="67" t="s">
        <v>175</v>
      </c>
      <c r="J9" s="67" t="s">
        <v>176</v>
      </c>
      <c r="K9" s="67" t="n">
        <v>4</v>
      </c>
    </row>
    <row r="10" customFormat="false" ht="35.05" hidden="false" customHeight="false" outlineLevel="0" collapsed="false">
      <c r="A10" s="15" t="s">
        <v>431</v>
      </c>
      <c r="B10" s="68"/>
      <c r="C10" s="68"/>
      <c r="D10" s="68"/>
      <c r="E10" s="68"/>
      <c r="F10" s="68"/>
      <c r="G10" s="15" t="n">
        <f aca="false">SUM(G8:G9)</f>
        <v>2</v>
      </c>
      <c r="H10" s="68"/>
      <c r="I10" s="68"/>
      <c r="J10" s="68"/>
      <c r="K10" s="15" t="n">
        <f aca="false">SUM(K8:K9)</f>
        <v>12</v>
      </c>
    </row>
    <row r="13" customFormat="false" ht="15" hidden="false" customHeight="false" outlineLevel="0" collapsed="false">
      <c r="B13" s="18" t="s">
        <v>230</v>
      </c>
      <c r="G13" s="10" t="n">
        <f aca="false">G10</f>
        <v>2</v>
      </c>
      <c r="J13" s="69" t="s">
        <v>231</v>
      </c>
    </row>
    <row r="14" customFormat="false" ht="15" hidden="false" customHeight="false" outlineLevel="0" collapsed="false">
      <c r="B14" s="18" t="s">
        <v>232</v>
      </c>
      <c r="C14" s="19" t="n">
        <v>0.18</v>
      </c>
      <c r="J14" s="18" t="s">
        <v>233</v>
      </c>
      <c r="L14" s="18" t="s">
        <v>234</v>
      </c>
    </row>
    <row r="15" customFormat="false" ht="15" hidden="false" customHeight="false" outlineLevel="0" collapsed="false">
      <c r="B15" s="18" t="s">
        <v>167</v>
      </c>
      <c r="C15" s="10" t="n">
        <f aca="false">G10</f>
        <v>2</v>
      </c>
      <c r="D15" s="10" t="s">
        <v>235</v>
      </c>
      <c r="J15" s="70" t="s">
        <v>236</v>
      </c>
      <c r="L15" s="19" t="n">
        <v>0</v>
      </c>
    </row>
    <row r="16" customFormat="false" ht="15" hidden="false" customHeight="false" outlineLevel="0" collapsed="false">
      <c r="B16" s="18" t="s">
        <v>237</v>
      </c>
      <c r="C16" s="10" t="n">
        <f aca="false">C15/C14</f>
        <v>11.1111111111111</v>
      </c>
      <c r="D16" s="10" t="s">
        <v>238</v>
      </c>
      <c r="J16" s="70" t="s">
        <v>239</v>
      </c>
      <c r="L16" s="19" t="n">
        <v>0</v>
      </c>
    </row>
    <row r="17" customFormat="false" ht="15" hidden="false" customHeight="false" outlineLevel="0" collapsed="false">
      <c r="B17" s="18" t="s">
        <v>240</v>
      </c>
      <c r="C17" s="10" t="n">
        <f aca="false">0.65+0.01*$L$29</f>
        <v>1.01</v>
      </c>
      <c r="J17" s="70" t="s">
        <v>241</v>
      </c>
      <c r="L17" s="19" t="n">
        <v>0</v>
      </c>
    </row>
    <row r="18" customFormat="false" ht="15" hidden="false" customHeight="false" outlineLevel="0" collapsed="false">
      <c r="B18" s="18" t="s">
        <v>242</v>
      </c>
      <c r="C18" s="19" t="n">
        <v>0.05</v>
      </c>
      <c r="J18" s="70" t="s">
        <v>243</v>
      </c>
      <c r="L18" s="19" t="n">
        <v>3</v>
      </c>
    </row>
    <row r="19" customFormat="false" ht="15" hidden="false" customHeight="false" outlineLevel="0" collapsed="false">
      <c r="B19" s="18" t="s">
        <v>244</v>
      </c>
      <c r="C19" s="19" t="n">
        <v>0.1</v>
      </c>
      <c r="J19" s="70" t="s">
        <v>245</v>
      </c>
      <c r="L19" s="19" t="n">
        <v>4</v>
      </c>
    </row>
    <row r="20" customFormat="false" ht="15" hidden="false" customHeight="false" outlineLevel="0" collapsed="false">
      <c r="B20" s="18" t="s">
        <v>246</v>
      </c>
      <c r="C20" s="10" t="n">
        <f aca="false">C16*C17*(1+C18+C19)</f>
        <v>12.9055555555556</v>
      </c>
      <c r="D20" s="10" t="s">
        <v>238</v>
      </c>
      <c r="J20" s="70" t="s">
        <v>247</v>
      </c>
      <c r="L20" s="19" t="n">
        <v>3</v>
      </c>
    </row>
    <row r="21" customFormat="false" ht="15" hidden="false" customHeight="false" outlineLevel="0" collapsed="false">
      <c r="J21" s="70" t="s">
        <v>248</v>
      </c>
      <c r="L21" s="19" t="n">
        <v>2</v>
      </c>
    </row>
    <row r="22" customFormat="false" ht="15" hidden="false" customHeight="false" outlineLevel="0" collapsed="false">
      <c r="B22" s="18" t="s">
        <v>249</v>
      </c>
      <c r="C22" s="10" t="n">
        <f aca="false">C20*1.05</f>
        <v>13.5508333333333</v>
      </c>
      <c r="D22" s="10" t="n">
        <f aca="false">C20*0.95</f>
        <v>12.2602777777778</v>
      </c>
      <c r="J22" s="70" t="s">
        <v>250</v>
      </c>
      <c r="L22" s="19" t="n">
        <v>1</v>
      </c>
    </row>
    <row r="23" customFormat="false" ht="15" hidden="false" customHeight="false" outlineLevel="0" collapsed="false">
      <c r="B23" s="18" t="s">
        <v>251</v>
      </c>
      <c r="C23" s="19" t="n">
        <v>0</v>
      </c>
      <c r="D23" s="10" t="s">
        <v>238</v>
      </c>
      <c r="J23" s="70" t="s">
        <v>252</v>
      </c>
      <c r="L23" s="19" t="n">
        <v>3</v>
      </c>
    </row>
    <row r="24" customFormat="false" ht="15" hidden="false" customHeight="false" outlineLevel="0" collapsed="false">
      <c r="B24" s="18" t="s">
        <v>253</v>
      </c>
      <c r="C24" s="10" t="n">
        <f aca="false">C20-C23</f>
        <v>12.9055555555556</v>
      </c>
      <c r="D24" s="10" t="s">
        <v>238</v>
      </c>
      <c r="J24" s="70" t="s">
        <v>254</v>
      </c>
      <c r="L24" s="19" t="n">
        <v>4</v>
      </c>
    </row>
    <row r="25" customFormat="false" ht="15" hidden="false" customHeight="false" outlineLevel="0" collapsed="false">
      <c r="B25" s="18" t="s">
        <v>255</v>
      </c>
      <c r="C25" s="10" t="n">
        <f aca="false">K10</f>
        <v>12</v>
      </c>
      <c r="D25" s="10" t="s">
        <v>238</v>
      </c>
      <c r="J25" s="70" t="s">
        <v>256</v>
      </c>
      <c r="L25" s="19" t="n">
        <v>4</v>
      </c>
    </row>
    <row r="26" customFormat="false" ht="15" hidden="false" customHeight="false" outlineLevel="0" collapsed="false">
      <c r="J26" s="70" t="s">
        <v>257</v>
      </c>
      <c r="L26" s="19" t="n">
        <v>4</v>
      </c>
    </row>
    <row r="27" customFormat="false" ht="15" hidden="false" customHeight="false" outlineLevel="0" collapsed="false">
      <c r="J27" s="70" t="s">
        <v>258</v>
      </c>
      <c r="L27" s="19" t="n">
        <v>4</v>
      </c>
    </row>
    <row r="28" customFormat="false" ht="15" hidden="false" customHeight="false" outlineLevel="0" collapsed="false">
      <c r="J28" s="70" t="s">
        <v>259</v>
      </c>
      <c r="L28" s="19" t="n">
        <v>4</v>
      </c>
    </row>
    <row r="29" customFormat="false" ht="15" hidden="false" customHeight="false" outlineLevel="0" collapsed="false">
      <c r="J29" s="18" t="s">
        <v>260</v>
      </c>
      <c r="L29" s="18" t="n">
        <f aca="false">SUM(L15:L28)</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432</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433</v>
      </c>
      <c r="B8" s="67" t="s">
        <v>434</v>
      </c>
      <c r="C8" s="67" t="s">
        <v>435</v>
      </c>
      <c r="D8" s="67" t="n">
        <v>0</v>
      </c>
      <c r="E8" s="67" t="n">
        <v>0</v>
      </c>
      <c r="F8" s="67" t="n">
        <v>1</v>
      </c>
      <c r="G8" s="67" t="n">
        <f aca="false">D8*$D$7+E8*$E$7+F8*$F$7</f>
        <v>5</v>
      </c>
      <c r="H8" s="67" t="s">
        <v>81</v>
      </c>
      <c r="I8" s="67" t="s">
        <v>189</v>
      </c>
      <c r="J8" s="67" t="s">
        <v>190</v>
      </c>
      <c r="K8" s="67" t="n">
        <v>40</v>
      </c>
    </row>
    <row r="9" customFormat="false" ht="60" hidden="false" customHeight="true" outlineLevel="0" collapsed="false">
      <c r="A9" s="67" t="s">
        <v>436</v>
      </c>
      <c r="B9" s="67" t="s">
        <v>437</v>
      </c>
      <c r="C9" s="67" t="s">
        <v>438</v>
      </c>
      <c r="D9" s="67" t="n">
        <v>0</v>
      </c>
      <c r="E9" s="67" t="n">
        <v>0</v>
      </c>
      <c r="F9" s="67" t="n">
        <v>1</v>
      </c>
      <c r="G9" s="67" t="n">
        <f aca="false">D9*$D$7+E9*$E$7+F9*$F$7</f>
        <v>5</v>
      </c>
      <c r="H9" s="67" t="s">
        <v>81</v>
      </c>
      <c r="I9" s="67" t="s">
        <v>189</v>
      </c>
      <c r="J9" s="67" t="s">
        <v>190</v>
      </c>
      <c r="K9" s="67" t="n">
        <v>60</v>
      </c>
    </row>
    <row r="10" customFormat="false" ht="35.05" hidden="false" customHeight="false" outlineLevel="0" collapsed="false">
      <c r="A10" s="15" t="s">
        <v>439</v>
      </c>
      <c r="B10" s="68"/>
      <c r="C10" s="68"/>
      <c r="D10" s="68"/>
      <c r="E10" s="68"/>
      <c r="F10" s="68"/>
      <c r="G10" s="15" t="n">
        <f aca="false">SUM(G8:G9)</f>
        <v>10</v>
      </c>
      <c r="H10" s="68"/>
      <c r="I10" s="68"/>
      <c r="J10" s="68"/>
      <c r="K10" s="15" t="n">
        <f aca="false">SUM(K8:K9)</f>
        <v>100</v>
      </c>
    </row>
    <row r="13" customFormat="false" ht="15" hidden="false" customHeight="false" outlineLevel="0" collapsed="false">
      <c r="B13" s="18" t="s">
        <v>230</v>
      </c>
      <c r="G13" s="10" t="n">
        <f aca="false">G10</f>
        <v>10</v>
      </c>
      <c r="J13" s="69" t="s">
        <v>231</v>
      </c>
    </row>
    <row r="14" customFormat="false" ht="15" hidden="false" customHeight="false" outlineLevel="0" collapsed="false">
      <c r="B14" s="18" t="s">
        <v>232</v>
      </c>
      <c r="C14" s="19" t="n">
        <v>0.18</v>
      </c>
      <c r="J14" s="18" t="s">
        <v>233</v>
      </c>
      <c r="L14" s="18" t="s">
        <v>234</v>
      </c>
    </row>
    <row r="15" customFormat="false" ht="15" hidden="false" customHeight="false" outlineLevel="0" collapsed="false">
      <c r="B15" s="18" t="s">
        <v>167</v>
      </c>
      <c r="C15" s="10" t="n">
        <f aca="false">G10</f>
        <v>10</v>
      </c>
      <c r="D15" s="10" t="s">
        <v>235</v>
      </c>
      <c r="J15" s="70" t="s">
        <v>236</v>
      </c>
      <c r="L15" s="19" t="n">
        <v>0</v>
      </c>
    </row>
    <row r="16" customFormat="false" ht="15" hidden="false" customHeight="false" outlineLevel="0" collapsed="false">
      <c r="B16" s="18" t="s">
        <v>237</v>
      </c>
      <c r="C16" s="10" t="n">
        <f aca="false">C15/C14</f>
        <v>55.5555555555556</v>
      </c>
      <c r="D16" s="10" t="s">
        <v>238</v>
      </c>
      <c r="J16" s="70" t="s">
        <v>239</v>
      </c>
      <c r="L16" s="19" t="n">
        <v>0</v>
      </c>
    </row>
    <row r="17" customFormat="false" ht="15" hidden="false" customHeight="false" outlineLevel="0" collapsed="false">
      <c r="B17" s="18" t="s">
        <v>240</v>
      </c>
      <c r="C17" s="10" t="n">
        <f aca="false">0.65+0.01*$L$29</f>
        <v>1.01</v>
      </c>
      <c r="J17" s="70" t="s">
        <v>241</v>
      </c>
      <c r="L17" s="19" t="n">
        <v>0</v>
      </c>
    </row>
    <row r="18" customFormat="false" ht="15" hidden="false" customHeight="false" outlineLevel="0" collapsed="false">
      <c r="B18" s="18" t="s">
        <v>242</v>
      </c>
      <c r="C18" s="19" t="n">
        <v>0.05</v>
      </c>
      <c r="J18" s="70" t="s">
        <v>243</v>
      </c>
      <c r="L18" s="19" t="n">
        <v>3</v>
      </c>
    </row>
    <row r="19" customFormat="false" ht="15" hidden="false" customHeight="false" outlineLevel="0" collapsed="false">
      <c r="B19" s="18" t="s">
        <v>244</v>
      </c>
      <c r="C19" s="19" t="n">
        <v>0.1</v>
      </c>
      <c r="J19" s="70" t="s">
        <v>245</v>
      </c>
      <c r="L19" s="19" t="n">
        <v>4</v>
      </c>
    </row>
    <row r="20" customFormat="false" ht="15" hidden="false" customHeight="false" outlineLevel="0" collapsed="false">
      <c r="B20" s="18" t="s">
        <v>246</v>
      </c>
      <c r="C20" s="10" t="n">
        <f aca="false">C16*C17*(1+C18+C19)</f>
        <v>64.5277777777778</v>
      </c>
      <c r="D20" s="10" t="s">
        <v>238</v>
      </c>
      <c r="J20" s="70" t="s">
        <v>247</v>
      </c>
      <c r="L20" s="19" t="n">
        <v>3</v>
      </c>
    </row>
    <row r="21" customFormat="false" ht="15" hidden="false" customHeight="false" outlineLevel="0" collapsed="false">
      <c r="J21" s="70" t="s">
        <v>248</v>
      </c>
      <c r="L21" s="19" t="n">
        <v>2</v>
      </c>
    </row>
    <row r="22" customFormat="false" ht="15" hidden="false" customHeight="false" outlineLevel="0" collapsed="false">
      <c r="B22" s="18" t="s">
        <v>249</v>
      </c>
      <c r="C22" s="10" t="n">
        <f aca="false">C20*1.05</f>
        <v>67.7541666666667</v>
      </c>
      <c r="D22" s="10" t="n">
        <f aca="false">C20*0.95</f>
        <v>61.3013888888889</v>
      </c>
      <c r="J22" s="70" t="s">
        <v>250</v>
      </c>
      <c r="L22" s="19" t="n">
        <v>1</v>
      </c>
    </row>
    <row r="23" customFormat="false" ht="15" hidden="false" customHeight="false" outlineLevel="0" collapsed="false">
      <c r="B23" s="18" t="s">
        <v>251</v>
      </c>
      <c r="C23" s="19" t="n">
        <v>200</v>
      </c>
      <c r="D23" s="10" t="s">
        <v>238</v>
      </c>
      <c r="J23" s="70" t="s">
        <v>252</v>
      </c>
      <c r="L23" s="19" t="n">
        <v>3</v>
      </c>
    </row>
    <row r="24" customFormat="false" ht="15" hidden="false" customHeight="false" outlineLevel="0" collapsed="false">
      <c r="B24" s="18" t="s">
        <v>253</v>
      </c>
      <c r="C24" s="10" t="n">
        <f aca="false">C20-C23</f>
        <v>-135.472222222222</v>
      </c>
      <c r="D24" s="10" t="s">
        <v>238</v>
      </c>
      <c r="J24" s="70" t="s">
        <v>254</v>
      </c>
      <c r="L24" s="19" t="n">
        <v>4</v>
      </c>
    </row>
    <row r="25" customFormat="false" ht="15" hidden="false" customHeight="false" outlineLevel="0" collapsed="false">
      <c r="B25" s="18" t="s">
        <v>255</v>
      </c>
      <c r="C25" s="10" t="n">
        <f aca="false">K10</f>
        <v>100</v>
      </c>
      <c r="D25" s="10" t="s">
        <v>238</v>
      </c>
      <c r="J25" s="70" t="s">
        <v>256</v>
      </c>
      <c r="L25" s="19" t="n">
        <v>4</v>
      </c>
    </row>
    <row r="26" customFormat="false" ht="15" hidden="false" customHeight="false" outlineLevel="0" collapsed="false">
      <c r="J26" s="70" t="s">
        <v>257</v>
      </c>
      <c r="L26" s="19" t="n">
        <v>4</v>
      </c>
    </row>
    <row r="27" customFormat="false" ht="15" hidden="false" customHeight="false" outlineLevel="0" collapsed="false">
      <c r="J27" s="70" t="s">
        <v>258</v>
      </c>
      <c r="L27" s="19" t="n">
        <v>4</v>
      </c>
    </row>
    <row r="28" customFormat="false" ht="15" hidden="false" customHeight="false" outlineLevel="0" collapsed="false">
      <c r="J28" s="70" t="s">
        <v>259</v>
      </c>
      <c r="L28" s="19" t="n">
        <v>4</v>
      </c>
    </row>
    <row r="29" customFormat="false" ht="15" hidden="false" customHeight="false" outlineLevel="0" collapsed="false">
      <c r="J29" s="18" t="s">
        <v>260</v>
      </c>
      <c r="L29" s="18" t="n">
        <f aca="false">SUM(L15:L28)</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440</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441</v>
      </c>
      <c r="B8" s="67" t="s">
        <v>442</v>
      </c>
      <c r="C8" s="67" t="s">
        <v>443</v>
      </c>
      <c r="D8" s="67" t="n">
        <v>0</v>
      </c>
      <c r="E8" s="67" t="n">
        <v>1</v>
      </c>
      <c r="F8" s="67" t="n">
        <v>0</v>
      </c>
      <c r="G8" s="67" t="n">
        <f aca="false">D8*$D$7+E8*$E$7+F8*$F$7</f>
        <v>3</v>
      </c>
      <c r="H8" s="67" t="s">
        <v>81</v>
      </c>
      <c r="I8" s="67" t="s">
        <v>175</v>
      </c>
      <c r="J8" s="67" t="s">
        <v>444</v>
      </c>
      <c r="K8" s="67" t="n">
        <v>0</v>
      </c>
    </row>
    <row r="9" customFormat="false" ht="60" hidden="false" customHeight="true" outlineLevel="0" collapsed="false">
      <c r="A9" s="67" t="s">
        <v>445</v>
      </c>
      <c r="B9" s="67" t="s">
        <v>446</v>
      </c>
      <c r="C9" s="67" t="s">
        <v>447</v>
      </c>
      <c r="D9" s="67" t="n">
        <v>0</v>
      </c>
      <c r="E9" s="67" t="n">
        <v>1</v>
      </c>
      <c r="F9" s="67" t="n">
        <v>0</v>
      </c>
      <c r="G9" s="67" t="n">
        <f aca="false">D9*$D$7+E9*$E$7+F9*$F$7</f>
        <v>3</v>
      </c>
      <c r="H9" s="67" t="s">
        <v>81</v>
      </c>
      <c r="I9" s="67" t="s">
        <v>175</v>
      </c>
      <c r="J9" s="67" t="s">
        <v>444</v>
      </c>
      <c r="K9" s="67" t="n">
        <v>0</v>
      </c>
    </row>
    <row r="10" customFormat="false" ht="60" hidden="false" customHeight="true" outlineLevel="0" collapsed="false">
      <c r="A10" s="67" t="s">
        <v>448</v>
      </c>
      <c r="B10" s="67" t="s">
        <v>449</v>
      </c>
      <c r="C10" s="67" t="s">
        <v>450</v>
      </c>
      <c r="D10" s="67" t="n">
        <v>0</v>
      </c>
      <c r="E10" s="67" t="n">
        <v>1</v>
      </c>
      <c r="F10" s="67" t="n">
        <v>0</v>
      </c>
      <c r="G10" s="67" t="n">
        <f aca="false">D10*$D$7+E10*$E$7+F10*$F$7</f>
        <v>3</v>
      </c>
      <c r="H10" s="67" t="s">
        <v>81</v>
      </c>
      <c r="I10" s="67" t="s">
        <v>175</v>
      </c>
      <c r="J10" s="67" t="s">
        <v>451</v>
      </c>
      <c r="K10" s="67" t="n">
        <v>0</v>
      </c>
    </row>
    <row r="11" customFormat="false" ht="60" hidden="false" customHeight="true" outlineLevel="0" collapsed="false">
      <c r="A11" s="67" t="s">
        <v>452</v>
      </c>
      <c r="B11" s="67" t="s">
        <v>453</v>
      </c>
      <c r="C11" s="67" t="s">
        <v>454</v>
      </c>
      <c r="D11" s="67" t="n">
        <v>0</v>
      </c>
      <c r="E11" s="67" t="n">
        <v>1</v>
      </c>
      <c r="F11" s="67" t="n">
        <v>0</v>
      </c>
      <c r="G11" s="67" t="n">
        <f aca="false">D11*$D$7+E11*$E$7+F11*$F$7</f>
        <v>3</v>
      </c>
      <c r="H11" s="67" t="s">
        <v>81</v>
      </c>
      <c r="I11" s="67" t="s">
        <v>175</v>
      </c>
      <c r="J11" s="67" t="s">
        <v>455</v>
      </c>
      <c r="K11" s="67" t="n">
        <v>0</v>
      </c>
    </row>
    <row r="12" customFormat="false" ht="60" hidden="false" customHeight="true" outlineLevel="0" collapsed="false">
      <c r="A12" s="67" t="s">
        <v>456</v>
      </c>
      <c r="B12" s="67" t="s">
        <v>457</v>
      </c>
      <c r="C12" s="67" t="s">
        <v>458</v>
      </c>
      <c r="D12" s="67" t="n">
        <v>0</v>
      </c>
      <c r="E12" s="67" t="n">
        <v>1</v>
      </c>
      <c r="F12" s="67" t="n">
        <v>0</v>
      </c>
      <c r="G12" s="67" t="n">
        <f aca="false">D12*$D$7+E12*$E$7+F12*$F$7</f>
        <v>3</v>
      </c>
      <c r="H12" s="67" t="s">
        <v>81</v>
      </c>
      <c r="I12" s="67" t="s">
        <v>175</v>
      </c>
      <c r="J12" s="67" t="s">
        <v>455</v>
      </c>
      <c r="K12" s="67" t="n">
        <v>0</v>
      </c>
    </row>
    <row r="13" customFormat="false" ht="60" hidden="false" customHeight="true" outlineLevel="0" collapsed="false">
      <c r="A13" s="67" t="s">
        <v>459</v>
      </c>
      <c r="B13" s="67" t="s">
        <v>460</v>
      </c>
      <c r="C13" s="67" t="s">
        <v>461</v>
      </c>
      <c r="D13" s="67" t="n">
        <v>0</v>
      </c>
      <c r="E13" s="67" t="n">
        <v>1</v>
      </c>
      <c r="F13" s="67" t="n">
        <v>0</v>
      </c>
      <c r="G13" s="67" t="n">
        <f aca="false">D13*$D$7+E13*$E$7+F13*$F$7</f>
        <v>3</v>
      </c>
      <c r="H13" s="67" t="s">
        <v>81</v>
      </c>
      <c r="I13" s="67" t="s">
        <v>175</v>
      </c>
      <c r="J13" s="67" t="s">
        <v>462</v>
      </c>
      <c r="K13" s="67" t="n">
        <v>0</v>
      </c>
    </row>
    <row r="14" customFormat="false" ht="60" hidden="false" customHeight="true" outlineLevel="0" collapsed="false">
      <c r="A14" s="67" t="s">
        <v>463</v>
      </c>
      <c r="B14" s="67" t="s">
        <v>464</v>
      </c>
      <c r="C14" s="67" t="s">
        <v>465</v>
      </c>
      <c r="D14" s="67" t="n">
        <v>0</v>
      </c>
      <c r="E14" s="67" t="n">
        <v>1</v>
      </c>
      <c r="F14" s="67" t="n">
        <v>0</v>
      </c>
      <c r="G14" s="67" t="n">
        <f aca="false">D14*$D$7+E14*$E$7+F14*$F$7</f>
        <v>3</v>
      </c>
      <c r="H14" s="67" t="s">
        <v>81</v>
      </c>
      <c r="I14" s="67" t="s">
        <v>175</v>
      </c>
      <c r="J14" s="67" t="s">
        <v>466</v>
      </c>
      <c r="K14" s="67" t="n">
        <v>0</v>
      </c>
    </row>
    <row r="15" customFormat="false" ht="60" hidden="false" customHeight="true" outlineLevel="0" collapsed="false">
      <c r="A15" s="67" t="s">
        <v>467</v>
      </c>
      <c r="B15" s="67" t="s">
        <v>468</v>
      </c>
      <c r="C15" s="67" t="s">
        <v>469</v>
      </c>
      <c r="D15" s="67" t="n">
        <v>0</v>
      </c>
      <c r="E15" s="67" t="n">
        <v>1</v>
      </c>
      <c r="F15" s="67" t="n">
        <v>0</v>
      </c>
      <c r="G15" s="67" t="n">
        <f aca="false">D15*$D$7+E15*$E$7+F15*$F$7</f>
        <v>3</v>
      </c>
      <c r="H15" s="67" t="s">
        <v>81</v>
      </c>
      <c r="I15" s="67" t="s">
        <v>175</v>
      </c>
      <c r="J15" s="67" t="s">
        <v>466</v>
      </c>
      <c r="K15" s="67" t="n">
        <v>0</v>
      </c>
    </row>
    <row r="16" customFormat="false" ht="60" hidden="false" customHeight="true" outlineLevel="0" collapsed="false">
      <c r="A16" s="67" t="s">
        <v>470</v>
      </c>
      <c r="B16" s="67" t="s">
        <v>471</v>
      </c>
      <c r="C16" s="67" t="s">
        <v>472</v>
      </c>
      <c r="D16" s="67" t="n">
        <v>0</v>
      </c>
      <c r="E16" s="67" t="n">
        <v>1</v>
      </c>
      <c r="F16" s="67" t="n">
        <v>0</v>
      </c>
      <c r="G16" s="67" t="n">
        <f aca="false">D16*$D$7+E16*$E$7+F16*$F$7</f>
        <v>3</v>
      </c>
      <c r="H16" s="67" t="s">
        <v>81</v>
      </c>
      <c r="I16" s="67" t="s">
        <v>175</v>
      </c>
      <c r="J16" s="67" t="s">
        <v>466</v>
      </c>
      <c r="K16" s="67" t="n">
        <v>0</v>
      </c>
    </row>
    <row r="17" customFormat="false" ht="60" hidden="false" customHeight="true" outlineLevel="0" collapsed="false">
      <c r="A17" s="67" t="s">
        <v>473</v>
      </c>
      <c r="B17" s="67" t="s">
        <v>474</v>
      </c>
      <c r="C17" s="67" t="s">
        <v>475</v>
      </c>
      <c r="D17" s="67" t="n">
        <v>0</v>
      </c>
      <c r="E17" s="67" t="n">
        <v>1</v>
      </c>
      <c r="F17" s="67" t="n">
        <v>0</v>
      </c>
      <c r="G17" s="67" t="n">
        <f aca="false">D17*$D$7+E17*$E$7+F17*$F$7</f>
        <v>3</v>
      </c>
      <c r="H17" s="67" t="s">
        <v>81</v>
      </c>
      <c r="I17" s="67" t="s">
        <v>175</v>
      </c>
      <c r="J17" s="67" t="s">
        <v>476</v>
      </c>
      <c r="K17" s="67" t="n">
        <v>0</v>
      </c>
    </row>
    <row r="18" customFormat="false" ht="60" hidden="false" customHeight="true" outlineLevel="0" collapsed="false">
      <c r="A18" s="67" t="s">
        <v>477</v>
      </c>
      <c r="B18" s="67" t="s">
        <v>478</v>
      </c>
      <c r="C18" s="67" t="s">
        <v>479</v>
      </c>
      <c r="D18" s="67" t="n">
        <v>0</v>
      </c>
      <c r="E18" s="67" t="n">
        <v>1</v>
      </c>
      <c r="F18" s="67" t="n">
        <v>0</v>
      </c>
      <c r="G18" s="67" t="n">
        <f aca="false">D18*$D$7+E18*$E$7+F18*$F$7</f>
        <v>3</v>
      </c>
      <c r="H18" s="67" t="s">
        <v>81</v>
      </c>
      <c r="I18" s="67" t="s">
        <v>175</v>
      </c>
      <c r="J18" s="67" t="s">
        <v>476</v>
      </c>
      <c r="K18" s="67" t="n">
        <v>0</v>
      </c>
    </row>
    <row r="19" customFormat="false" ht="60" hidden="false" customHeight="true" outlineLevel="0" collapsed="false">
      <c r="A19" s="67" t="s">
        <v>480</v>
      </c>
      <c r="B19" s="67" t="s">
        <v>481</v>
      </c>
      <c r="C19" s="67" t="s">
        <v>482</v>
      </c>
      <c r="D19" s="67" t="n">
        <v>0</v>
      </c>
      <c r="E19" s="67" t="n">
        <v>1</v>
      </c>
      <c r="F19" s="67" t="n">
        <v>0</v>
      </c>
      <c r="G19" s="67" t="n">
        <f aca="false">D19*$D$7+E19*$E$7+F19*$F$7</f>
        <v>3</v>
      </c>
      <c r="H19" s="67" t="s">
        <v>81</v>
      </c>
      <c r="I19" s="67" t="s">
        <v>175</v>
      </c>
      <c r="J19" s="67" t="s">
        <v>476</v>
      </c>
      <c r="K19" s="67" t="n">
        <v>0</v>
      </c>
    </row>
    <row r="20" customFormat="false" ht="60" hidden="false" customHeight="true" outlineLevel="0" collapsed="false">
      <c r="A20" s="67" t="s">
        <v>483</v>
      </c>
      <c r="B20" s="67" t="s">
        <v>484</v>
      </c>
      <c r="C20" s="67" t="s">
        <v>485</v>
      </c>
      <c r="D20" s="67" t="n">
        <v>0</v>
      </c>
      <c r="E20" s="67" t="n">
        <v>1</v>
      </c>
      <c r="F20" s="67" t="n">
        <v>0</v>
      </c>
      <c r="G20" s="67" t="n">
        <f aca="false">D20*$D$7+E20*$E$7+F20*$F$7</f>
        <v>3</v>
      </c>
      <c r="H20" s="67" t="s">
        <v>81</v>
      </c>
      <c r="I20" s="67" t="s">
        <v>175</v>
      </c>
      <c r="J20" s="67" t="s">
        <v>462</v>
      </c>
      <c r="K20" s="67" t="n">
        <v>0</v>
      </c>
    </row>
    <row r="21" customFormat="false" ht="60" hidden="false" customHeight="true" outlineLevel="0" collapsed="false">
      <c r="A21" s="67" t="s">
        <v>486</v>
      </c>
      <c r="B21" s="67" t="s">
        <v>487</v>
      </c>
      <c r="C21" s="67" t="s">
        <v>488</v>
      </c>
      <c r="D21" s="67" t="n">
        <v>0</v>
      </c>
      <c r="E21" s="67" t="n">
        <v>1</v>
      </c>
      <c r="F21" s="67" t="n">
        <v>0</v>
      </c>
      <c r="G21" s="67" t="n">
        <f aca="false">D21*$D$7+E21*$E$7+F21*$F$7</f>
        <v>3</v>
      </c>
      <c r="H21" s="67" t="s">
        <v>81</v>
      </c>
      <c r="I21" s="67" t="s">
        <v>175</v>
      </c>
      <c r="J21" s="67" t="s">
        <v>455</v>
      </c>
      <c r="K21" s="67" t="n">
        <v>0</v>
      </c>
    </row>
    <row r="22" customFormat="false" ht="60" hidden="false" customHeight="true" outlineLevel="0" collapsed="false">
      <c r="A22" s="67" t="s">
        <v>489</v>
      </c>
      <c r="B22" s="67" t="s">
        <v>490</v>
      </c>
      <c r="C22" s="67" t="s">
        <v>491</v>
      </c>
      <c r="D22" s="67" t="n">
        <v>0</v>
      </c>
      <c r="E22" s="67" t="n">
        <v>1</v>
      </c>
      <c r="F22" s="67" t="n">
        <v>0</v>
      </c>
      <c r="G22" s="67" t="n">
        <f aca="false">D22*$D$7+E22*$E$7+F22*$F$7</f>
        <v>3</v>
      </c>
      <c r="H22" s="67" t="s">
        <v>79</v>
      </c>
      <c r="I22" s="67" t="s">
        <v>175</v>
      </c>
      <c r="J22" s="67" t="s">
        <v>466</v>
      </c>
      <c r="K22" s="67" t="n">
        <v>0</v>
      </c>
    </row>
    <row r="23" customFormat="false" ht="60" hidden="false" customHeight="true" outlineLevel="0" collapsed="false">
      <c r="A23" s="67" t="s">
        <v>492</v>
      </c>
      <c r="B23" s="67" t="s">
        <v>493</v>
      </c>
      <c r="C23" s="67" t="s">
        <v>494</v>
      </c>
      <c r="D23" s="67" t="n">
        <v>0</v>
      </c>
      <c r="E23" s="67" t="n">
        <v>1</v>
      </c>
      <c r="F23" s="67" t="n">
        <v>0</v>
      </c>
      <c r="G23" s="67" t="n">
        <f aca="false">D23*$D$7+E23*$E$7+F23*$F$7</f>
        <v>3</v>
      </c>
      <c r="H23" s="67" t="s">
        <v>81</v>
      </c>
      <c r="I23" s="67" t="s">
        <v>495</v>
      </c>
      <c r="J23" s="67" t="s">
        <v>496</v>
      </c>
      <c r="K23" s="67" t="n">
        <v>0</v>
      </c>
    </row>
    <row r="24" customFormat="false" ht="57.45" hidden="false" customHeight="false" outlineLevel="0" collapsed="false">
      <c r="A24" s="15" t="s">
        <v>497</v>
      </c>
      <c r="B24" s="68"/>
      <c r="C24" s="68"/>
      <c r="D24" s="68"/>
      <c r="E24" s="68"/>
      <c r="F24" s="68"/>
      <c r="G24" s="15" t="n">
        <f aca="false">SUM(G8:G23)</f>
        <v>48</v>
      </c>
      <c r="H24" s="68"/>
      <c r="I24" s="68"/>
      <c r="J24" s="68"/>
      <c r="K24" s="15" t="n">
        <f aca="false">SUM(K8:K23)</f>
        <v>0</v>
      </c>
    </row>
    <row r="27" customFormat="false" ht="15" hidden="false" customHeight="false" outlineLevel="0" collapsed="false">
      <c r="B27" s="18" t="s">
        <v>230</v>
      </c>
      <c r="G27" s="10" t="n">
        <f aca="false">G24</f>
        <v>48</v>
      </c>
      <c r="J27" s="69" t="s">
        <v>231</v>
      </c>
    </row>
    <row r="28" customFormat="false" ht="15" hidden="false" customHeight="false" outlineLevel="0" collapsed="false">
      <c r="B28" s="18" t="s">
        <v>232</v>
      </c>
      <c r="C28" s="19" t="n">
        <v>0.18</v>
      </c>
      <c r="J28" s="18" t="s">
        <v>233</v>
      </c>
      <c r="L28" s="18" t="s">
        <v>234</v>
      </c>
    </row>
    <row r="29" customFormat="false" ht="15" hidden="false" customHeight="false" outlineLevel="0" collapsed="false">
      <c r="B29" s="18" t="s">
        <v>167</v>
      </c>
      <c r="C29" s="10" t="n">
        <f aca="false">G24</f>
        <v>48</v>
      </c>
      <c r="D29" s="10" t="s">
        <v>235</v>
      </c>
      <c r="J29" s="70" t="s">
        <v>236</v>
      </c>
      <c r="L29" s="19" t="n">
        <v>0</v>
      </c>
    </row>
    <row r="30" customFormat="false" ht="15" hidden="false" customHeight="false" outlineLevel="0" collapsed="false">
      <c r="B30" s="18" t="s">
        <v>237</v>
      </c>
      <c r="C30" s="10" t="n">
        <f aca="false">C29/C28</f>
        <v>266.666666666667</v>
      </c>
      <c r="D30" s="10" t="s">
        <v>238</v>
      </c>
      <c r="J30" s="70" t="s">
        <v>239</v>
      </c>
      <c r="L30" s="19" t="n">
        <v>0</v>
      </c>
    </row>
    <row r="31" customFormat="false" ht="15" hidden="false" customHeight="false" outlineLevel="0" collapsed="false">
      <c r="B31" s="18" t="s">
        <v>240</v>
      </c>
      <c r="C31" s="10" t="n">
        <f aca="false">0.65+0.01*$L$43</f>
        <v>1.01</v>
      </c>
      <c r="J31" s="70" t="s">
        <v>241</v>
      </c>
      <c r="L31" s="19" t="n">
        <v>0</v>
      </c>
    </row>
    <row r="32" customFormat="false" ht="15" hidden="false" customHeight="false" outlineLevel="0" collapsed="false">
      <c r="B32" s="18" t="s">
        <v>242</v>
      </c>
      <c r="C32" s="19" t="n">
        <v>0.05</v>
      </c>
      <c r="J32" s="70" t="s">
        <v>243</v>
      </c>
      <c r="L32" s="19" t="n">
        <v>3</v>
      </c>
    </row>
    <row r="33" customFormat="false" ht="15" hidden="false" customHeight="false" outlineLevel="0" collapsed="false">
      <c r="B33" s="18" t="s">
        <v>244</v>
      </c>
      <c r="C33" s="19" t="n">
        <v>0.1</v>
      </c>
      <c r="J33" s="70" t="s">
        <v>245</v>
      </c>
      <c r="L33" s="19" t="n">
        <v>4</v>
      </c>
    </row>
    <row r="34" customFormat="false" ht="15" hidden="false" customHeight="false" outlineLevel="0" collapsed="false">
      <c r="B34" s="18" t="s">
        <v>246</v>
      </c>
      <c r="C34" s="10" t="n">
        <f aca="false">C30*C31*(1+C32+C33)</f>
        <v>309.733333333333</v>
      </c>
      <c r="D34" s="10" t="s">
        <v>238</v>
      </c>
      <c r="J34" s="70" t="s">
        <v>247</v>
      </c>
      <c r="L34" s="19" t="n">
        <v>3</v>
      </c>
    </row>
    <row r="35" customFormat="false" ht="15" hidden="false" customHeight="false" outlineLevel="0" collapsed="false">
      <c r="J35" s="70" t="s">
        <v>248</v>
      </c>
      <c r="L35" s="19" t="n">
        <v>2</v>
      </c>
    </row>
    <row r="36" customFormat="false" ht="15" hidden="false" customHeight="false" outlineLevel="0" collapsed="false">
      <c r="B36" s="18" t="s">
        <v>249</v>
      </c>
      <c r="C36" s="10" t="n">
        <f aca="false">C34*1.05</f>
        <v>325.22</v>
      </c>
      <c r="D36" s="10" t="n">
        <f aca="false">C34*0.95</f>
        <v>294.246666666667</v>
      </c>
      <c r="J36" s="70" t="s">
        <v>250</v>
      </c>
      <c r="L36" s="19" t="n">
        <v>1</v>
      </c>
    </row>
    <row r="37" customFormat="false" ht="15" hidden="false" customHeight="false" outlineLevel="0" collapsed="false">
      <c r="B37" s="18" t="s">
        <v>251</v>
      </c>
      <c r="C37" s="19" t="n">
        <v>30</v>
      </c>
      <c r="D37" s="10" t="s">
        <v>238</v>
      </c>
      <c r="J37" s="70" t="s">
        <v>252</v>
      </c>
      <c r="L37" s="19" t="n">
        <v>3</v>
      </c>
    </row>
    <row r="38" customFormat="false" ht="15" hidden="false" customHeight="false" outlineLevel="0" collapsed="false">
      <c r="B38" s="18" t="s">
        <v>253</v>
      </c>
      <c r="C38" s="10" t="n">
        <f aca="false">C34-C37</f>
        <v>279.733333333333</v>
      </c>
      <c r="D38" s="10" t="s">
        <v>238</v>
      </c>
      <c r="J38" s="70" t="s">
        <v>254</v>
      </c>
      <c r="L38" s="19" t="n">
        <v>4</v>
      </c>
    </row>
    <row r="39" customFormat="false" ht="15" hidden="false" customHeight="false" outlineLevel="0" collapsed="false">
      <c r="B39" s="18" t="s">
        <v>255</v>
      </c>
      <c r="C39" s="10" t="n">
        <f aca="false">K24</f>
        <v>0</v>
      </c>
      <c r="D39" s="10" t="s">
        <v>238</v>
      </c>
      <c r="J39" s="70" t="s">
        <v>256</v>
      </c>
      <c r="L39" s="19" t="n">
        <v>4</v>
      </c>
    </row>
    <row r="40" customFormat="false" ht="15" hidden="false" customHeight="false" outlineLevel="0" collapsed="false">
      <c r="J40" s="70" t="s">
        <v>257</v>
      </c>
      <c r="L40" s="19" t="n">
        <v>4</v>
      </c>
    </row>
    <row r="41" customFormat="false" ht="15" hidden="false" customHeight="false" outlineLevel="0" collapsed="false">
      <c r="J41" s="70" t="s">
        <v>258</v>
      </c>
      <c r="L41" s="19" t="n">
        <v>4</v>
      </c>
    </row>
    <row r="42" customFormat="false" ht="15" hidden="false" customHeight="false" outlineLevel="0" collapsed="false">
      <c r="J42" s="70" t="s">
        <v>259</v>
      </c>
      <c r="L42" s="19" t="n">
        <v>4</v>
      </c>
    </row>
    <row r="43" customFormat="false" ht="15" hidden="false" customHeight="false" outlineLevel="0" collapsed="false">
      <c r="J43" s="18" t="s">
        <v>260</v>
      </c>
      <c r="L43" s="18" t="n">
        <f aca="false">SUM(L29:L42)</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498</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499</v>
      </c>
      <c r="B8" s="67" t="s">
        <v>500</v>
      </c>
      <c r="C8" s="67" t="s">
        <v>501</v>
      </c>
      <c r="D8" s="67" t="n">
        <v>0</v>
      </c>
      <c r="E8" s="67" t="n">
        <v>1</v>
      </c>
      <c r="F8" s="67" t="n">
        <v>0</v>
      </c>
      <c r="G8" s="67" t="n">
        <f aca="false">D8*$D$7+E8*$E$7+F8*$F$7</f>
        <v>3</v>
      </c>
      <c r="H8" s="67" t="s">
        <v>81</v>
      </c>
      <c r="I8" s="67" t="s">
        <v>189</v>
      </c>
      <c r="J8" s="67" t="s">
        <v>197</v>
      </c>
      <c r="K8" s="67" t="n">
        <v>16</v>
      </c>
    </row>
    <row r="9" customFormat="false" ht="60" hidden="false" customHeight="true" outlineLevel="0" collapsed="false">
      <c r="A9" s="67" t="s">
        <v>502</v>
      </c>
      <c r="B9" s="67" t="s">
        <v>503</v>
      </c>
      <c r="C9" s="67" t="s">
        <v>504</v>
      </c>
      <c r="D9" s="67" t="n">
        <v>1</v>
      </c>
      <c r="E9" s="67" t="n">
        <v>0</v>
      </c>
      <c r="F9" s="67" t="n">
        <v>0</v>
      </c>
      <c r="G9" s="67" t="n">
        <f aca="false">D9*$D$7+E9*$E$7+F9*$F$7</f>
        <v>1</v>
      </c>
      <c r="H9" s="67" t="s">
        <v>79</v>
      </c>
      <c r="I9" s="67" t="s">
        <v>228</v>
      </c>
      <c r="J9" s="67" t="s">
        <v>197</v>
      </c>
      <c r="K9" s="67" t="n">
        <v>6</v>
      </c>
    </row>
    <row r="10" customFormat="false" ht="60" hidden="false" customHeight="true" outlineLevel="0" collapsed="false">
      <c r="A10" s="67" t="s">
        <v>505</v>
      </c>
      <c r="B10" s="67" t="s">
        <v>506</v>
      </c>
      <c r="C10" s="67" t="s">
        <v>507</v>
      </c>
      <c r="D10" s="67" t="n">
        <v>0</v>
      </c>
      <c r="E10" s="67" t="n">
        <v>0</v>
      </c>
      <c r="F10" s="67" t="n">
        <v>1</v>
      </c>
      <c r="G10" s="67" t="n">
        <f aca="false">D10*$D$7+E10*$E$7+F10*$F$7</f>
        <v>5</v>
      </c>
      <c r="H10" s="67" t="s">
        <v>79</v>
      </c>
      <c r="I10" s="67" t="s">
        <v>189</v>
      </c>
      <c r="J10" s="67" t="s">
        <v>197</v>
      </c>
      <c r="K10" s="67" t="n">
        <v>20</v>
      </c>
    </row>
    <row r="11" customFormat="false" ht="23.85" hidden="false" customHeight="false" outlineLevel="0" collapsed="false">
      <c r="A11" s="15" t="s">
        <v>508</v>
      </c>
      <c r="B11" s="68"/>
      <c r="C11" s="68"/>
      <c r="D11" s="68"/>
      <c r="E11" s="68"/>
      <c r="F11" s="68"/>
      <c r="G11" s="15" t="n">
        <f aca="false">SUM(G8:G10)</f>
        <v>9</v>
      </c>
      <c r="H11" s="68"/>
      <c r="I11" s="68"/>
      <c r="J11" s="68"/>
      <c r="K11" s="15" t="n">
        <f aca="false">SUM(K8:K10)</f>
        <v>42</v>
      </c>
    </row>
    <row r="14" customFormat="false" ht="15" hidden="false" customHeight="false" outlineLevel="0" collapsed="false">
      <c r="B14" s="18" t="s">
        <v>230</v>
      </c>
      <c r="G14" s="10" t="n">
        <f aca="false">G11</f>
        <v>9</v>
      </c>
      <c r="J14" s="69" t="s">
        <v>231</v>
      </c>
    </row>
    <row r="15" customFormat="false" ht="15" hidden="false" customHeight="false" outlineLevel="0" collapsed="false">
      <c r="B15" s="18" t="s">
        <v>232</v>
      </c>
      <c r="C15" s="19" t="n">
        <v>0.18</v>
      </c>
      <c r="J15" s="18" t="s">
        <v>233</v>
      </c>
      <c r="L15" s="18" t="s">
        <v>234</v>
      </c>
    </row>
    <row r="16" customFormat="false" ht="15" hidden="false" customHeight="false" outlineLevel="0" collapsed="false">
      <c r="B16" s="18" t="s">
        <v>167</v>
      </c>
      <c r="C16" s="10" t="n">
        <f aca="false">G11</f>
        <v>9</v>
      </c>
      <c r="D16" s="10" t="s">
        <v>235</v>
      </c>
      <c r="J16" s="70" t="s">
        <v>236</v>
      </c>
      <c r="L16" s="19" t="n">
        <v>0</v>
      </c>
    </row>
    <row r="17" customFormat="false" ht="15" hidden="false" customHeight="false" outlineLevel="0" collapsed="false">
      <c r="B17" s="18" t="s">
        <v>237</v>
      </c>
      <c r="C17" s="10" t="n">
        <f aca="false">C16/C15</f>
        <v>50</v>
      </c>
      <c r="D17" s="10" t="s">
        <v>238</v>
      </c>
      <c r="J17" s="70" t="s">
        <v>239</v>
      </c>
      <c r="L17" s="19" t="n">
        <v>0</v>
      </c>
    </row>
    <row r="18" customFormat="false" ht="15" hidden="false" customHeight="false" outlineLevel="0" collapsed="false">
      <c r="B18" s="18" t="s">
        <v>240</v>
      </c>
      <c r="C18" s="10" t="n">
        <f aca="false">0.65+0.01*$L$30</f>
        <v>1.01</v>
      </c>
      <c r="J18" s="70" t="s">
        <v>241</v>
      </c>
      <c r="L18" s="19" t="n">
        <v>0</v>
      </c>
    </row>
    <row r="19" customFormat="false" ht="15" hidden="false" customHeight="false" outlineLevel="0" collapsed="false">
      <c r="B19" s="18" t="s">
        <v>242</v>
      </c>
      <c r="C19" s="19" t="n">
        <v>0.05</v>
      </c>
      <c r="J19" s="70" t="s">
        <v>243</v>
      </c>
      <c r="L19" s="19" t="n">
        <v>3</v>
      </c>
    </row>
    <row r="20" customFormat="false" ht="15" hidden="false" customHeight="false" outlineLevel="0" collapsed="false">
      <c r="B20" s="18" t="s">
        <v>244</v>
      </c>
      <c r="C20" s="19" t="n">
        <v>0.1</v>
      </c>
      <c r="J20" s="70" t="s">
        <v>245</v>
      </c>
      <c r="L20" s="19" t="n">
        <v>4</v>
      </c>
    </row>
    <row r="21" customFormat="false" ht="15" hidden="false" customHeight="false" outlineLevel="0" collapsed="false">
      <c r="B21" s="18" t="s">
        <v>246</v>
      </c>
      <c r="C21" s="10" t="n">
        <f aca="false">C17*C18*(1+C19+C20)</f>
        <v>58.075</v>
      </c>
      <c r="D21" s="10" t="s">
        <v>238</v>
      </c>
      <c r="J21" s="70" t="s">
        <v>247</v>
      </c>
      <c r="L21" s="19" t="n">
        <v>3</v>
      </c>
    </row>
    <row r="22" customFormat="false" ht="15" hidden="false" customHeight="false" outlineLevel="0" collapsed="false">
      <c r="J22" s="70" t="s">
        <v>248</v>
      </c>
      <c r="L22" s="19" t="n">
        <v>2</v>
      </c>
    </row>
    <row r="23" customFormat="false" ht="15" hidden="false" customHeight="false" outlineLevel="0" collapsed="false">
      <c r="B23" s="18" t="s">
        <v>249</v>
      </c>
      <c r="C23" s="10" t="n">
        <f aca="false">C21*1.05</f>
        <v>60.97875</v>
      </c>
      <c r="D23" s="10" t="n">
        <f aca="false">C21*0.95</f>
        <v>55.17125</v>
      </c>
      <c r="J23" s="70" t="s">
        <v>250</v>
      </c>
      <c r="L23" s="19" t="n">
        <v>1</v>
      </c>
    </row>
    <row r="24" customFormat="false" ht="15" hidden="false" customHeight="false" outlineLevel="0" collapsed="false">
      <c r="B24" s="18" t="s">
        <v>251</v>
      </c>
      <c r="C24" s="19" t="n">
        <v>141</v>
      </c>
      <c r="D24" s="10" t="s">
        <v>238</v>
      </c>
      <c r="J24" s="70" t="s">
        <v>252</v>
      </c>
      <c r="L24" s="19" t="n">
        <v>3</v>
      </c>
    </row>
    <row r="25" customFormat="false" ht="15" hidden="false" customHeight="false" outlineLevel="0" collapsed="false">
      <c r="B25" s="18" t="s">
        <v>253</v>
      </c>
      <c r="C25" s="10" t="n">
        <f aca="false">C21-C24</f>
        <v>-82.925</v>
      </c>
      <c r="D25" s="10" t="s">
        <v>238</v>
      </c>
      <c r="J25" s="70" t="s">
        <v>254</v>
      </c>
      <c r="L25" s="19" t="n">
        <v>4</v>
      </c>
    </row>
    <row r="26" customFormat="false" ht="15" hidden="false" customHeight="false" outlineLevel="0" collapsed="false">
      <c r="B26" s="18" t="s">
        <v>255</v>
      </c>
      <c r="C26" s="10" t="n">
        <f aca="false">K11</f>
        <v>42</v>
      </c>
      <c r="D26" s="10" t="s">
        <v>238</v>
      </c>
      <c r="J26" s="70" t="s">
        <v>256</v>
      </c>
      <c r="L26" s="19" t="n">
        <v>4</v>
      </c>
    </row>
    <row r="27" customFormat="false" ht="15" hidden="false" customHeight="false" outlineLevel="0" collapsed="false">
      <c r="J27" s="70" t="s">
        <v>257</v>
      </c>
      <c r="L27" s="19" t="n">
        <v>4</v>
      </c>
    </row>
    <row r="28" customFormat="false" ht="15" hidden="false" customHeight="false" outlineLevel="0" collapsed="false">
      <c r="J28" s="70" t="s">
        <v>258</v>
      </c>
      <c r="L28" s="19" t="n">
        <v>4</v>
      </c>
    </row>
    <row r="29" customFormat="false" ht="15" hidden="false" customHeight="false" outlineLevel="0" collapsed="false">
      <c r="J29" s="70" t="s">
        <v>259</v>
      </c>
      <c r="L29" s="19" t="n">
        <v>4</v>
      </c>
    </row>
    <row r="30" customFormat="false" ht="15" hidden="false" customHeight="false" outlineLevel="0" collapsed="false">
      <c r="J30" s="18" t="s">
        <v>260</v>
      </c>
      <c r="L30" s="18" t="n">
        <f aca="false">SUM(L16:L29)</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509</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510</v>
      </c>
      <c r="B8" s="67" t="s">
        <v>511</v>
      </c>
      <c r="C8" s="67" t="s">
        <v>512</v>
      </c>
      <c r="D8" s="67" t="n">
        <v>1</v>
      </c>
      <c r="E8" s="67" t="n">
        <v>0</v>
      </c>
      <c r="F8" s="67" t="n">
        <v>0</v>
      </c>
      <c r="G8" s="67" t="n">
        <f aca="false">D8*$D$7+E8*$E$7+F8*$F$7</f>
        <v>1</v>
      </c>
      <c r="H8" s="67" t="s">
        <v>79</v>
      </c>
      <c r="I8" s="67" t="s">
        <v>175</v>
      </c>
      <c r="J8" s="67" t="s">
        <v>176</v>
      </c>
      <c r="K8" s="67" t="n">
        <v>8</v>
      </c>
    </row>
    <row r="9" customFormat="false" ht="60" hidden="false" customHeight="true" outlineLevel="0" collapsed="false">
      <c r="A9" s="67" t="s">
        <v>513</v>
      </c>
      <c r="B9" s="67" t="s">
        <v>514</v>
      </c>
      <c r="C9" s="67" t="s">
        <v>515</v>
      </c>
      <c r="D9" s="67" t="n">
        <v>1</v>
      </c>
      <c r="E9" s="67" t="n">
        <v>0</v>
      </c>
      <c r="F9" s="67" t="n">
        <v>0</v>
      </c>
      <c r="G9" s="67" t="n">
        <f aca="false">D9*$D$7+E9*$E$7+F9*$F$7</f>
        <v>1</v>
      </c>
      <c r="H9" s="67" t="s">
        <v>79</v>
      </c>
      <c r="I9" s="67" t="s">
        <v>175</v>
      </c>
      <c r="J9" s="67" t="s">
        <v>176</v>
      </c>
      <c r="K9" s="67" t="n">
        <v>6</v>
      </c>
    </row>
    <row r="10" customFormat="false" ht="60" hidden="false" customHeight="true" outlineLevel="0" collapsed="false">
      <c r="A10" s="67" t="s">
        <v>516</v>
      </c>
      <c r="B10" s="67" t="s">
        <v>517</v>
      </c>
      <c r="C10" s="67" t="s">
        <v>518</v>
      </c>
      <c r="D10" s="67" t="n">
        <v>1</v>
      </c>
      <c r="E10" s="67" t="n">
        <v>0</v>
      </c>
      <c r="F10" s="67" t="n">
        <v>0</v>
      </c>
      <c r="G10" s="67" t="n">
        <f aca="false">D10*$D$7+E10*$E$7+F10*$F$7</f>
        <v>1</v>
      </c>
      <c r="H10" s="67" t="s">
        <v>79</v>
      </c>
      <c r="I10" s="67" t="s">
        <v>175</v>
      </c>
      <c r="J10" s="67" t="s">
        <v>176</v>
      </c>
      <c r="K10" s="67" t="n">
        <v>8</v>
      </c>
    </row>
    <row r="11" customFormat="false" ht="60" hidden="false" customHeight="true" outlineLevel="0" collapsed="false">
      <c r="A11" s="67" t="s">
        <v>519</v>
      </c>
      <c r="B11" s="67" t="s">
        <v>520</v>
      </c>
      <c r="C11" s="67" t="s">
        <v>521</v>
      </c>
      <c r="D11" s="67" t="n">
        <v>1</v>
      </c>
      <c r="E11" s="67" t="n">
        <v>0</v>
      </c>
      <c r="F11" s="67" t="n">
        <v>0</v>
      </c>
      <c r="G11" s="67" t="n">
        <f aca="false">D11*$D$7+E11*$E$7+F11*$F$7</f>
        <v>1</v>
      </c>
      <c r="H11" s="67" t="s">
        <v>77</v>
      </c>
      <c r="I11" s="67" t="s">
        <v>175</v>
      </c>
      <c r="J11" s="67" t="s">
        <v>176</v>
      </c>
      <c r="K11" s="67" t="n">
        <v>6</v>
      </c>
    </row>
    <row r="12" customFormat="false" ht="23.85" hidden="false" customHeight="false" outlineLevel="0" collapsed="false">
      <c r="A12" s="15" t="s">
        <v>522</v>
      </c>
      <c r="B12" s="68"/>
      <c r="C12" s="68"/>
      <c r="D12" s="68"/>
      <c r="E12" s="68"/>
      <c r="F12" s="68"/>
      <c r="G12" s="15" t="n">
        <f aca="false">SUM(G8:G11)</f>
        <v>4</v>
      </c>
      <c r="H12" s="68"/>
      <c r="I12" s="68"/>
      <c r="J12" s="68"/>
      <c r="K12" s="15" t="n">
        <f aca="false">SUM(K8:K11)</f>
        <v>28</v>
      </c>
    </row>
    <row r="15" customFormat="false" ht="15" hidden="false" customHeight="false" outlineLevel="0" collapsed="false">
      <c r="B15" s="18" t="s">
        <v>230</v>
      </c>
      <c r="G15" s="10" t="n">
        <f aca="false">G12</f>
        <v>4</v>
      </c>
      <c r="J15" s="69" t="s">
        <v>231</v>
      </c>
    </row>
    <row r="16" customFormat="false" ht="15" hidden="false" customHeight="false" outlineLevel="0" collapsed="false">
      <c r="B16" s="18" t="s">
        <v>232</v>
      </c>
      <c r="C16" s="19" t="n">
        <v>0.18</v>
      </c>
      <c r="J16" s="18" t="s">
        <v>233</v>
      </c>
      <c r="L16" s="18" t="s">
        <v>234</v>
      </c>
    </row>
    <row r="17" customFormat="false" ht="15" hidden="false" customHeight="false" outlineLevel="0" collapsed="false">
      <c r="B17" s="18" t="s">
        <v>167</v>
      </c>
      <c r="C17" s="10" t="n">
        <f aca="false">G12</f>
        <v>4</v>
      </c>
      <c r="D17" s="10" t="s">
        <v>235</v>
      </c>
      <c r="J17" s="70" t="s">
        <v>236</v>
      </c>
      <c r="L17" s="19" t="n">
        <v>0</v>
      </c>
    </row>
    <row r="18" customFormat="false" ht="15" hidden="false" customHeight="false" outlineLevel="0" collapsed="false">
      <c r="B18" s="18" t="s">
        <v>237</v>
      </c>
      <c r="C18" s="10" t="n">
        <f aca="false">C17/C16</f>
        <v>22.2222222222222</v>
      </c>
      <c r="D18" s="10" t="s">
        <v>238</v>
      </c>
      <c r="J18" s="70" t="s">
        <v>239</v>
      </c>
      <c r="L18" s="19" t="n">
        <v>0</v>
      </c>
    </row>
    <row r="19" customFormat="false" ht="15" hidden="false" customHeight="false" outlineLevel="0" collapsed="false">
      <c r="B19" s="18" t="s">
        <v>240</v>
      </c>
      <c r="C19" s="10" t="n">
        <f aca="false">0.65+0.01*$L$31</f>
        <v>1.01</v>
      </c>
      <c r="J19" s="70" t="s">
        <v>241</v>
      </c>
      <c r="L19" s="19" t="n">
        <v>0</v>
      </c>
    </row>
    <row r="20" customFormat="false" ht="15" hidden="false" customHeight="false" outlineLevel="0" collapsed="false">
      <c r="B20" s="18" t="s">
        <v>242</v>
      </c>
      <c r="C20" s="19" t="n">
        <v>0.05</v>
      </c>
      <c r="J20" s="70" t="s">
        <v>243</v>
      </c>
      <c r="L20" s="19" t="n">
        <v>3</v>
      </c>
    </row>
    <row r="21" customFormat="false" ht="15" hidden="false" customHeight="false" outlineLevel="0" collapsed="false">
      <c r="B21" s="18" t="s">
        <v>244</v>
      </c>
      <c r="C21" s="19" t="n">
        <v>0.1</v>
      </c>
      <c r="J21" s="70" t="s">
        <v>245</v>
      </c>
      <c r="L21" s="19" t="n">
        <v>4</v>
      </c>
    </row>
    <row r="22" customFormat="false" ht="15" hidden="false" customHeight="false" outlineLevel="0" collapsed="false">
      <c r="B22" s="18" t="s">
        <v>246</v>
      </c>
      <c r="C22" s="10" t="n">
        <f aca="false">C18*C19*(1+C20+C21)</f>
        <v>25.8111111111111</v>
      </c>
      <c r="D22" s="10" t="s">
        <v>238</v>
      </c>
      <c r="J22" s="70" t="s">
        <v>247</v>
      </c>
      <c r="L22" s="19" t="n">
        <v>3</v>
      </c>
    </row>
    <row r="23" customFormat="false" ht="15" hidden="false" customHeight="false" outlineLevel="0" collapsed="false">
      <c r="J23" s="70" t="s">
        <v>248</v>
      </c>
      <c r="L23" s="19" t="n">
        <v>2</v>
      </c>
    </row>
    <row r="24" customFormat="false" ht="15" hidden="false" customHeight="false" outlineLevel="0" collapsed="false">
      <c r="B24" s="18" t="s">
        <v>249</v>
      </c>
      <c r="C24" s="10" t="n">
        <f aca="false">C22*1.05</f>
        <v>27.1016666666667</v>
      </c>
      <c r="D24" s="10" t="n">
        <f aca="false">C22*0.95</f>
        <v>24.5205555555556</v>
      </c>
      <c r="J24" s="70" t="s">
        <v>250</v>
      </c>
      <c r="L24" s="19" t="n">
        <v>1</v>
      </c>
    </row>
    <row r="25" customFormat="false" ht="15" hidden="false" customHeight="false" outlineLevel="0" collapsed="false">
      <c r="B25" s="18" t="s">
        <v>251</v>
      </c>
      <c r="C25" s="19" t="n">
        <v>32</v>
      </c>
      <c r="D25" s="10" t="s">
        <v>238</v>
      </c>
      <c r="J25" s="70" t="s">
        <v>252</v>
      </c>
      <c r="L25" s="19" t="n">
        <v>3</v>
      </c>
    </row>
    <row r="26" customFormat="false" ht="15" hidden="false" customHeight="false" outlineLevel="0" collapsed="false">
      <c r="B26" s="18" t="s">
        <v>253</v>
      </c>
      <c r="C26" s="10" t="n">
        <f aca="false">C22-C25</f>
        <v>-6.18888888888889</v>
      </c>
      <c r="D26" s="10" t="s">
        <v>238</v>
      </c>
      <c r="J26" s="70" t="s">
        <v>254</v>
      </c>
      <c r="L26" s="19" t="n">
        <v>4</v>
      </c>
    </row>
    <row r="27" customFormat="false" ht="15" hidden="false" customHeight="false" outlineLevel="0" collapsed="false">
      <c r="B27" s="18" t="s">
        <v>255</v>
      </c>
      <c r="C27" s="10" t="n">
        <f aca="false">K12</f>
        <v>28</v>
      </c>
      <c r="D27" s="10" t="s">
        <v>238</v>
      </c>
      <c r="J27" s="70" t="s">
        <v>256</v>
      </c>
      <c r="L27" s="19" t="n">
        <v>4</v>
      </c>
    </row>
    <row r="28" customFormat="false" ht="15" hidden="false" customHeight="false" outlineLevel="0" collapsed="false">
      <c r="J28" s="70" t="s">
        <v>257</v>
      </c>
      <c r="L28" s="19" t="n">
        <v>4</v>
      </c>
    </row>
    <row r="29" customFormat="false" ht="15" hidden="false" customHeight="false" outlineLevel="0" collapsed="false">
      <c r="J29" s="70" t="s">
        <v>258</v>
      </c>
      <c r="L29" s="19" t="n">
        <v>4</v>
      </c>
    </row>
    <row r="30" customFormat="false" ht="15" hidden="false" customHeight="false" outlineLevel="0" collapsed="false">
      <c r="J30" s="70" t="s">
        <v>259</v>
      </c>
      <c r="L30" s="19" t="n">
        <v>4</v>
      </c>
    </row>
    <row r="31" customFormat="false" ht="15" hidden="false" customHeight="false" outlineLevel="0" collapsed="false">
      <c r="J31" s="18" t="s">
        <v>260</v>
      </c>
      <c r="L31" s="18" t="n">
        <f aca="false">SUM(L17:L30)</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523</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524</v>
      </c>
      <c r="B8" s="67" t="s">
        <v>525</v>
      </c>
      <c r="C8" s="67" t="s">
        <v>526</v>
      </c>
      <c r="D8" s="67" t="n">
        <v>0</v>
      </c>
      <c r="E8" s="67" t="n">
        <v>0</v>
      </c>
      <c r="F8" s="67" t="n">
        <v>1</v>
      </c>
      <c r="G8" s="67" t="n">
        <f aca="false">D8*$D$7+E8*$E$7+F8*$F$7</f>
        <v>5</v>
      </c>
      <c r="H8" s="67" t="s">
        <v>81</v>
      </c>
      <c r="I8" s="67" t="s">
        <v>175</v>
      </c>
      <c r="J8" s="67" t="s">
        <v>176</v>
      </c>
      <c r="K8" s="67" t="n">
        <v>40</v>
      </c>
    </row>
    <row r="9" customFormat="false" ht="60" hidden="false" customHeight="true" outlineLevel="0" collapsed="false">
      <c r="A9" s="67" t="s">
        <v>527</v>
      </c>
      <c r="B9" s="67" t="s">
        <v>528</v>
      </c>
      <c r="C9" s="67" t="s">
        <v>529</v>
      </c>
      <c r="D9" s="67" t="n">
        <v>0</v>
      </c>
      <c r="E9" s="67" t="n">
        <v>0</v>
      </c>
      <c r="F9" s="67" t="n">
        <v>1</v>
      </c>
      <c r="G9" s="67" t="n">
        <f aca="false">D9*$D$7+E9*$E$7+F9*$F$7</f>
        <v>5</v>
      </c>
      <c r="H9" s="67" t="s">
        <v>81</v>
      </c>
      <c r="I9" s="67" t="s">
        <v>175</v>
      </c>
      <c r="J9" s="67" t="s">
        <v>176</v>
      </c>
      <c r="K9" s="67" t="n">
        <v>32</v>
      </c>
    </row>
    <row r="10" customFormat="false" ht="60" hidden="false" customHeight="true" outlineLevel="0" collapsed="false">
      <c r="A10" s="67" t="s">
        <v>530</v>
      </c>
      <c r="B10" s="67" t="s">
        <v>531</v>
      </c>
      <c r="C10" s="67" t="s">
        <v>532</v>
      </c>
      <c r="D10" s="67" t="n">
        <v>0</v>
      </c>
      <c r="E10" s="67" t="n">
        <v>0</v>
      </c>
      <c r="F10" s="67" t="n">
        <v>1</v>
      </c>
      <c r="G10" s="67" t="n">
        <f aca="false">D10*$D$7+E10*$E$7+F10*$F$7</f>
        <v>5</v>
      </c>
      <c r="H10" s="67" t="s">
        <v>79</v>
      </c>
      <c r="I10" s="67" t="s">
        <v>175</v>
      </c>
      <c r="J10" s="67" t="s">
        <v>176</v>
      </c>
      <c r="K10" s="67" t="n">
        <v>32</v>
      </c>
    </row>
    <row r="11" customFormat="false" ht="46.25" hidden="false" customHeight="false" outlineLevel="0" collapsed="false">
      <c r="A11" s="15" t="s">
        <v>533</v>
      </c>
      <c r="B11" s="68"/>
      <c r="C11" s="68"/>
      <c r="D11" s="68"/>
      <c r="E11" s="68"/>
      <c r="F11" s="68"/>
      <c r="G11" s="15" t="n">
        <f aca="false">SUM(G8:G10)</f>
        <v>15</v>
      </c>
      <c r="H11" s="68"/>
      <c r="I11" s="68"/>
      <c r="J11" s="68"/>
      <c r="K11" s="15" t="n">
        <f aca="false">SUM(K8:K10)</f>
        <v>104</v>
      </c>
    </row>
    <row r="14" customFormat="false" ht="15" hidden="false" customHeight="false" outlineLevel="0" collapsed="false">
      <c r="B14" s="18" t="s">
        <v>230</v>
      </c>
      <c r="G14" s="10" t="n">
        <f aca="false">G11</f>
        <v>15</v>
      </c>
      <c r="J14" s="69" t="s">
        <v>231</v>
      </c>
    </row>
    <row r="15" customFormat="false" ht="15" hidden="false" customHeight="false" outlineLevel="0" collapsed="false">
      <c r="B15" s="18" t="s">
        <v>232</v>
      </c>
      <c r="C15" s="19" t="n">
        <v>0.18</v>
      </c>
      <c r="J15" s="18" t="s">
        <v>233</v>
      </c>
      <c r="L15" s="18" t="s">
        <v>234</v>
      </c>
    </row>
    <row r="16" customFormat="false" ht="15" hidden="false" customHeight="false" outlineLevel="0" collapsed="false">
      <c r="B16" s="18" t="s">
        <v>167</v>
      </c>
      <c r="C16" s="10" t="n">
        <f aca="false">G11</f>
        <v>15</v>
      </c>
      <c r="D16" s="10" t="s">
        <v>235</v>
      </c>
      <c r="J16" s="70" t="s">
        <v>236</v>
      </c>
      <c r="L16" s="19" t="n">
        <v>0</v>
      </c>
    </row>
    <row r="17" customFormat="false" ht="15" hidden="false" customHeight="false" outlineLevel="0" collapsed="false">
      <c r="B17" s="18" t="s">
        <v>237</v>
      </c>
      <c r="C17" s="10" t="n">
        <f aca="false">C16/C15</f>
        <v>83.3333333333333</v>
      </c>
      <c r="D17" s="10" t="s">
        <v>238</v>
      </c>
      <c r="J17" s="70" t="s">
        <v>239</v>
      </c>
      <c r="L17" s="19" t="n">
        <v>0</v>
      </c>
    </row>
    <row r="18" customFormat="false" ht="15" hidden="false" customHeight="false" outlineLevel="0" collapsed="false">
      <c r="B18" s="18" t="s">
        <v>240</v>
      </c>
      <c r="C18" s="10" t="n">
        <f aca="false">0.65+0.01*$L$30</f>
        <v>1.01</v>
      </c>
      <c r="J18" s="70" t="s">
        <v>241</v>
      </c>
      <c r="L18" s="19" t="n">
        <v>0</v>
      </c>
    </row>
    <row r="19" customFormat="false" ht="15" hidden="false" customHeight="false" outlineLevel="0" collapsed="false">
      <c r="B19" s="18" t="s">
        <v>242</v>
      </c>
      <c r="C19" s="19" t="n">
        <v>0.05</v>
      </c>
      <c r="J19" s="70" t="s">
        <v>243</v>
      </c>
      <c r="L19" s="19" t="n">
        <v>3</v>
      </c>
    </row>
    <row r="20" customFormat="false" ht="15" hidden="false" customHeight="false" outlineLevel="0" collapsed="false">
      <c r="B20" s="18" t="s">
        <v>244</v>
      </c>
      <c r="C20" s="19" t="n">
        <v>0.1</v>
      </c>
      <c r="J20" s="70" t="s">
        <v>245</v>
      </c>
      <c r="L20" s="19" t="n">
        <v>4</v>
      </c>
    </row>
    <row r="21" customFormat="false" ht="15" hidden="false" customHeight="false" outlineLevel="0" collapsed="false">
      <c r="B21" s="18" t="s">
        <v>246</v>
      </c>
      <c r="C21" s="10" t="n">
        <f aca="false">C17*C18*(1+C19+C20)</f>
        <v>96.7916666666667</v>
      </c>
      <c r="D21" s="10" t="s">
        <v>238</v>
      </c>
      <c r="J21" s="70" t="s">
        <v>247</v>
      </c>
      <c r="L21" s="19" t="n">
        <v>3</v>
      </c>
    </row>
    <row r="22" customFormat="false" ht="15" hidden="false" customHeight="false" outlineLevel="0" collapsed="false">
      <c r="J22" s="70" t="s">
        <v>248</v>
      </c>
      <c r="L22" s="19" t="n">
        <v>2</v>
      </c>
    </row>
    <row r="23" customFormat="false" ht="15" hidden="false" customHeight="false" outlineLevel="0" collapsed="false">
      <c r="B23" s="18" t="s">
        <v>249</v>
      </c>
      <c r="C23" s="10" t="n">
        <f aca="false">C21*1.05</f>
        <v>101.63125</v>
      </c>
      <c r="D23" s="10" t="n">
        <f aca="false">C21*0.95</f>
        <v>91.9520833333334</v>
      </c>
      <c r="J23" s="70" t="s">
        <v>250</v>
      </c>
      <c r="L23" s="19" t="n">
        <v>1</v>
      </c>
    </row>
    <row r="24" customFormat="false" ht="15" hidden="false" customHeight="false" outlineLevel="0" collapsed="false">
      <c r="B24" s="18" t="s">
        <v>251</v>
      </c>
      <c r="C24" s="19" t="n">
        <v>147</v>
      </c>
      <c r="D24" s="10" t="s">
        <v>238</v>
      </c>
      <c r="J24" s="70" t="s">
        <v>252</v>
      </c>
      <c r="L24" s="19" t="n">
        <v>3</v>
      </c>
    </row>
    <row r="25" customFormat="false" ht="15" hidden="false" customHeight="false" outlineLevel="0" collapsed="false">
      <c r="B25" s="18" t="s">
        <v>253</v>
      </c>
      <c r="C25" s="10" t="n">
        <f aca="false">C21-C24</f>
        <v>-50.2083333333333</v>
      </c>
      <c r="D25" s="10" t="s">
        <v>238</v>
      </c>
      <c r="J25" s="70" t="s">
        <v>254</v>
      </c>
      <c r="L25" s="19" t="n">
        <v>4</v>
      </c>
    </row>
    <row r="26" customFormat="false" ht="15" hidden="false" customHeight="false" outlineLevel="0" collapsed="false">
      <c r="B26" s="18" t="s">
        <v>255</v>
      </c>
      <c r="C26" s="10" t="n">
        <f aca="false">K11</f>
        <v>104</v>
      </c>
      <c r="D26" s="10" t="s">
        <v>238</v>
      </c>
      <c r="J26" s="70" t="s">
        <v>256</v>
      </c>
      <c r="L26" s="19" t="n">
        <v>4</v>
      </c>
    </row>
    <row r="27" customFormat="false" ht="15" hidden="false" customHeight="false" outlineLevel="0" collapsed="false">
      <c r="J27" s="70" t="s">
        <v>257</v>
      </c>
      <c r="L27" s="19" t="n">
        <v>4</v>
      </c>
    </row>
    <row r="28" customFormat="false" ht="15" hidden="false" customHeight="false" outlineLevel="0" collapsed="false">
      <c r="J28" s="70" t="s">
        <v>258</v>
      </c>
      <c r="L28" s="19" t="n">
        <v>4</v>
      </c>
    </row>
    <row r="29" customFormat="false" ht="15" hidden="false" customHeight="false" outlineLevel="0" collapsed="false">
      <c r="J29" s="70" t="s">
        <v>259</v>
      </c>
      <c r="L29" s="19" t="n">
        <v>4</v>
      </c>
    </row>
    <row r="30" customFormat="false" ht="15" hidden="false" customHeight="false" outlineLevel="0" collapsed="false">
      <c r="J30" s="18" t="s">
        <v>260</v>
      </c>
      <c r="L30" s="18" t="n">
        <f aca="false">SUM(L16:L29)</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534</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535</v>
      </c>
      <c r="B8" s="67" t="s">
        <v>536</v>
      </c>
      <c r="C8" s="67" t="s">
        <v>537</v>
      </c>
      <c r="D8" s="67" t="n">
        <v>0</v>
      </c>
      <c r="E8" s="67" t="n">
        <v>1</v>
      </c>
      <c r="F8" s="67" t="n">
        <v>0</v>
      </c>
      <c r="G8" s="67" t="n">
        <f aca="false">D8*$D$7+E8*$E$7+F8*$F$7</f>
        <v>3</v>
      </c>
      <c r="H8" s="67" t="s">
        <v>81</v>
      </c>
      <c r="I8" s="67" t="s">
        <v>228</v>
      </c>
      <c r="J8" s="67" t="s">
        <v>197</v>
      </c>
      <c r="K8" s="67" t="n">
        <v>16</v>
      </c>
    </row>
    <row r="9" customFormat="false" ht="60" hidden="false" customHeight="true" outlineLevel="0" collapsed="false">
      <c r="A9" s="67" t="s">
        <v>538</v>
      </c>
      <c r="B9" s="67" t="s">
        <v>539</v>
      </c>
      <c r="C9" s="67" t="s">
        <v>540</v>
      </c>
      <c r="D9" s="67" t="n">
        <v>1</v>
      </c>
      <c r="E9" s="67" t="n">
        <v>0</v>
      </c>
      <c r="F9" s="67" t="n">
        <v>0</v>
      </c>
      <c r="G9" s="67" t="n">
        <f aca="false">D9*$D$7+E9*$E$7+F9*$F$7</f>
        <v>1</v>
      </c>
      <c r="H9" s="67" t="s">
        <v>79</v>
      </c>
      <c r="I9" s="67" t="s">
        <v>175</v>
      </c>
      <c r="J9" s="67" t="s">
        <v>176</v>
      </c>
      <c r="K9" s="67" t="n">
        <v>8</v>
      </c>
    </row>
    <row r="10" customFormat="false" ht="60" hidden="false" customHeight="true" outlineLevel="0" collapsed="false">
      <c r="A10" s="67" t="s">
        <v>541</v>
      </c>
      <c r="B10" s="67" t="s">
        <v>542</v>
      </c>
      <c r="C10" s="67" t="s">
        <v>543</v>
      </c>
      <c r="D10" s="67" t="n">
        <v>1</v>
      </c>
      <c r="E10" s="67" t="n">
        <v>0</v>
      </c>
      <c r="F10" s="67" t="n">
        <v>0</v>
      </c>
      <c r="G10" s="67" t="n">
        <f aca="false">D10*$D$7+E10*$E$7+F10*$F$7</f>
        <v>1</v>
      </c>
      <c r="H10" s="67" t="s">
        <v>79</v>
      </c>
      <c r="I10" s="67" t="s">
        <v>175</v>
      </c>
      <c r="J10" s="67" t="s">
        <v>176</v>
      </c>
      <c r="K10" s="67" t="n">
        <v>6</v>
      </c>
    </row>
    <row r="11" customFormat="false" ht="35.05" hidden="false" customHeight="false" outlineLevel="0" collapsed="false">
      <c r="A11" s="15" t="s">
        <v>544</v>
      </c>
      <c r="B11" s="68"/>
      <c r="C11" s="68"/>
      <c r="D11" s="68"/>
      <c r="E11" s="68"/>
      <c r="F11" s="68"/>
      <c r="G11" s="15" t="n">
        <f aca="false">SUM(G8:G10)</f>
        <v>5</v>
      </c>
      <c r="H11" s="68"/>
      <c r="I11" s="68"/>
      <c r="J11" s="68"/>
      <c r="K11" s="15" t="n">
        <f aca="false">SUM(K8:K10)</f>
        <v>30</v>
      </c>
    </row>
    <row r="14" customFormat="false" ht="15" hidden="false" customHeight="false" outlineLevel="0" collapsed="false">
      <c r="B14" s="18" t="s">
        <v>230</v>
      </c>
      <c r="G14" s="10" t="n">
        <f aca="false">G11</f>
        <v>5</v>
      </c>
      <c r="J14" s="69" t="s">
        <v>231</v>
      </c>
    </row>
    <row r="15" customFormat="false" ht="15" hidden="false" customHeight="false" outlineLevel="0" collapsed="false">
      <c r="B15" s="18" t="s">
        <v>232</v>
      </c>
      <c r="C15" s="19" t="n">
        <v>0.18</v>
      </c>
      <c r="J15" s="18" t="s">
        <v>233</v>
      </c>
      <c r="L15" s="18" t="s">
        <v>234</v>
      </c>
    </row>
    <row r="16" customFormat="false" ht="15" hidden="false" customHeight="false" outlineLevel="0" collapsed="false">
      <c r="B16" s="18" t="s">
        <v>167</v>
      </c>
      <c r="C16" s="10" t="n">
        <f aca="false">G11</f>
        <v>5</v>
      </c>
      <c r="D16" s="10" t="s">
        <v>235</v>
      </c>
      <c r="J16" s="70" t="s">
        <v>236</v>
      </c>
      <c r="L16" s="19" t="n">
        <v>0</v>
      </c>
    </row>
    <row r="17" customFormat="false" ht="15" hidden="false" customHeight="false" outlineLevel="0" collapsed="false">
      <c r="B17" s="18" t="s">
        <v>237</v>
      </c>
      <c r="C17" s="10" t="n">
        <f aca="false">C16/C15</f>
        <v>27.7777777777778</v>
      </c>
      <c r="D17" s="10" t="s">
        <v>238</v>
      </c>
      <c r="J17" s="70" t="s">
        <v>239</v>
      </c>
      <c r="L17" s="19" t="n">
        <v>0</v>
      </c>
    </row>
    <row r="18" customFormat="false" ht="15" hidden="false" customHeight="false" outlineLevel="0" collapsed="false">
      <c r="B18" s="18" t="s">
        <v>240</v>
      </c>
      <c r="C18" s="10" t="n">
        <f aca="false">0.65+0.01*$L$30</f>
        <v>1.01</v>
      </c>
      <c r="J18" s="70" t="s">
        <v>241</v>
      </c>
      <c r="L18" s="19" t="n">
        <v>0</v>
      </c>
    </row>
    <row r="19" customFormat="false" ht="15" hidden="false" customHeight="false" outlineLevel="0" collapsed="false">
      <c r="B19" s="18" t="s">
        <v>242</v>
      </c>
      <c r="C19" s="19" t="n">
        <v>0.05</v>
      </c>
      <c r="J19" s="70" t="s">
        <v>243</v>
      </c>
      <c r="L19" s="19" t="n">
        <v>3</v>
      </c>
    </row>
    <row r="20" customFormat="false" ht="15" hidden="false" customHeight="false" outlineLevel="0" collapsed="false">
      <c r="B20" s="18" t="s">
        <v>244</v>
      </c>
      <c r="C20" s="19" t="n">
        <v>0.1</v>
      </c>
      <c r="J20" s="70" t="s">
        <v>245</v>
      </c>
      <c r="L20" s="19" t="n">
        <v>4</v>
      </c>
    </row>
    <row r="21" customFormat="false" ht="15" hidden="false" customHeight="false" outlineLevel="0" collapsed="false">
      <c r="B21" s="18" t="s">
        <v>246</v>
      </c>
      <c r="C21" s="10" t="n">
        <f aca="false">C17*C18*(1+C19+C20)</f>
        <v>32.2638888888889</v>
      </c>
      <c r="D21" s="10" t="s">
        <v>238</v>
      </c>
      <c r="J21" s="70" t="s">
        <v>247</v>
      </c>
      <c r="L21" s="19" t="n">
        <v>3</v>
      </c>
    </row>
    <row r="22" customFormat="false" ht="15" hidden="false" customHeight="false" outlineLevel="0" collapsed="false">
      <c r="J22" s="70" t="s">
        <v>248</v>
      </c>
      <c r="L22" s="19" t="n">
        <v>2</v>
      </c>
    </row>
    <row r="23" customFormat="false" ht="15" hidden="false" customHeight="false" outlineLevel="0" collapsed="false">
      <c r="B23" s="18" t="s">
        <v>249</v>
      </c>
      <c r="C23" s="10" t="n">
        <f aca="false">C21*1.05</f>
        <v>33.8770833333333</v>
      </c>
      <c r="D23" s="10" t="n">
        <f aca="false">C21*0.95</f>
        <v>30.6506944444444</v>
      </c>
      <c r="J23" s="70" t="s">
        <v>250</v>
      </c>
      <c r="L23" s="19" t="n">
        <v>1</v>
      </c>
    </row>
    <row r="24" customFormat="false" ht="15" hidden="false" customHeight="false" outlineLevel="0" collapsed="false">
      <c r="B24" s="18" t="s">
        <v>251</v>
      </c>
      <c r="C24" s="19" t="n">
        <v>16</v>
      </c>
      <c r="D24" s="10" t="s">
        <v>238</v>
      </c>
      <c r="J24" s="70" t="s">
        <v>252</v>
      </c>
      <c r="L24" s="19" t="n">
        <v>3</v>
      </c>
    </row>
    <row r="25" customFormat="false" ht="15" hidden="false" customHeight="false" outlineLevel="0" collapsed="false">
      <c r="B25" s="18" t="s">
        <v>253</v>
      </c>
      <c r="C25" s="10" t="n">
        <f aca="false">C21-C24</f>
        <v>16.2638888888889</v>
      </c>
      <c r="D25" s="10" t="s">
        <v>238</v>
      </c>
      <c r="J25" s="70" t="s">
        <v>254</v>
      </c>
      <c r="L25" s="19" t="n">
        <v>4</v>
      </c>
    </row>
    <row r="26" customFormat="false" ht="15" hidden="false" customHeight="false" outlineLevel="0" collapsed="false">
      <c r="B26" s="18" t="s">
        <v>255</v>
      </c>
      <c r="C26" s="10" t="n">
        <f aca="false">K11</f>
        <v>30</v>
      </c>
      <c r="D26" s="10" t="s">
        <v>238</v>
      </c>
      <c r="J26" s="70" t="s">
        <v>256</v>
      </c>
      <c r="L26" s="19" t="n">
        <v>4</v>
      </c>
    </row>
    <row r="27" customFormat="false" ht="15" hidden="false" customHeight="false" outlineLevel="0" collapsed="false">
      <c r="J27" s="70" t="s">
        <v>257</v>
      </c>
      <c r="L27" s="19" t="n">
        <v>4</v>
      </c>
    </row>
    <row r="28" customFormat="false" ht="15" hidden="false" customHeight="false" outlineLevel="0" collapsed="false">
      <c r="J28" s="70" t="s">
        <v>258</v>
      </c>
      <c r="L28" s="19" t="n">
        <v>4</v>
      </c>
    </row>
    <row r="29" customFormat="false" ht="15" hidden="false" customHeight="false" outlineLevel="0" collapsed="false">
      <c r="J29" s="70" t="s">
        <v>259</v>
      </c>
      <c r="L29" s="19" t="n">
        <v>4</v>
      </c>
    </row>
    <row r="30" customFormat="false" ht="15" hidden="false" customHeight="false" outlineLevel="0" collapsed="false">
      <c r="J30" s="18" t="s">
        <v>260</v>
      </c>
      <c r="L30" s="18" t="n">
        <f aca="false">SUM(L16:L29)</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545</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546</v>
      </c>
      <c r="B8" s="67" t="s">
        <v>547</v>
      </c>
      <c r="C8" s="67" t="s">
        <v>548</v>
      </c>
      <c r="D8" s="67" t="n">
        <v>0</v>
      </c>
      <c r="E8" s="67" t="n">
        <v>1</v>
      </c>
      <c r="F8" s="67" t="n">
        <v>0</v>
      </c>
      <c r="G8" s="67" t="n">
        <f aca="false">D8*$D$7+E8*$E$7+F8*$F$7</f>
        <v>3</v>
      </c>
      <c r="H8" s="67" t="s">
        <v>79</v>
      </c>
      <c r="I8" s="67" t="s">
        <v>175</v>
      </c>
      <c r="J8" s="67" t="s">
        <v>176</v>
      </c>
      <c r="K8" s="67" t="n">
        <v>12</v>
      </c>
    </row>
    <row r="9" customFormat="false" ht="60" hidden="false" customHeight="true" outlineLevel="0" collapsed="false">
      <c r="A9" s="67" t="s">
        <v>549</v>
      </c>
      <c r="B9" s="67" t="s">
        <v>550</v>
      </c>
      <c r="C9" s="67" t="s">
        <v>551</v>
      </c>
      <c r="D9" s="67" t="n">
        <v>0</v>
      </c>
      <c r="E9" s="67" t="n">
        <v>1</v>
      </c>
      <c r="F9" s="67" t="n">
        <v>0</v>
      </c>
      <c r="G9" s="67" t="n">
        <f aca="false">D9*$D$7+E9*$E$7+F9*$F$7</f>
        <v>3</v>
      </c>
      <c r="H9" s="67" t="s">
        <v>77</v>
      </c>
      <c r="I9" s="67" t="s">
        <v>175</v>
      </c>
      <c r="J9" s="67" t="s">
        <v>176</v>
      </c>
      <c r="K9" s="67" t="n">
        <v>10</v>
      </c>
    </row>
    <row r="10" customFormat="false" ht="35.05" hidden="false" customHeight="false" outlineLevel="0" collapsed="false">
      <c r="A10" s="15" t="s">
        <v>552</v>
      </c>
      <c r="B10" s="68"/>
      <c r="C10" s="68"/>
      <c r="D10" s="68"/>
      <c r="E10" s="68"/>
      <c r="F10" s="68"/>
      <c r="G10" s="15" t="n">
        <f aca="false">SUM(G8:G9)</f>
        <v>6</v>
      </c>
      <c r="H10" s="68"/>
      <c r="I10" s="68"/>
      <c r="J10" s="68"/>
      <c r="K10" s="15" t="n">
        <f aca="false">SUM(K8:K9)</f>
        <v>22</v>
      </c>
    </row>
    <row r="13" customFormat="false" ht="15" hidden="false" customHeight="false" outlineLevel="0" collapsed="false">
      <c r="B13" s="18" t="s">
        <v>230</v>
      </c>
      <c r="G13" s="10" t="n">
        <f aca="false">G10</f>
        <v>6</v>
      </c>
      <c r="J13" s="69" t="s">
        <v>231</v>
      </c>
    </row>
    <row r="14" customFormat="false" ht="15" hidden="false" customHeight="false" outlineLevel="0" collapsed="false">
      <c r="B14" s="18" t="s">
        <v>232</v>
      </c>
      <c r="C14" s="19" t="n">
        <v>0.18</v>
      </c>
      <c r="J14" s="18" t="s">
        <v>233</v>
      </c>
      <c r="L14" s="18" t="s">
        <v>234</v>
      </c>
    </row>
    <row r="15" customFormat="false" ht="15" hidden="false" customHeight="false" outlineLevel="0" collapsed="false">
      <c r="B15" s="18" t="s">
        <v>167</v>
      </c>
      <c r="C15" s="10" t="n">
        <f aca="false">G10</f>
        <v>6</v>
      </c>
      <c r="D15" s="10" t="s">
        <v>235</v>
      </c>
      <c r="J15" s="70" t="s">
        <v>236</v>
      </c>
      <c r="L15" s="19" t="n">
        <v>0</v>
      </c>
    </row>
    <row r="16" customFormat="false" ht="15" hidden="false" customHeight="false" outlineLevel="0" collapsed="false">
      <c r="B16" s="18" t="s">
        <v>237</v>
      </c>
      <c r="C16" s="10" t="n">
        <f aca="false">C15/C14</f>
        <v>33.3333333333333</v>
      </c>
      <c r="D16" s="10" t="s">
        <v>238</v>
      </c>
      <c r="J16" s="70" t="s">
        <v>239</v>
      </c>
      <c r="L16" s="19" t="n">
        <v>0</v>
      </c>
    </row>
    <row r="17" customFormat="false" ht="15" hidden="false" customHeight="false" outlineLevel="0" collapsed="false">
      <c r="B17" s="18" t="s">
        <v>240</v>
      </c>
      <c r="C17" s="10" t="n">
        <f aca="false">0.65+0.01*$L$29</f>
        <v>1.01</v>
      </c>
      <c r="J17" s="70" t="s">
        <v>241</v>
      </c>
      <c r="L17" s="19" t="n">
        <v>0</v>
      </c>
    </row>
    <row r="18" customFormat="false" ht="15" hidden="false" customHeight="false" outlineLevel="0" collapsed="false">
      <c r="B18" s="18" t="s">
        <v>242</v>
      </c>
      <c r="C18" s="19" t="n">
        <v>0.05</v>
      </c>
      <c r="J18" s="70" t="s">
        <v>243</v>
      </c>
      <c r="L18" s="19" t="n">
        <v>3</v>
      </c>
    </row>
    <row r="19" customFormat="false" ht="15" hidden="false" customHeight="false" outlineLevel="0" collapsed="false">
      <c r="B19" s="18" t="s">
        <v>244</v>
      </c>
      <c r="C19" s="19" t="n">
        <v>0.1</v>
      </c>
      <c r="J19" s="70" t="s">
        <v>245</v>
      </c>
      <c r="L19" s="19" t="n">
        <v>4</v>
      </c>
    </row>
    <row r="20" customFormat="false" ht="15" hidden="false" customHeight="false" outlineLevel="0" collapsed="false">
      <c r="B20" s="18" t="s">
        <v>246</v>
      </c>
      <c r="C20" s="10" t="n">
        <f aca="false">C16*C17*(1+C18+C19)</f>
        <v>38.7166666666667</v>
      </c>
      <c r="D20" s="10" t="s">
        <v>238</v>
      </c>
      <c r="J20" s="70" t="s">
        <v>247</v>
      </c>
      <c r="L20" s="19" t="n">
        <v>3</v>
      </c>
    </row>
    <row r="21" customFormat="false" ht="15" hidden="false" customHeight="false" outlineLevel="0" collapsed="false">
      <c r="J21" s="70" t="s">
        <v>248</v>
      </c>
      <c r="L21" s="19" t="n">
        <v>2</v>
      </c>
    </row>
    <row r="22" customFormat="false" ht="15" hidden="false" customHeight="false" outlineLevel="0" collapsed="false">
      <c r="B22" s="18" t="s">
        <v>249</v>
      </c>
      <c r="C22" s="10" t="n">
        <f aca="false">C20*1.05</f>
        <v>40.6525</v>
      </c>
      <c r="D22" s="10" t="n">
        <f aca="false">C20*0.95</f>
        <v>36.7808333333333</v>
      </c>
      <c r="J22" s="70" t="s">
        <v>250</v>
      </c>
      <c r="L22" s="19" t="n">
        <v>1</v>
      </c>
    </row>
    <row r="23" customFormat="false" ht="15" hidden="false" customHeight="false" outlineLevel="0" collapsed="false">
      <c r="B23" s="18" t="s">
        <v>251</v>
      </c>
      <c r="C23" s="19" t="n">
        <v>16</v>
      </c>
      <c r="D23" s="10" t="s">
        <v>238</v>
      </c>
      <c r="J23" s="70" t="s">
        <v>252</v>
      </c>
      <c r="L23" s="19" t="n">
        <v>3</v>
      </c>
    </row>
    <row r="24" customFormat="false" ht="15" hidden="false" customHeight="false" outlineLevel="0" collapsed="false">
      <c r="B24" s="18" t="s">
        <v>253</v>
      </c>
      <c r="C24" s="10" t="n">
        <f aca="false">C20-C23</f>
        <v>22.7166666666667</v>
      </c>
      <c r="D24" s="10" t="s">
        <v>238</v>
      </c>
      <c r="J24" s="70" t="s">
        <v>254</v>
      </c>
      <c r="L24" s="19" t="n">
        <v>4</v>
      </c>
    </row>
    <row r="25" customFormat="false" ht="15" hidden="false" customHeight="false" outlineLevel="0" collapsed="false">
      <c r="B25" s="18" t="s">
        <v>255</v>
      </c>
      <c r="C25" s="10" t="n">
        <f aca="false">K10</f>
        <v>22</v>
      </c>
      <c r="D25" s="10" t="s">
        <v>238</v>
      </c>
      <c r="J25" s="70" t="s">
        <v>256</v>
      </c>
      <c r="L25" s="19" t="n">
        <v>4</v>
      </c>
    </row>
    <row r="26" customFormat="false" ht="15" hidden="false" customHeight="false" outlineLevel="0" collapsed="false">
      <c r="J26" s="70" t="s">
        <v>257</v>
      </c>
      <c r="L26" s="19" t="n">
        <v>4</v>
      </c>
    </row>
    <row r="27" customFormat="false" ht="15" hidden="false" customHeight="false" outlineLevel="0" collapsed="false">
      <c r="J27" s="70" t="s">
        <v>258</v>
      </c>
      <c r="L27" s="19" t="n">
        <v>4</v>
      </c>
    </row>
    <row r="28" customFormat="false" ht="15" hidden="false" customHeight="false" outlineLevel="0" collapsed="false">
      <c r="J28" s="70" t="s">
        <v>259</v>
      </c>
      <c r="L28" s="19" t="n">
        <v>4</v>
      </c>
    </row>
    <row r="29" customFormat="false" ht="15" hidden="false" customHeight="false" outlineLevel="0" collapsed="false">
      <c r="J29" s="18" t="s">
        <v>260</v>
      </c>
      <c r="L29" s="18" t="n">
        <f aca="false">SUM(L15:L28)</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553</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554</v>
      </c>
      <c r="B8" s="67" t="s">
        <v>555</v>
      </c>
      <c r="C8" s="67" t="s">
        <v>556</v>
      </c>
      <c r="D8" s="67" t="n">
        <v>1</v>
      </c>
      <c r="E8" s="67" t="n">
        <v>0</v>
      </c>
      <c r="F8" s="67" t="n">
        <v>0</v>
      </c>
      <c r="G8" s="67" t="n">
        <f aca="false">D8*$D$7+E8*$E$7+F8*$F$7</f>
        <v>1</v>
      </c>
      <c r="H8" s="67" t="s">
        <v>79</v>
      </c>
      <c r="I8" s="67" t="s">
        <v>175</v>
      </c>
      <c r="J8" s="67" t="s">
        <v>197</v>
      </c>
      <c r="K8" s="67" t="n">
        <v>6</v>
      </c>
    </row>
    <row r="9" customFormat="false" ht="60" hidden="false" customHeight="true" outlineLevel="0" collapsed="false">
      <c r="A9" s="67" t="s">
        <v>557</v>
      </c>
      <c r="B9" s="67" t="s">
        <v>558</v>
      </c>
      <c r="C9" s="67" t="s">
        <v>559</v>
      </c>
      <c r="D9" s="67" t="n">
        <v>1</v>
      </c>
      <c r="E9" s="67" t="n">
        <v>0</v>
      </c>
      <c r="F9" s="67" t="n">
        <v>0</v>
      </c>
      <c r="G9" s="67" t="n">
        <f aca="false">D9*$D$7+E9*$E$7+F9*$F$7</f>
        <v>1</v>
      </c>
      <c r="H9" s="67" t="s">
        <v>79</v>
      </c>
      <c r="I9" s="67" t="s">
        <v>175</v>
      </c>
      <c r="J9" s="67" t="s">
        <v>197</v>
      </c>
      <c r="K9" s="67" t="n">
        <v>8</v>
      </c>
    </row>
    <row r="10" customFormat="false" ht="35.05" hidden="false" customHeight="false" outlineLevel="0" collapsed="false">
      <c r="A10" s="15" t="s">
        <v>560</v>
      </c>
      <c r="B10" s="68"/>
      <c r="C10" s="68"/>
      <c r="D10" s="68"/>
      <c r="E10" s="68"/>
      <c r="F10" s="68"/>
      <c r="G10" s="15" t="n">
        <f aca="false">SUM(G8:G9)</f>
        <v>2</v>
      </c>
      <c r="H10" s="68"/>
      <c r="I10" s="68"/>
      <c r="J10" s="68"/>
      <c r="K10" s="15" t="n">
        <f aca="false">SUM(K8:K9)</f>
        <v>14</v>
      </c>
    </row>
    <row r="13" customFormat="false" ht="15" hidden="false" customHeight="false" outlineLevel="0" collapsed="false">
      <c r="B13" s="18" t="s">
        <v>230</v>
      </c>
      <c r="G13" s="10" t="n">
        <f aca="false">G10</f>
        <v>2</v>
      </c>
      <c r="J13" s="69" t="s">
        <v>231</v>
      </c>
    </row>
    <row r="14" customFormat="false" ht="15" hidden="false" customHeight="false" outlineLevel="0" collapsed="false">
      <c r="B14" s="18" t="s">
        <v>232</v>
      </c>
      <c r="C14" s="19" t="n">
        <v>0.18</v>
      </c>
      <c r="J14" s="18" t="s">
        <v>233</v>
      </c>
      <c r="L14" s="18" t="s">
        <v>234</v>
      </c>
    </row>
    <row r="15" customFormat="false" ht="15" hidden="false" customHeight="false" outlineLevel="0" collapsed="false">
      <c r="B15" s="18" t="s">
        <v>167</v>
      </c>
      <c r="C15" s="10" t="n">
        <f aca="false">G10</f>
        <v>2</v>
      </c>
      <c r="D15" s="10" t="s">
        <v>235</v>
      </c>
      <c r="J15" s="70" t="s">
        <v>236</v>
      </c>
      <c r="L15" s="19" t="n">
        <v>0</v>
      </c>
    </row>
    <row r="16" customFormat="false" ht="15" hidden="false" customHeight="false" outlineLevel="0" collapsed="false">
      <c r="B16" s="18" t="s">
        <v>237</v>
      </c>
      <c r="C16" s="10" t="n">
        <f aca="false">C15/C14</f>
        <v>11.1111111111111</v>
      </c>
      <c r="D16" s="10" t="s">
        <v>238</v>
      </c>
      <c r="J16" s="70" t="s">
        <v>239</v>
      </c>
      <c r="L16" s="19" t="n">
        <v>0</v>
      </c>
    </row>
    <row r="17" customFormat="false" ht="15" hidden="false" customHeight="false" outlineLevel="0" collapsed="false">
      <c r="B17" s="18" t="s">
        <v>240</v>
      </c>
      <c r="C17" s="10" t="n">
        <f aca="false">0.65+0.01*$L$29</f>
        <v>1.01</v>
      </c>
      <c r="J17" s="70" t="s">
        <v>241</v>
      </c>
      <c r="L17" s="19" t="n">
        <v>0</v>
      </c>
    </row>
    <row r="18" customFormat="false" ht="15" hidden="false" customHeight="false" outlineLevel="0" collapsed="false">
      <c r="B18" s="18" t="s">
        <v>242</v>
      </c>
      <c r="C18" s="19" t="n">
        <v>0.05</v>
      </c>
      <c r="J18" s="70" t="s">
        <v>243</v>
      </c>
      <c r="L18" s="19" t="n">
        <v>3</v>
      </c>
    </row>
    <row r="19" customFormat="false" ht="15" hidden="false" customHeight="false" outlineLevel="0" collapsed="false">
      <c r="B19" s="18" t="s">
        <v>244</v>
      </c>
      <c r="C19" s="19" t="n">
        <v>0.1</v>
      </c>
      <c r="J19" s="70" t="s">
        <v>245</v>
      </c>
      <c r="L19" s="19" t="n">
        <v>4</v>
      </c>
    </row>
    <row r="20" customFormat="false" ht="15" hidden="false" customHeight="false" outlineLevel="0" collapsed="false">
      <c r="B20" s="18" t="s">
        <v>246</v>
      </c>
      <c r="C20" s="10" t="n">
        <f aca="false">C16*C17*(1+C18+C19)</f>
        <v>12.9055555555556</v>
      </c>
      <c r="D20" s="10" t="s">
        <v>238</v>
      </c>
      <c r="J20" s="70" t="s">
        <v>247</v>
      </c>
      <c r="L20" s="19" t="n">
        <v>3</v>
      </c>
    </row>
    <row r="21" customFormat="false" ht="15" hidden="false" customHeight="false" outlineLevel="0" collapsed="false">
      <c r="J21" s="70" t="s">
        <v>248</v>
      </c>
      <c r="L21" s="19" t="n">
        <v>2</v>
      </c>
    </row>
    <row r="22" customFormat="false" ht="15" hidden="false" customHeight="false" outlineLevel="0" collapsed="false">
      <c r="B22" s="18" t="s">
        <v>249</v>
      </c>
      <c r="C22" s="10" t="n">
        <f aca="false">C20*1.05</f>
        <v>13.5508333333333</v>
      </c>
      <c r="D22" s="10" t="n">
        <f aca="false">C20*0.95</f>
        <v>12.2602777777778</v>
      </c>
      <c r="J22" s="70" t="s">
        <v>250</v>
      </c>
      <c r="L22" s="19" t="n">
        <v>1</v>
      </c>
    </row>
    <row r="23" customFormat="false" ht="15" hidden="false" customHeight="false" outlineLevel="0" collapsed="false">
      <c r="B23" s="18" t="s">
        <v>251</v>
      </c>
      <c r="C23" s="19" t="n">
        <v>7</v>
      </c>
      <c r="D23" s="10" t="s">
        <v>238</v>
      </c>
      <c r="J23" s="70" t="s">
        <v>252</v>
      </c>
      <c r="L23" s="19" t="n">
        <v>3</v>
      </c>
    </row>
    <row r="24" customFormat="false" ht="15" hidden="false" customHeight="false" outlineLevel="0" collapsed="false">
      <c r="B24" s="18" t="s">
        <v>253</v>
      </c>
      <c r="C24" s="10" t="n">
        <f aca="false">C20-C23</f>
        <v>5.90555555555556</v>
      </c>
      <c r="D24" s="10" t="s">
        <v>238</v>
      </c>
      <c r="J24" s="70" t="s">
        <v>254</v>
      </c>
      <c r="L24" s="19" t="n">
        <v>4</v>
      </c>
    </row>
    <row r="25" customFormat="false" ht="15" hidden="false" customHeight="false" outlineLevel="0" collapsed="false">
      <c r="B25" s="18" t="s">
        <v>255</v>
      </c>
      <c r="C25" s="10" t="n">
        <f aca="false">K10</f>
        <v>14</v>
      </c>
      <c r="D25" s="10" t="s">
        <v>238</v>
      </c>
      <c r="J25" s="70" t="s">
        <v>256</v>
      </c>
      <c r="L25" s="19" t="n">
        <v>4</v>
      </c>
    </row>
    <row r="26" customFormat="false" ht="15" hidden="false" customHeight="false" outlineLevel="0" collapsed="false">
      <c r="J26" s="70" t="s">
        <v>257</v>
      </c>
      <c r="L26" s="19" t="n">
        <v>4</v>
      </c>
    </row>
    <row r="27" customFormat="false" ht="15" hidden="false" customHeight="false" outlineLevel="0" collapsed="false">
      <c r="J27" s="70" t="s">
        <v>258</v>
      </c>
      <c r="L27" s="19" t="n">
        <v>4</v>
      </c>
    </row>
    <row r="28" customFormat="false" ht="15" hidden="false" customHeight="false" outlineLevel="0" collapsed="false">
      <c r="J28" s="70" t="s">
        <v>259</v>
      </c>
      <c r="L28" s="19" t="n">
        <v>4</v>
      </c>
    </row>
    <row r="29" customFormat="false" ht="15" hidden="false" customHeight="false" outlineLevel="0" collapsed="false">
      <c r="J29" s="18" t="s">
        <v>260</v>
      </c>
      <c r="L29" s="18" t="n">
        <f aca="false">SUM(L15:L28)</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561</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562</v>
      </c>
      <c r="B8" s="67" t="s">
        <v>563</v>
      </c>
      <c r="C8" s="67" t="s">
        <v>564</v>
      </c>
      <c r="D8" s="67" t="n">
        <v>0</v>
      </c>
      <c r="E8" s="67" t="n">
        <v>1</v>
      </c>
      <c r="F8" s="67" t="n">
        <v>0</v>
      </c>
      <c r="G8" s="67" t="n">
        <f aca="false">D8*$D$7+E8*$E$7+F8*$F$7</f>
        <v>3</v>
      </c>
      <c r="H8" s="67" t="s">
        <v>79</v>
      </c>
      <c r="I8" s="67" t="s">
        <v>175</v>
      </c>
      <c r="J8" s="67" t="s">
        <v>176</v>
      </c>
      <c r="K8" s="67" t="n">
        <v>12</v>
      </c>
    </row>
    <row r="9" customFormat="false" ht="60" hidden="false" customHeight="true" outlineLevel="0" collapsed="false">
      <c r="A9" s="67" t="s">
        <v>565</v>
      </c>
      <c r="B9" s="67" t="s">
        <v>566</v>
      </c>
      <c r="C9" s="67" t="s">
        <v>567</v>
      </c>
      <c r="D9" s="67" t="n">
        <v>1</v>
      </c>
      <c r="E9" s="67" t="n">
        <v>0</v>
      </c>
      <c r="F9" s="67" t="n">
        <v>0</v>
      </c>
      <c r="G9" s="67" t="n">
        <f aca="false">D9*$D$7+E9*$E$7+F9*$F$7</f>
        <v>1</v>
      </c>
      <c r="H9" s="67" t="s">
        <v>77</v>
      </c>
      <c r="I9" s="67" t="s">
        <v>175</v>
      </c>
      <c r="J9" s="67" t="s">
        <v>176</v>
      </c>
      <c r="K9" s="67" t="n">
        <v>6</v>
      </c>
    </row>
    <row r="10" customFormat="false" ht="23.85" hidden="false" customHeight="false" outlineLevel="0" collapsed="false">
      <c r="A10" s="15" t="s">
        <v>568</v>
      </c>
      <c r="B10" s="68"/>
      <c r="C10" s="68"/>
      <c r="D10" s="68"/>
      <c r="E10" s="68"/>
      <c r="F10" s="68"/>
      <c r="G10" s="15" t="n">
        <f aca="false">SUM(G8:G9)</f>
        <v>4</v>
      </c>
      <c r="H10" s="68"/>
      <c r="I10" s="68"/>
      <c r="J10" s="68"/>
      <c r="K10" s="15" t="n">
        <f aca="false">SUM(K8:K9)</f>
        <v>18</v>
      </c>
    </row>
    <row r="13" customFormat="false" ht="15" hidden="false" customHeight="false" outlineLevel="0" collapsed="false">
      <c r="B13" s="18" t="s">
        <v>230</v>
      </c>
      <c r="G13" s="10" t="n">
        <f aca="false">G10</f>
        <v>4</v>
      </c>
      <c r="J13" s="69" t="s">
        <v>231</v>
      </c>
    </row>
    <row r="14" customFormat="false" ht="15" hidden="false" customHeight="false" outlineLevel="0" collapsed="false">
      <c r="B14" s="18" t="s">
        <v>232</v>
      </c>
      <c r="C14" s="19" t="n">
        <v>0.18</v>
      </c>
      <c r="J14" s="18" t="s">
        <v>233</v>
      </c>
      <c r="L14" s="18" t="s">
        <v>234</v>
      </c>
    </row>
    <row r="15" customFormat="false" ht="15" hidden="false" customHeight="false" outlineLevel="0" collapsed="false">
      <c r="B15" s="18" t="s">
        <v>167</v>
      </c>
      <c r="C15" s="10" t="n">
        <f aca="false">G10</f>
        <v>4</v>
      </c>
      <c r="D15" s="10" t="s">
        <v>235</v>
      </c>
      <c r="J15" s="70" t="s">
        <v>236</v>
      </c>
      <c r="L15" s="19" t="n">
        <v>0</v>
      </c>
    </row>
    <row r="16" customFormat="false" ht="15" hidden="false" customHeight="false" outlineLevel="0" collapsed="false">
      <c r="B16" s="18" t="s">
        <v>237</v>
      </c>
      <c r="C16" s="10" t="n">
        <f aca="false">C15/C14</f>
        <v>22.2222222222222</v>
      </c>
      <c r="D16" s="10" t="s">
        <v>238</v>
      </c>
      <c r="J16" s="70" t="s">
        <v>239</v>
      </c>
      <c r="L16" s="19" t="n">
        <v>0</v>
      </c>
    </row>
    <row r="17" customFormat="false" ht="15" hidden="false" customHeight="false" outlineLevel="0" collapsed="false">
      <c r="B17" s="18" t="s">
        <v>240</v>
      </c>
      <c r="C17" s="10" t="n">
        <f aca="false">0.65+0.01*$L$29</f>
        <v>1.01</v>
      </c>
      <c r="J17" s="70" t="s">
        <v>241</v>
      </c>
      <c r="L17" s="19" t="n">
        <v>0</v>
      </c>
    </row>
    <row r="18" customFormat="false" ht="15" hidden="false" customHeight="false" outlineLevel="0" collapsed="false">
      <c r="B18" s="18" t="s">
        <v>242</v>
      </c>
      <c r="C18" s="19" t="n">
        <v>0.05</v>
      </c>
      <c r="J18" s="70" t="s">
        <v>243</v>
      </c>
      <c r="L18" s="19" t="n">
        <v>3</v>
      </c>
    </row>
    <row r="19" customFormat="false" ht="15" hidden="false" customHeight="false" outlineLevel="0" collapsed="false">
      <c r="B19" s="18" t="s">
        <v>244</v>
      </c>
      <c r="C19" s="19" t="n">
        <v>0.1</v>
      </c>
      <c r="J19" s="70" t="s">
        <v>245</v>
      </c>
      <c r="L19" s="19" t="n">
        <v>4</v>
      </c>
    </row>
    <row r="20" customFormat="false" ht="15" hidden="false" customHeight="false" outlineLevel="0" collapsed="false">
      <c r="B20" s="18" t="s">
        <v>246</v>
      </c>
      <c r="C20" s="10" t="n">
        <f aca="false">C16*C17*(1+C18+C19)</f>
        <v>25.8111111111111</v>
      </c>
      <c r="D20" s="10" t="s">
        <v>238</v>
      </c>
      <c r="J20" s="70" t="s">
        <v>247</v>
      </c>
      <c r="L20" s="19" t="n">
        <v>3</v>
      </c>
    </row>
    <row r="21" customFormat="false" ht="15" hidden="false" customHeight="false" outlineLevel="0" collapsed="false">
      <c r="J21" s="70" t="s">
        <v>248</v>
      </c>
      <c r="L21" s="19" t="n">
        <v>2</v>
      </c>
    </row>
    <row r="22" customFormat="false" ht="15" hidden="false" customHeight="false" outlineLevel="0" collapsed="false">
      <c r="B22" s="18" t="s">
        <v>249</v>
      </c>
      <c r="C22" s="10" t="n">
        <f aca="false">C20*1.05</f>
        <v>27.1016666666667</v>
      </c>
      <c r="D22" s="10" t="n">
        <f aca="false">C20*0.95</f>
        <v>24.5205555555556</v>
      </c>
      <c r="J22" s="70" t="s">
        <v>250</v>
      </c>
      <c r="L22" s="19" t="n">
        <v>1</v>
      </c>
    </row>
    <row r="23" customFormat="false" ht="15" hidden="false" customHeight="false" outlineLevel="0" collapsed="false">
      <c r="B23" s="18" t="s">
        <v>251</v>
      </c>
      <c r="C23" s="19" t="n">
        <v>20</v>
      </c>
      <c r="D23" s="10" t="s">
        <v>238</v>
      </c>
      <c r="J23" s="70" t="s">
        <v>252</v>
      </c>
      <c r="L23" s="19" t="n">
        <v>3</v>
      </c>
    </row>
    <row r="24" customFormat="false" ht="15" hidden="false" customHeight="false" outlineLevel="0" collapsed="false">
      <c r="B24" s="18" t="s">
        <v>253</v>
      </c>
      <c r="C24" s="10" t="n">
        <f aca="false">C20-C23</f>
        <v>5.81111111111111</v>
      </c>
      <c r="D24" s="10" t="s">
        <v>238</v>
      </c>
      <c r="J24" s="70" t="s">
        <v>254</v>
      </c>
      <c r="L24" s="19" t="n">
        <v>4</v>
      </c>
    </row>
    <row r="25" customFormat="false" ht="15" hidden="false" customHeight="false" outlineLevel="0" collapsed="false">
      <c r="B25" s="18" t="s">
        <v>255</v>
      </c>
      <c r="C25" s="10" t="n">
        <f aca="false">K10</f>
        <v>18</v>
      </c>
      <c r="D25" s="10" t="s">
        <v>238</v>
      </c>
      <c r="J25" s="70" t="s">
        <v>256</v>
      </c>
      <c r="L25" s="19" t="n">
        <v>4</v>
      </c>
    </row>
    <row r="26" customFormat="false" ht="15" hidden="false" customHeight="false" outlineLevel="0" collapsed="false">
      <c r="J26" s="70" t="s">
        <v>257</v>
      </c>
      <c r="L26" s="19" t="n">
        <v>4</v>
      </c>
    </row>
    <row r="27" customFormat="false" ht="15" hidden="false" customHeight="false" outlineLevel="0" collapsed="false">
      <c r="J27" s="70" t="s">
        <v>258</v>
      </c>
      <c r="L27" s="19" t="n">
        <v>4</v>
      </c>
    </row>
    <row r="28" customFormat="false" ht="15" hidden="false" customHeight="false" outlineLevel="0" collapsed="false">
      <c r="J28" s="70" t="s">
        <v>259</v>
      </c>
      <c r="L28" s="19" t="n">
        <v>4</v>
      </c>
    </row>
    <row r="29" customFormat="false" ht="15" hidden="false" customHeight="false" outlineLevel="0" collapsed="false">
      <c r="J29" s="18" t="s">
        <v>260</v>
      </c>
      <c r="L29" s="18" t="n">
        <f aca="false">SUM(L15:L28)</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569</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570</v>
      </c>
      <c r="B8" s="67" t="s">
        <v>571</v>
      </c>
      <c r="C8" s="67" t="s">
        <v>572</v>
      </c>
      <c r="D8" s="67" t="n">
        <v>0</v>
      </c>
      <c r="E8" s="67" t="n">
        <v>1</v>
      </c>
      <c r="F8" s="67" t="n">
        <v>0</v>
      </c>
      <c r="G8" s="67" t="n">
        <f aca="false">D8*$D$7+E8*$E$7+F8*$F$7</f>
        <v>3</v>
      </c>
      <c r="H8" s="67" t="s">
        <v>79</v>
      </c>
      <c r="I8" s="67" t="s">
        <v>228</v>
      </c>
      <c r="J8" s="67" t="s">
        <v>197</v>
      </c>
      <c r="K8" s="67" t="n">
        <v>10</v>
      </c>
    </row>
    <row r="9" customFormat="false" ht="23.85" hidden="false" customHeight="false" outlineLevel="0" collapsed="false">
      <c r="A9" s="15" t="s">
        <v>573</v>
      </c>
      <c r="B9" s="68"/>
      <c r="C9" s="68"/>
      <c r="D9" s="68"/>
      <c r="E9" s="68"/>
      <c r="F9" s="68"/>
      <c r="G9" s="15" t="n">
        <f aca="false">SUM(G8:G8)</f>
        <v>3</v>
      </c>
      <c r="H9" s="68"/>
      <c r="I9" s="68"/>
      <c r="J9" s="68"/>
      <c r="K9" s="15" t="n">
        <f aca="false">SUM(K8:K8)</f>
        <v>10</v>
      </c>
    </row>
    <row r="12" customFormat="false" ht="15" hidden="false" customHeight="false" outlineLevel="0" collapsed="false">
      <c r="B12" s="18" t="s">
        <v>230</v>
      </c>
      <c r="G12" s="10" t="n">
        <f aca="false">G9</f>
        <v>3</v>
      </c>
      <c r="J12" s="69" t="s">
        <v>231</v>
      </c>
    </row>
    <row r="13" customFormat="false" ht="15" hidden="false" customHeight="false" outlineLevel="0" collapsed="false">
      <c r="B13" s="18" t="s">
        <v>232</v>
      </c>
      <c r="C13" s="19" t="n">
        <v>0.18</v>
      </c>
      <c r="J13" s="18" t="s">
        <v>233</v>
      </c>
      <c r="L13" s="18" t="s">
        <v>234</v>
      </c>
    </row>
    <row r="14" customFormat="false" ht="15" hidden="false" customHeight="false" outlineLevel="0" collapsed="false">
      <c r="B14" s="18" t="s">
        <v>167</v>
      </c>
      <c r="C14" s="10" t="n">
        <f aca="false">G9</f>
        <v>3</v>
      </c>
      <c r="D14" s="10" t="s">
        <v>235</v>
      </c>
      <c r="J14" s="70" t="s">
        <v>236</v>
      </c>
      <c r="L14" s="19" t="n">
        <v>0</v>
      </c>
    </row>
    <row r="15" customFormat="false" ht="15" hidden="false" customHeight="false" outlineLevel="0" collapsed="false">
      <c r="B15" s="18" t="s">
        <v>237</v>
      </c>
      <c r="C15" s="10" t="n">
        <f aca="false">C14/C13</f>
        <v>16.6666666666667</v>
      </c>
      <c r="D15" s="10" t="s">
        <v>238</v>
      </c>
      <c r="J15" s="70" t="s">
        <v>239</v>
      </c>
      <c r="L15" s="19" t="n">
        <v>0</v>
      </c>
    </row>
    <row r="16" customFormat="false" ht="15" hidden="false" customHeight="false" outlineLevel="0" collapsed="false">
      <c r="B16" s="18" t="s">
        <v>240</v>
      </c>
      <c r="C16" s="10" t="n">
        <f aca="false">0.65+0.01*$L$28</f>
        <v>1.01</v>
      </c>
      <c r="J16" s="70" t="s">
        <v>241</v>
      </c>
      <c r="L16" s="19" t="n">
        <v>0</v>
      </c>
    </row>
    <row r="17" customFormat="false" ht="15" hidden="false" customHeight="false" outlineLevel="0" collapsed="false">
      <c r="B17" s="18" t="s">
        <v>242</v>
      </c>
      <c r="C17" s="19" t="n">
        <v>0.05</v>
      </c>
      <c r="J17" s="70" t="s">
        <v>243</v>
      </c>
      <c r="L17" s="19" t="n">
        <v>3</v>
      </c>
    </row>
    <row r="18" customFormat="false" ht="15" hidden="false" customHeight="false" outlineLevel="0" collapsed="false">
      <c r="B18" s="18" t="s">
        <v>244</v>
      </c>
      <c r="C18" s="19" t="n">
        <v>0.1</v>
      </c>
      <c r="J18" s="70" t="s">
        <v>245</v>
      </c>
      <c r="L18" s="19" t="n">
        <v>4</v>
      </c>
    </row>
    <row r="19" customFormat="false" ht="15" hidden="false" customHeight="false" outlineLevel="0" collapsed="false">
      <c r="B19" s="18" t="s">
        <v>246</v>
      </c>
      <c r="C19" s="10" t="n">
        <f aca="false">C15*C16*(1+C17+C18)</f>
        <v>19.3583333333333</v>
      </c>
      <c r="D19" s="10" t="s">
        <v>238</v>
      </c>
      <c r="J19" s="70" t="s">
        <v>247</v>
      </c>
      <c r="L19" s="19" t="n">
        <v>3</v>
      </c>
    </row>
    <row r="20" customFormat="false" ht="15" hidden="false" customHeight="false" outlineLevel="0" collapsed="false">
      <c r="J20" s="70" t="s">
        <v>248</v>
      </c>
      <c r="L20" s="19" t="n">
        <v>2</v>
      </c>
    </row>
    <row r="21" customFormat="false" ht="15" hidden="false" customHeight="false" outlineLevel="0" collapsed="false">
      <c r="B21" s="18" t="s">
        <v>249</v>
      </c>
      <c r="C21" s="10" t="n">
        <f aca="false">C19*1.05</f>
        <v>20.32625</v>
      </c>
      <c r="D21" s="10" t="n">
        <f aca="false">C19*0.95</f>
        <v>18.3904166666667</v>
      </c>
      <c r="J21" s="70" t="s">
        <v>250</v>
      </c>
      <c r="L21" s="19" t="n">
        <v>1</v>
      </c>
    </row>
    <row r="22" customFormat="false" ht="15" hidden="false" customHeight="false" outlineLevel="0" collapsed="false">
      <c r="B22" s="18" t="s">
        <v>251</v>
      </c>
      <c r="C22" s="19" t="n">
        <v>8</v>
      </c>
      <c r="D22" s="10" t="s">
        <v>238</v>
      </c>
      <c r="J22" s="70" t="s">
        <v>252</v>
      </c>
      <c r="L22" s="19" t="n">
        <v>3</v>
      </c>
    </row>
    <row r="23" customFormat="false" ht="15" hidden="false" customHeight="false" outlineLevel="0" collapsed="false">
      <c r="B23" s="18" t="s">
        <v>253</v>
      </c>
      <c r="C23" s="10" t="n">
        <f aca="false">C19-C22</f>
        <v>11.3583333333333</v>
      </c>
      <c r="D23" s="10" t="s">
        <v>238</v>
      </c>
      <c r="J23" s="70" t="s">
        <v>254</v>
      </c>
      <c r="L23" s="19" t="n">
        <v>4</v>
      </c>
    </row>
    <row r="24" customFormat="false" ht="15" hidden="false" customHeight="false" outlineLevel="0" collapsed="false">
      <c r="B24" s="18" t="s">
        <v>255</v>
      </c>
      <c r="C24" s="10" t="n">
        <f aca="false">K9</f>
        <v>10</v>
      </c>
      <c r="D24" s="10" t="s">
        <v>238</v>
      </c>
      <c r="J24" s="70" t="s">
        <v>256</v>
      </c>
      <c r="L24" s="19" t="n">
        <v>4</v>
      </c>
    </row>
    <row r="25" customFormat="false" ht="15" hidden="false" customHeight="false" outlineLevel="0" collapsed="false">
      <c r="J25" s="70" t="s">
        <v>257</v>
      </c>
      <c r="L25" s="19" t="n">
        <v>4</v>
      </c>
    </row>
    <row r="26" customFormat="false" ht="15" hidden="false" customHeight="false" outlineLevel="0" collapsed="false">
      <c r="J26" s="70" t="s">
        <v>258</v>
      </c>
      <c r="L26" s="19" t="n">
        <v>4</v>
      </c>
    </row>
    <row r="27" customFormat="false" ht="15" hidden="false" customHeight="false" outlineLevel="0" collapsed="false">
      <c r="J27" s="70" t="s">
        <v>259</v>
      </c>
      <c r="L27" s="19" t="n">
        <v>4</v>
      </c>
    </row>
    <row r="28" customFormat="false" ht="15" hidden="false" customHeight="false" outlineLevel="0" collapsed="false">
      <c r="J28" s="18" t="s">
        <v>260</v>
      </c>
      <c r="L28" s="18" t="n">
        <f aca="false">SUM(L14:L27)</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58"/>
    <col collapsed="false" customWidth="true" hidden="false" outlineLevel="0" max="6" min="4" style="0" width="12"/>
    <col collapsed="false" customWidth="true" hidden="false" outlineLevel="0" max="7" min="7" style="0" width="9"/>
    <col collapsed="false" customWidth="true" hidden="false" outlineLevel="0" max="9" min="8"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s>
  <sheetData>
    <row r="1" customFormat="false" ht="15" hidden="false" customHeight="false" outlineLevel="0" collapsed="false">
      <c r="B1" s="18" t="s">
        <v>150</v>
      </c>
      <c r="C1" s="10" t="s">
        <v>151</v>
      </c>
      <c r="D1" s="10" t="s">
        <v>152</v>
      </c>
    </row>
    <row r="2" customFormat="false" ht="15" hidden="false" customHeight="false" outlineLevel="0" collapsed="false">
      <c r="B2" s="18" t="s">
        <v>153</v>
      </c>
      <c r="C2" s="10" t="s">
        <v>154</v>
      </c>
    </row>
    <row r="3" customFormat="false" ht="15" hidden="false" customHeight="false" outlineLevel="0" collapsed="false">
      <c r="B3" s="18" t="s">
        <v>155</v>
      </c>
      <c r="C3" s="10" t="s">
        <v>574</v>
      </c>
    </row>
    <row r="4" customFormat="false" ht="15" hidden="false" customHeight="false" outlineLevel="0" collapsed="false">
      <c r="B4" s="18" t="s">
        <v>157</v>
      </c>
      <c r="C4" s="10" t="s">
        <v>158</v>
      </c>
    </row>
    <row r="5" customFormat="false" ht="15" hidden="false" customHeight="false" outlineLevel="0" collapsed="false">
      <c r="D5" s="18" t="s">
        <v>159</v>
      </c>
      <c r="H5" s="18" t="s">
        <v>160</v>
      </c>
    </row>
    <row r="6" customFormat="false" ht="39.75" hidden="false" customHeight="true" outlineLevel="0" collapsed="false">
      <c r="A6" s="13" t="s">
        <v>161</v>
      </c>
      <c r="B6" s="13" t="s">
        <v>162</v>
      </c>
      <c r="C6" s="13" t="s">
        <v>163</v>
      </c>
      <c r="D6" s="13" t="s">
        <v>164</v>
      </c>
      <c r="E6" s="13" t="s">
        <v>165</v>
      </c>
      <c r="F6" s="13" t="s">
        <v>166</v>
      </c>
      <c r="G6" s="13" t="s">
        <v>167</v>
      </c>
      <c r="H6" s="13" t="s">
        <v>168</v>
      </c>
      <c r="I6" s="13" t="s">
        <v>169</v>
      </c>
      <c r="J6" s="13" t="s">
        <v>170</v>
      </c>
      <c r="K6" s="13" t="s">
        <v>171</v>
      </c>
    </row>
    <row r="7" customFormat="false" ht="15" hidden="false" customHeight="false" outlineLevel="0" collapsed="false">
      <c r="D7" s="66" t="n">
        <v>1</v>
      </c>
      <c r="E7" s="66" t="n">
        <v>3</v>
      </c>
      <c r="F7" s="66" t="n">
        <v>5</v>
      </c>
    </row>
    <row r="8" customFormat="false" ht="60" hidden="false" customHeight="true" outlineLevel="0" collapsed="false">
      <c r="A8" s="67" t="s">
        <v>575</v>
      </c>
      <c r="B8" s="67" t="s">
        <v>576</v>
      </c>
      <c r="C8" s="67" t="s">
        <v>577</v>
      </c>
      <c r="D8" s="67" t="n">
        <v>0</v>
      </c>
      <c r="E8" s="67" t="n">
        <v>1</v>
      </c>
      <c r="F8" s="67" t="n">
        <v>0</v>
      </c>
      <c r="G8" s="67" t="n">
        <f aca="false">D8*$D$7+E8*$E$7+F8*$F$7</f>
        <v>3</v>
      </c>
      <c r="H8" s="67" t="s">
        <v>79</v>
      </c>
      <c r="I8" s="67" t="s">
        <v>175</v>
      </c>
      <c r="J8" s="67" t="s">
        <v>176</v>
      </c>
      <c r="K8" s="67" t="n">
        <v>16</v>
      </c>
    </row>
    <row r="9" customFormat="false" ht="60" hidden="false" customHeight="true" outlineLevel="0" collapsed="false">
      <c r="A9" s="67" t="s">
        <v>578</v>
      </c>
      <c r="B9" s="67" t="s">
        <v>579</v>
      </c>
      <c r="C9" s="67" t="s">
        <v>580</v>
      </c>
      <c r="D9" s="67" t="n">
        <v>1</v>
      </c>
      <c r="E9" s="67" t="n">
        <v>0</v>
      </c>
      <c r="F9" s="67" t="n">
        <v>0</v>
      </c>
      <c r="G9" s="67" t="n">
        <f aca="false">D9*$D$7+E9*$E$7+F9*$F$7</f>
        <v>1</v>
      </c>
      <c r="H9" s="67" t="s">
        <v>77</v>
      </c>
      <c r="I9" s="67" t="s">
        <v>175</v>
      </c>
      <c r="J9" s="67" t="s">
        <v>190</v>
      </c>
      <c r="K9" s="67" t="n">
        <v>4</v>
      </c>
    </row>
    <row r="10" customFormat="false" ht="46.25" hidden="false" customHeight="false" outlineLevel="0" collapsed="false">
      <c r="A10" s="15" t="s">
        <v>581</v>
      </c>
      <c r="B10" s="68"/>
      <c r="C10" s="68"/>
      <c r="D10" s="68"/>
      <c r="E10" s="68"/>
      <c r="F10" s="68"/>
      <c r="G10" s="15" t="n">
        <f aca="false">SUM(G8:G9)</f>
        <v>4</v>
      </c>
      <c r="H10" s="68"/>
      <c r="I10" s="68"/>
      <c r="J10" s="68"/>
      <c r="K10" s="15" t="n">
        <f aca="false">SUM(K8:K9)</f>
        <v>20</v>
      </c>
    </row>
    <row r="13" customFormat="false" ht="15" hidden="false" customHeight="false" outlineLevel="0" collapsed="false">
      <c r="B13" s="18" t="s">
        <v>230</v>
      </c>
      <c r="G13" s="10" t="n">
        <f aca="false">G10</f>
        <v>4</v>
      </c>
      <c r="J13" s="69" t="s">
        <v>231</v>
      </c>
    </row>
    <row r="14" customFormat="false" ht="15" hidden="false" customHeight="false" outlineLevel="0" collapsed="false">
      <c r="B14" s="18" t="s">
        <v>232</v>
      </c>
      <c r="C14" s="19" t="n">
        <v>0.18</v>
      </c>
      <c r="J14" s="18" t="s">
        <v>233</v>
      </c>
      <c r="L14" s="18" t="s">
        <v>234</v>
      </c>
    </row>
    <row r="15" customFormat="false" ht="15" hidden="false" customHeight="false" outlineLevel="0" collapsed="false">
      <c r="B15" s="18" t="s">
        <v>167</v>
      </c>
      <c r="C15" s="10" t="n">
        <f aca="false">G10</f>
        <v>4</v>
      </c>
      <c r="D15" s="10" t="s">
        <v>235</v>
      </c>
      <c r="J15" s="70" t="s">
        <v>236</v>
      </c>
      <c r="L15" s="19" t="n">
        <v>0</v>
      </c>
    </row>
    <row r="16" customFormat="false" ht="15" hidden="false" customHeight="false" outlineLevel="0" collapsed="false">
      <c r="B16" s="18" t="s">
        <v>237</v>
      </c>
      <c r="C16" s="10" t="n">
        <f aca="false">C15/C14</f>
        <v>22.2222222222222</v>
      </c>
      <c r="D16" s="10" t="s">
        <v>238</v>
      </c>
      <c r="J16" s="70" t="s">
        <v>239</v>
      </c>
      <c r="L16" s="19" t="n">
        <v>0</v>
      </c>
    </row>
    <row r="17" customFormat="false" ht="15" hidden="false" customHeight="false" outlineLevel="0" collapsed="false">
      <c r="B17" s="18" t="s">
        <v>240</v>
      </c>
      <c r="C17" s="10" t="n">
        <f aca="false">0.65+0.01*$L$29</f>
        <v>1.01</v>
      </c>
      <c r="J17" s="70" t="s">
        <v>241</v>
      </c>
      <c r="L17" s="19" t="n">
        <v>0</v>
      </c>
    </row>
    <row r="18" customFormat="false" ht="15" hidden="false" customHeight="false" outlineLevel="0" collapsed="false">
      <c r="B18" s="18" t="s">
        <v>242</v>
      </c>
      <c r="C18" s="19" t="n">
        <v>0.05</v>
      </c>
      <c r="J18" s="70" t="s">
        <v>243</v>
      </c>
      <c r="L18" s="19" t="n">
        <v>3</v>
      </c>
    </row>
    <row r="19" customFormat="false" ht="15" hidden="false" customHeight="false" outlineLevel="0" collapsed="false">
      <c r="B19" s="18" t="s">
        <v>244</v>
      </c>
      <c r="C19" s="19" t="n">
        <v>0.1</v>
      </c>
      <c r="J19" s="70" t="s">
        <v>245</v>
      </c>
      <c r="L19" s="19" t="n">
        <v>4</v>
      </c>
    </row>
    <row r="20" customFormat="false" ht="15" hidden="false" customHeight="false" outlineLevel="0" collapsed="false">
      <c r="B20" s="18" t="s">
        <v>246</v>
      </c>
      <c r="C20" s="10" t="n">
        <f aca="false">C16*C17*(1+C18+C19)</f>
        <v>25.8111111111111</v>
      </c>
      <c r="D20" s="10" t="s">
        <v>238</v>
      </c>
      <c r="J20" s="70" t="s">
        <v>247</v>
      </c>
      <c r="L20" s="19" t="n">
        <v>3</v>
      </c>
    </row>
    <row r="21" customFormat="false" ht="15" hidden="false" customHeight="false" outlineLevel="0" collapsed="false">
      <c r="J21" s="70" t="s">
        <v>248</v>
      </c>
      <c r="L21" s="19" t="n">
        <v>2</v>
      </c>
    </row>
    <row r="22" customFormat="false" ht="15" hidden="false" customHeight="false" outlineLevel="0" collapsed="false">
      <c r="B22" s="18" t="s">
        <v>249</v>
      </c>
      <c r="C22" s="10" t="n">
        <f aca="false">C20*1.05</f>
        <v>27.1016666666667</v>
      </c>
      <c r="D22" s="10" t="n">
        <f aca="false">C20*0.95</f>
        <v>24.5205555555556</v>
      </c>
      <c r="J22" s="70" t="s">
        <v>250</v>
      </c>
      <c r="L22" s="19" t="n">
        <v>1</v>
      </c>
    </row>
    <row r="23" customFormat="false" ht="15" hidden="false" customHeight="false" outlineLevel="0" collapsed="false">
      <c r="B23" s="18" t="s">
        <v>251</v>
      </c>
      <c r="C23" s="19" t="n">
        <v>10</v>
      </c>
      <c r="D23" s="10" t="s">
        <v>238</v>
      </c>
      <c r="J23" s="70" t="s">
        <v>252</v>
      </c>
      <c r="L23" s="19" t="n">
        <v>3</v>
      </c>
    </row>
    <row r="24" customFormat="false" ht="15" hidden="false" customHeight="false" outlineLevel="0" collapsed="false">
      <c r="B24" s="18" t="s">
        <v>253</v>
      </c>
      <c r="C24" s="10" t="n">
        <f aca="false">C20-C23</f>
        <v>15.8111111111111</v>
      </c>
      <c r="D24" s="10" t="s">
        <v>238</v>
      </c>
      <c r="J24" s="70" t="s">
        <v>254</v>
      </c>
      <c r="L24" s="19" t="n">
        <v>4</v>
      </c>
    </row>
    <row r="25" customFormat="false" ht="15" hidden="false" customHeight="false" outlineLevel="0" collapsed="false">
      <c r="B25" s="18" t="s">
        <v>255</v>
      </c>
      <c r="C25" s="10" t="n">
        <f aca="false">K10</f>
        <v>20</v>
      </c>
      <c r="D25" s="10" t="s">
        <v>238</v>
      </c>
      <c r="J25" s="70" t="s">
        <v>256</v>
      </c>
      <c r="L25" s="19" t="n">
        <v>4</v>
      </c>
    </row>
    <row r="26" customFormat="false" ht="15" hidden="false" customHeight="false" outlineLevel="0" collapsed="false">
      <c r="J26" s="70" t="s">
        <v>257</v>
      </c>
      <c r="L26" s="19" t="n">
        <v>4</v>
      </c>
    </row>
    <row r="27" customFormat="false" ht="15" hidden="false" customHeight="false" outlineLevel="0" collapsed="false">
      <c r="J27" s="70" t="s">
        <v>258</v>
      </c>
      <c r="L27" s="19" t="n">
        <v>4</v>
      </c>
    </row>
    <row r="28" customFormat="false" ht="15" hidden="false" customHeight="false" outlineLevel="0" collapsed="false">
      <c r="J28" s="70" t="s">
        <v>259</v>
      </c>
      <c r="L28" s="19" t="n">
        <v>4</v>
      </c>
    </row>
    <row r="29" customFormat="false" ht="15" hidden="false" customHeight="false" outlineLevel="0" collapsed="false">
      <c r="J29" s="18" t="s">
        <v>260</v>
      </c>
      <c r="L29" s="18" t="n">
        <f aca="false">SUM(L15:L28)</f>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2025-12-09T08:10:08Z</dcterms:created>
  <dc:creator>hp</dc:creator>
  <dc:description/>
  <dc:language>en-US</dc:language>
  <cp:lastModifiedBy>hp</cp:lastModifiedBy>
  <dcterms:modified xsi:type="dcterms:W3CDTF">2026-08-11T03:32:35Z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