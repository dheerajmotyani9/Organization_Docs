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s\BDA\Jal_Rekha_CMMIL5_Artefacts\Cycle 5  June July AUg sep\Work Update Status Between April to July\"/>
    </mc:Choice>
  </mc:AlternateContent>
  <xr:revisionPtr revIDLastSave="0" documentId="13_ncr:1_{955CF461-C6E5-48C4-9DB0-27135A634F45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Module Work Summary" sheetId="1" r:id="rId1"/>
    <sheet name="Sheet1" sheetId="2" r:id="rId2"/>
  </sheets>
  <definedNames>
    <definedName name="_xlnm._FilterDatabase" localSheetId="0" hidden="1">'Module Work Summary'!$A$3:$E$23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4" i="2" l="1"/>
  <c r="D24" i="2"/>
  <c r="E24" i="1"/>
  <c r="D24" i="1"/>
</calcChain>
</file>

<file path=xl/sharedStrings.xml><?xml version="1.0" encoding="utf-8"?>
<sst xmlns="http://schemas.openxmlformats.org/spreadsheetml/2006/main" count="77" uniqueCount="49">
  <si>
    <t>JAL REKHA PROJECT — MODULE-WISE WORK DONE SUMMARY (April–July 2026)</t>
  </si>
  <si>
    <t>Prepared by: Dheeraj Motiyani, Sr. BA  |  Source: MD Sir MoM (28-Apr/19-May/9-Jun/16-Jun 2026) &amp; CR Log Cycle 4-5 (Jun-Jul 2026)</t>
  </si>
  <si>
    <t>S.No</t>
  </si>
  <si>
    <t>Module Name</t>
  </si>
  <si>
    <t>Work / Task Done (Summary)</t>
  </si>
  <si>
    <t>Completed Items</t>
  </si>
  <si>
    <t>Total Items Tracked</t>
  </si>
  <si>
    <t>O&amp;M Billing</t>
  </si>
  <si>
    <t>• Dhara report data integrated into O&amp;M Billing module
• Census population added to Scheme Master (GM side report)
• Redundant reports removed; DWSR made clickable (hyperlink)
• GM final-approval-only workflow with mandatory Concern Remark
• Power Consumption, Water-Supply-During-Construction columns completed
• O&amp;M Villages list (under-construction/approved) finalised
• 10% Pump-Transformer deduction logic implemented
• Mandatory document upload gate (Submission Letter/Tax Invoice) before Contractor can forward a bill
• Residual Pressure &amp; Complaint Redressal screens redesigned per report format
• PENDING: Bill generation (64 schemes), Contractor summary report, Abstract generation, multi-doc PDF merge, Document Upload screen, GST integration, CDAC e-Sign, TL E-Office letter, billing workflow redesign</t>
  </si>
  <si>
    <t>SVS - Har Ghar Jal (PHE)</t>
  </si>
  <si>
    <t>• New GP/PHE daily water-supply entry form built (District/Block/GP/Village, connections, date picker)
• Water Supply Status (Yes/No/Partial) with reason dropdown and remarks added
• Login-specific auto-filled District/Block/GP
• Hindi (MP Shashan) bilingual interface delivered
• JJM ID, Village Status &amp; 'hand-over-to-community' fields removed
• LGD code and household data joined in Excel export
• Partial-entry edit option added
• All items confirmed complete as of 16-Jun MoM</t>
  </si>
  <si>
    <t>Sahbhagita</t>
  </si>
  <si>
    <t>• RA Bill functionality enabled on ISA/CP Manager login after activity approval (with edit option)
• Pagination added on approval screens
• RA bill routing moved from CP Manager to ISA
• FE visibility restricted to their assigned ISA
• ISA password-reset option added
• Save-as-Draft for video/image/document uploads completed
• PENDING: Village/Combined activity abstract report with V/C/A filter, multi-select RA(1)-RA(12) dropdown with Withhold option, Village Activity Document hyperlink/preview, AI photo duplicate-detection (future scope)</t>
  </si>
  <si>
    <t>Vistrit / Master</t>
  </si>
  <si>
    <t>• WTP Meter Mapping given new columns (Date, Scheme, PIU)
• Standard meter naming convention enforced (e.g. Narela-WTP-01)
• Intake Mapping enriched with Meter Name/OHT connections/District/Block/GP
• Scheme Village Mapping validation applied to Testing &amp; Permitted fields
• OHT visibility bug (deactivated entries) fixed
• All Vistrit reports made visible (read-only) on Contractor dashboard
• PENDING: OTP verification for GM login on Master edit/delete, SMS+OTP auth for Vistrit reports, Pipeline Master pages</t>
  </si>
  <si>
    <t>Cube Testing</t>
  </si>
  <si>
    <t>• Structural components added per component type
• RFI-loop costing dates (7th/28th day) captured
• Filter Bed added as WTP sub-component
• Mandatory multi-image upload with Save-as-Draft enabled on FE mobile inspection form
• Cube ID now generates before image upload
• Rejected records surfaced back to Contractor for correction
• Module fully complete – no pending items</t>
  </si>
  <si>
    <t>Master</t>
  </si>
  <si>
    <t>• Scheme/PIU/Village master completed
• OHT village master completed
• Bulk-consumer master and bulk-consumer-to-OHT/WTP mapping completed
• Duplicate village-mapping validation delivered
• Consolidated Mapped Status report (Vidhan Sabha/district-wise) delivered
• PENDING: Lock Scheme/Village/OHT Master records once linked to live Dhara/O&amp;M/Asset Mapping transactions</t>
  </si>
  <si>
    <t>Dhara</t>
  </si>
  <si>
    <t>• New Dhara report rolled out on all Jal Rekha logins
• GM-Approved-Reports &amp; Contractor-Dispute view released
• GP-wise village reading report completed
• PENDING: Lock approved report data (GM PIU can add, not edit)
• PENDING: Make Remark/Photo-Upload/Forward/Backward optional platform-wide
• PENDING: Fix Mohkhed multi-source meter-reading replication bug (critical)
• PENDING: Contractor KL-reading objection workflow with 3-day auto-approve</t>
  </si>
  <si>
    <t>O&amp;M Billing (Aaklan)</t>
  </si>
  <si>
    <t>• Dhara report data completed and released into O&amp;M Billing for Aaklan use
• PENDING: Contractor discrepancy-raising window against Dhara data
• PENDING: Pump-Transformer 10% deduction logic
• PENDING: GM (PIU)/GM (O&amp;M)/Deputy O&amp;M 'View Pending Bills' &amp; 'Manage Bill' screens</t>
  </si>
  <si>
    <t>Anushravan</t>
  </si>
  <si>
    <t>• FE RFI report enhanced with multiple submission dates and Block name
• PENDING: RFI Pull-Back &amp; Reassign option for GM PIU (deferred/low priority)
• PENDING: Anusharavan Abstract view on Contractor mobile login</t>
  </si>
  <si>
    <t>Anushravan / Cube / Material Testing</t>
  </si>
  <si>
    <t>• Village/GP dropdown mandatory-field restriction removed (Intake, WTP, MBR, RWPM, CWPM)
• Save-as-Draft with later photo upload enabled
• OHT search added during RFI
• Module fully complete – no pending items</t>
  </si>
  <si>
    <t>Jal Samadhan</t>
  </si>
  <si>
    <t>• PENDING: Complaint-query submission page
• PENDING: Complaint status tracking for public + GM login
• PENDING: SLA-based escalation workflow to PIU
• New module still in discussion/build – nothing completed yet</t>
  </si>
  <si>
    <t>UI/UX</t>
  </si>
  <si>
    <t>• Module sequence on portal reordered and released
• PENDING: Left-menu grouping and colour-coding</t>
  </si>
  <si>
    <t>Parinaam (FHTC)</t>
  </si>
  <si>
    <t>• Contractor search option added
• FE name now shown in Parinaam/FHTC reports
• Module fully complete – no pending items</t>
  </si>
  <si>
    <t>Material testing and cube testing</t>
  </si>
  <si>
    <t>• PENDING: 2nd-cycle re-inspection loop after GM rejection (FE→GM→Contractor→GM→SQC/TPIA→FE)
• PENDING: Optional image upload on 2nd RFI loop
• Both items still open/in design</t>
  </si>
  <si>
    <t>Cross-Module</t>
  </si>
  <si>
    <t>• Water-supply display standardised (No Supply = 0 KL, Meter Not Functional = 'X KL') across all logins
• PENDING: Sujalam Bharat App (BISAG/Gati Shakti) data-API integration – awaiting master data from Jal Nigam</t>
  </si>
  <si>
    <t>Web Reports (CGM/PMU)</t>
  </si>
  <si>
    <t>• Material, Cube &amp; Bharosa reports enabled for Jal Rekha web user IDs (CGM, PMU)</t>
  </si>
  <si>
    <t>Asset Mapping</t>
  </si>
  <si>
    <t>• SQC/TPIA Contractor inspection data and reporting delivered on web application</t>
  </si>
  <si>
    <t>Bharosa</t>
  </si>
  <si>
    <t>• Factory Testing (Web) completed with 3rd-party QAP and multiple-image upload support</t>
  </si>
  <si>
    <t>DWSR Public Report</t>
  </si>
  <si>
    <t>• DWSR report opened for public access without login</t>
  </si>
  <si>
    <t>User Manual</t>
  </si>
  <si>
    <t>• User manual finalised and circulated to project group</t>
  </si>
  <si>
    <t>TOTAL</t>
  </si>
  <si>
    <t xml:space="preserve">• Dhara report data integrated into O&amp;M Billing module
• Census population added to Scheme Master (GM side report)
• Redundant reports removed; DWSR made clickable (hyperlink)
• GM final-approval-only workflow with mandatory Concern Remark
• Power Consumption, Water-Supply-During-Construction columns completed
• O&amp;M Villages list (under-construction/approved) finalised
• Mandatory document upload  (Submission Letter/Tax Invoice) before Contractor can forward a bill
• Residual Pressure &amp; Complaint Redressal screens redesigned per report format
• PENDING: Bill generation (64 schemes), Contractor summary report, Abstract generation, multi-doc PDF merge, Document Upload screen, GST integration, CDAC e-Sign, TL E-Office letter, billing workflow redesign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</si>
</sst>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1F386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EEAF1"/>
        <bgColor rgb="FFCCFFFF"/>
      </patternFill>
    </fill>
    <fill>
      <patternFill patternType="solid">
        <fgColor rgb="FFC9A227"/>
        <bgColor rgb="FF99CC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zoomScaleNormal="100" workbookViewId="0">
      <pane ySplit="3" topLeftCell="A13" activePane="bottomLeft" state="frozen"/>
      <selection pane="bottomLeft" sqref="A1:E24"/>
    </sheetView>
  </sheetViews>
  <sheetFormatPr defaultColWidth="8.6640625" defaultRowHeight="14.4" x14ac:dyDescent="0.3"/>
  <cols>
    <col min="1" max="1" width="6" customWidth="1"/>
    <col min="2" max="2" width="26" customWidth="1"/>
    <col min="3" max="3" width="95" customWidth="1"/>
    <col min="4" max="4" width="15" customWidth="1"/>
    <col min="5" max="5" width="16" customWidth="1"/>
  </cols>
  <sheetData>
    <row r="1" spans="1:5" ht="25.5" customHeight="1" x14ac:dyDescent="0.3">
      <c r="A1" s="3" t="s">
        <v>0</v>
      </c>
      <c r="B1" s="3"/>
      <c r="C1" s="3"/>
      <c r="D1" s="3"/>
      <c r="E1" s="3"/>
    </row>
    <row r="2" spans="1:5" ht="18" customHeight="1" x14ac:dyDescent="0.3">
      <c r="A2" s="2" t="s">
        <v>1</v>
      </c>
      <c r="B2" s="2"/>
      <c r="C2" s="2"/>
      <c r="D2" s="2"/>
      <c r="E2" s="2"/>
    </row>
    <row r="3" spans="1:5" ht="21.75" customHeight="1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spans="1:5" ht="150" customHeight="1" x14ac:dyDescent="0.3">
      <c r="A4" s="5">
        <v>1</v>
      </c>
      <c r="B4" s="6" t="s">
        <v>7</v>
      </c>
      <c r="C4" s="7" t="s">
        <v>8</v>
      </c>
      <c r="D4" s="5">
        <v>15</v>
      </c>
      <c r="E4" s="5">
        <v>33</v>
      </c>
    </row>
    <row r="5" spans="1:5" ht="120" customHeight="1" x14ac:dyDescent="0.3">
      <c r="A5" s="8">
        <v>2</v>
      </c>
      <c r="B5" s="9" t="s">
        <v>9</v>
      </c>
      <c r="C5" s="10" t="s">
        <v>10</v>
      </c>
      <c r="D5" s="8">
        <v>19</v>
      </c>
      <c r="E5" s="8">
        <v>19</v>
      </c>
    </row>
    <row r="6" spans="1:5" ht="105" customHeight="1" x14ac:dyDescent="0.3">
      <c r="A6" s="5">
        <v>3</v>
      </c>
      <c r="B6" s="6" t="s">
        <v>11</v>
      </c>
      <c r="C6" s="7" t="s">
        <v>12</v>
      </c>
      <c r="D6" s="5">
        <v>7</v>
      </c>
      <c r="E6" s="5">
        <v>12</v>
      </c>
    </row>
    <row r="7" spans="1:5" ht="105" customHeight="1" x14ac:dyDescent="0.3">
      <c r="A7" s="8">
        <v>4</v>
      </c>
      <c r="B7" s="9" t="s">
        <v>13</v>
      </c>
      <c r="C7" s="10" t="s">
        <v>14</v>
      </c>
      <c r="D7" s="8">
        <v>7</v>
      </c>
      <c r="E7" s="8">
        <v>10</v>
      </c>
    </row>
    <row r="8" spans="1:5" ht="105" customHeight="1" x14ac:dyDescent="0.3">
      <c r="A8" s="5">
        <v>5</v>
      </c>
      <c r="B8" s="6" t="s">
        <v>15</v>
      </c>
      <c r="C8" s="7" t="s">
        <v>16</v>
      </c>
      <c r="D8" s="5">
        <v>8</v>
      </c>
      <c r="E8" s="5">
        <v>8</v>
      </c>
    </row>
    <row r="9" spans="1:5" ht="90" customHeight="1" x14ac:dyDescent="0.3">
      <c r="A9" s="8">
        <v>6</v>
      </c>
      <c r="B9" s="9" t="s">
        <v>17</v>
      </c>
      <c r="C9" s="10" t="s">
        <v>18</v>
      </c>
      <c r="D9" s="8">
        <v>6</v>
      </c>
      <c r="E9" s="8">
        <v>7</v>
      </c>
    </row>
    <row r="10" spans="1:5" ht="105" customHeight="1" x14ac:dyDescent="0.3">
      <c r="A10" s="5">
        <v>7</v>
      </c>
      <c r="B10" s="6" t="s">
        <v>19</v>
      </c>
      <c r="C10" s="7" t="s">
        <v>20</v>
      </c>
      <c r="D10" s="5">
        <v>3</v>
      </c>
      <c r="E10" s="5">
        <v>7</v>
      </c>
    </row>
    <row r="11" spans="1:5" ht="60" customHeight="1" x14ac:dyDescent="0.3">
      <c r="A11" s="8">
        <v>8</v>
      </c>
      <c r="B11" s="9" t="s">
        <v>21</v>
      </c>
      <c r="C11" s="10" t="s">
        <v>22</v>
      </c>
      <c r="D11" s="8">
        <v>2</v>
      </c>
      <c r="E11" s="8">
        <v>5</v>
      </c>
    </row>
    <row r="12" spans="1:5" ht="45" customHeight="1" x14ac:dyDescent="0.3">
      <c r="A12" s="5">
        <v>9</v>
      </c>
      <c r="B12" s="6" t="s">
        <v>23</v>
      </c>
      <c r="C12" s="7" t="s">
        <v>24</v>
      </c>
      <c r="D12" s="5">
        <v>1</v>
      </c>
      <c r="E12" s="5">
        <v>3</v>
      </c>
    </row>
    <row r="13" spans="1:5" ht="60" customHeight="1" x14ac:dyDescent="0.3">
      <c r="A13" s="8">
        <v>10</v>
      </c>
      <c r="B13" s="9" t="s">
        <v>25</v>
      </c>
      <c r="C13" s="10" t="s">
        <v>26</v>
      </c>
      <c r="D13" s="8">
        <v>3</v>
      </c>
      <c r="E13" s="8">
        <v>3</v>
      </c>
    </row>
    <row r="14" spans="1:5" ht="60" customHeight="1" x14ac:dyDescent="0.3">
      <c r="A14" s="5">
        <v>11</v>
      </c>
      <c r="B14" s="6" t="s">
        <v>27</v>
      </c>
      <c r="C14" s="7" t="s">
        <v>28</v>
      </c>
      <c r="D14" s="5">
        <v>0</v>
      </c>
      <c r="E14" s="5">
        <v>3</v>
      </c>
    </row>
    <row r="15" spans="1:5" ht="30" customHeight="1" x14ac:dyDescent="0.3">
      <c r="A15" s="8">
        <v>12</v>
      </c>
      <c r="B15" s="9" t="s">
        <v>29</v>
      </c>
      <c r="C15" s="10" t="s">
        <v>30</v>
      </c>
      <c r="D15" s="8">
        <v>1</v>
      </c>
      <c r="E15" s="8">
        <v>2</v>
      </c>
    </row>
    <row r="16" spans="1:5" ht="45" customHeight="1" x14ac:dyDescent="0.3">
      <c r="A16" s="5">
        <v>13</v>
      </c>
      <c r="B16" s="6" t="s">
        <v>31</v>
      </c>
      <c r="C16" s="7" t="s">
        <v>32</v>
      </c>
      <c r="D16" s="5">
        <v>2</v>
      </c>
      <c r="E16" s="5">
        <v>2</v>
      </c>
    </row>
    <row r="17" spans="1:5" ht="45" customHeight="1" x14ac:dyDescent="0.3">
      <c r="A17" s="8">
        <v>14</v>
      </c>
      <c r="B17" s="9" t="s">
        <v>33</v>
      </c>
      <c r="C17" s="10" t="s">
        <v>34</v>
      </c>
      <c r="D17" s="8">
        <v>0</v>
      </c>
      <c r="E17" s="8">
        <v>2</v>
      </c>
    </row>
    <row r="18" spans="1:5" ht="30" customHeight="1" x14ac:dyDescent="0.3">
      <c r="A18" s="5">
        <v>15</v>
      </c>
      <c r="B18" s="6" t="s">
        <v>35</v>
      </c>
      <c r="C18" s="7" t="s">
        <v>36</v>
      </c>
      <c r="D18" s="5">
        <v>1</v>
      </c>
      <c r="E18" s="5">
        <v>2</v>
      </c>
    </row>
    <row r="19" spans="1:5" ht="19.5" customHeight="1" x14ac:dyDescent="0.3">
      <c r="A19" s="8">
        <v>16</v>
      </c>
      <c r="B19" s="9" t="s">
        <v>37</v>
      </c>
      <c r="C19" s="10" t="s">
        <v>38</v>
      </c>
      <c r="D19" s="8">
        <v>1</v>
      </c>
      <c r="E19" s="8">
        <v>1</v>
      </c>
    </row>
    <row r="20" spans="1:5" ht="19.5" customHeight="1" x14ac:dyDescent="0.3">
      <c r="A20" s="5">
        <v>17</v>
      </c>
      <c r="B20" s="6" t="s">
        <v>39</v>
      </c>
      <c r="C20" s="7" t="s">
        <v>40</v>
      </c>
      <c r="D20" s="5">
        <v>1</v>
      </c>
      <c r="E20" s="5">
        <v>1</v>
      </c>
    </row>
    <row r="21" spans="1:5" ht="19.5" customHeight="1" x14ac:dyDescent="0.3">
      <c r="A21" s="8">
        <v>18</v>
      </c>
      <c r="B21" s="9" t="s">
        <v>41</v>
      </c>
      <c r="C21" s="10" t="s">
        <v>42</v>
      </c>
      <c r="D21" s="8">
        <v>1</v>
      </c>
      <c r="E21" s="8">
        <v>1</v>
      </c>
    </row>
    <row r="22" spans="1:5" ht="19.5" customHeight="1" x14ac:dyDescent="0.3">
      <c r="A22" s="5">
        <v>19</v>
      </c>
      <c r="B22" s="6" t="s">
        <v>43</v>
      </c>
      <c r="C22" s="7" t="s">
        <v>44</v>
      </c>
      <c r="D22" s="5">
        <v>1</v>
      </c>
      <c r="E22" s="5">
        <v>1</v>
      </c>
    </row>
    <row r="23" spans="1:5" ht="19.5" customHeight="1" x14ac:dyDescent="0.3">
      <c r="A23" s="8">
        <v>20</v>
      </c>
      <c r="B23" s="9" t="s">
        <v>45</v>
      </c>
      <c r="C23" s="10" t="s">
        <v>46</v>
      </c>
      <c r="D23" s="8">
        <v>1</v>
      </c>
      <c r="E23" s="8">
        <v>1</v>
      </c>
    </row>
    <row r="24" spans="1:5" x14ac:dyDescent="0.3">
      <c r="A24" s="1" t="s">
        <v>47</v>
      </c>
      <c r="B24" s="1"/>
      <c r="C24" s="1"/>
      <c r="D24" s="11">
        <f>SUM(D4:D23)</f>
        <v>80</v>
      </c>
      <c r="E24" s="11">
        <f>SUM(E4:E23)</f>
        <v>123</v>
      </c>
    </row>
  </sheetData>
  <autoFilter ref="A3:E23" xr:uid="{00000000-0009-0000-0000-000000000000}"/>
  <mergeCells count="3">
    <mergeCell ref="A1:E1"/>
    <mergeCell ref="A2:E2"/>
    <mergeCell ref="A24:C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5427F-1FED-4333-B5BE-726FA9110CE1}">
  <dimension ref="A1:E24"/>
  <sheetViews>
    <sheetView tabSelected="1" topLeftCell="A3" workbookViewId="0">
      <selection activeCell="E4" sqref="E4"/>
    </sheetView>
  </sheetViews>
  <sheetFormatPr defaultColWidth="54.88671875" defaultRowHeight="14.4" x14ac:dyDescent="0.3"/>
  <cols>
    <col min="1" max="1" width="6.5546875" customWidth="1"/>
    <col min="2" max="2" width="31.33203125" customWidth="1"/>
    <col min="3" max="3" width="73.44140625" customWidth="1"/>
    <col min="4" max="4" width="21" customWidth="1"/>
    <col min="5" max="5" width="26.33203125" customWidth="1"/>
  </cols>
  <sheetData>
    <row r="1" spans="1:5" ht="17.399999999999999" x14ac:dyDescent="0.3">
      <c r="A1" s="3" t="s">
        <v>0</v>
      </c>
      <c r="B1" s="3"/>
      <c r="C1" s="3"/>
      <c r="D1" s="3"/>
      <c r="E1" s="3"/>
    </row>
    <row r="2" spans="1:5" x14ac:dyDescent="0.3">
      <c r="A2" s="2" t="s">
        <v>1</v>
      </c>
      <c r="B2" s="2"/>
      <c r="C2" s="2"/>
      <c r="D2" s="2"/>
      <c r="E2" s="2"/>
    </row>
    <row r="3" spans="1:5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spans="1:5" ht="208.8" customHeight="1" x14ac:dyDescent="0.3">
      <c r="A4" s="5">
        <v>1</v>
      </c>
      <c r="B4" s="6" t="s">
        <v>7</v>
      </c>
      <c r="C4" s="7" t="s">
        <v>48</v>
      </c>
      <c r="D4" s="5">
        <v>15</v>
      </c>
      <c r="E4" s="5">
        <v>33</v>
      </c>
    </row>
    <row r="5" spans="1:5" x14ac:dyDescent="0.3">
      <c r="A5" s="8">
        <v>2</v>
      </c>
      <c r="B5" s="9" t="s">
        <v>9</v>
      </c>
      <c r="C5" s="10"/>
      <c r="D5" s="8">
        <v>19</v>
      </c>
      <c r="E5" s="8">
        <v>19</v>
      </c>
    </row>
    <row r="6" spans="1:5" x14ac:dyDescent="0.3">
      <c r="A6" s="5">
        <v>3</v>
      </c>
      <c r="B6" s="6" t="s">
        <v>11</v>
      </c>
      <c r="C6" s="7"/>
      <c r="D6" s="5">
        <v>7</v>
      </c>
      <c r="E6" s="5">
        <v>12</v>
      </c>
    </row>
    <row r="7" spans="1:5" x14ac:dyDescent="0.3">
      <c r="A7" s="8">
        <v>4</v>
      </c>
      <c r="B7" s="9" t="s">
        <v>13</v>
      </c>
      <c r="C7" s="10"/>
      <c r="D7" s="8">
        <v>7</v>
      </c>
      <c r="E7" s="8">
        <v>10</v>
      </c>
    </row>
    <row r="8" spans="1:5" x14ac:dyDescent="0.3">
      <c r="A8" s="5">
        <v>5</v>
      </c>
      <c r="B8" s="6" t="s">
        <v>15</v>
      </c>
      <c r="C8" s="7"/>
      <c r="D8" s="5">
        <v>8</v>
      </c>
      <c r="E8" s="5">
        <v>8</v>
      </c>
    </row>
    <row r="9" spans="1:5" x14ac:dyDescent="0.3">
      <c r="A9" s="8">
        <v>6</v>
      </c>
      <c r="B9" s="9" t="s">
        <v>17</v>
      </c>
      <c r="C9" s="10"/>
      <c r="D9" s="8">
        <v>6</v>
      </c>
      <c r="E9" s="8">
        <v>7</v>
      </c>
    </row>
    <row r="10" spans="1:5" x14ac:dyDescent="0.3">
      <c r="A10" s="5">
        <v>7</v>
      </c>
      <c r="B10" s="6" t="s">
        <v>19</v>
      </c>
      <c r="C10" s="7"/>
      <c r="D10" s="5">
        <v>3</v>
      </c>
      <c r="E10" s="5">
        <v>7</v>
      </c>
    </row>
    <row r="11" spans="1:5" x14ac:dyDescent="0.3">
      <c r="A11" s="8">
        <v>8</v>
      </c>
      <c r="B11" s="9" t="s">
        <v>21</v>
      </c>
      <c r="C11" s="10"/>
      <c r="D11" s="8">
        <v>2</v>
      </c>
      <c r="E11" s="8">
        <v>5</v>
      </c>
    </row>
    <row r="12" spans="1:5" x14ac:dyDescent="0.3">
      <c r="A12" s="5">
        <v>9</v>
      </c>
      <c r="B12" s="6" t="s">
        <v>23</v>
      </c>
      <c r="C12" s="7"/>
      <c r="D12" s="5">
        <v>1</v>
      </c>
      <c r="E12" s="5">
        <v>3</v>
      </c>
    </row>
    <row r="13" spans="1:5" x14ac:dyDescent="0.3">
      <c r="A13" s="8">
        <v>10</v>
      </c>
      <c r="B13" s="9" t="s">
        <v>25</v>
      </c>
      <c r="C13" s="10"/>
      <c r="D13" s="8">
        <v>3</v>
      </c>
      <c r="E13" s="8">
        <v>3</v>
      </c>
    </row>
    <row r="14" spans="1:5" x14ac:dyDescent="0.3">
      <c r="A14" s="5">
        <v>11</v>
      </c>
      <c r="B14" s="6" t="s">
        <v>27</v>
      </c>
      <c r="C14" s="7"/>
      <c r="D14" s="5">
        <v>0</v>
      </c>
      <c r="E14" s="5">
        <v>3</v>
      </c>
    </row>
    <row r="15" spans="1:5" x14ac:dyDescent="0.3">
      <c r="A15" s="8">
        <v>12</v>
      </c>
      <c r="B15" s="9" t="s">
        <v>29</v>
      </c>
      <c r="C15" s="10"/>
      <c r="D15" s="8">
        <v>1</v>
      </c>
      <c r="E15" s="8">
        <v>2</v>
      </c>
    </row>
    <row r="16" spans="1:5" x14ac:dyDescent="0.3">
      <c r="A16" s="5">
        <v>13</v>
      </c>
      <c r="B16" s="6" t="s">
        <v>31</v>
      </c>
      <c r="C16" s="7"/>
      <c r="D16" s="5">
        <v>2</v>
      </c>
      <c r="E16" s="5">
        <v>2</v>
      </c>
    </row>
    <row r="17" spans="1:5" x14ac:dyDescent="0.3">
      <c r="A17" s="8">
        <v>14</v>
      </c>
      <c r="B17" s="9" t="s">
        <v>33</v>
      </c>
      <c r="C17" s="10"/>
      <c r="D17" s="8">
        <v>0</v>
      </c>
      <c r="E17" s="8">
        <v>2</v>
      </c>
    </row>
    <row r="18" spans="1:5" x14ac:dyDescent="0.3">
      <c r="A18" s="5">
        <v>15</v>
      </c>
      <c r="B18" s="6" t="s">
        <v>35</v>
      </c>
      <c r="C18" s="7"/>
      <c r="D18" s="5">
        <v>1</v>
      </c>
      <c r="E18" s="5">
        <v>2</v>
      </c>
    </row>
    <row r="19" spans="1:5" x14ac:dyDescent="0.3">
      <c r="A19" s="8">
        <v>16</v>
      </c>
      <c r="B19" s="9" t="s">
        <v>37</v>
      </c>
      <c r="C19" s="10"/>
      <c r="D19" s="8">
        <v>1</v>
      </c>
      <c r="E19" s="8">
        <v>1</v>
      </c>
    </row>
    <row r="20" spans="1:5" x14ac:dyDescent="0.3">
      <c r="A20" s="5">
        <v>17</v>
      </c>
      <c r="B20" s="6" t="s">
        <v>39</v>
      </c>
      <c r="C20" s="7"/>
      <c r="D20" s="5">
        <v>1</v>
      </c>
      <c r="E20" s="5">
        <v>1</v>
      </c>
    </row>
    <row r="21" spans="1:5" x14ac:dyDescent="0.3">
      <c r="A21" s="8">
        <v>18</v>
      </c>
      <c r="B21" s="9" t="s">
        <v>41</v>
      </c>
      <c r="C21" s="10"/>
      <c r="D21" s="8">
        <v>1</v>
      </c>
      <c r="E21" s="8">
        <v>1</v>
      </c>
    </row>
    <row r="22" spans="1:5" x14ac:dyDescent="0.3">
      <c r="A22" s="5">
        <v>19</v>
      </c>
      <c r="B22" s="6" t="s">
        <v>43</v>
      </c>
      <c r="C22" s="7"/>
      <c r="D22" s="5">
        <v>1</v>
      </c>
      <c r="E22" s="5">
        <v>1</v>
      </c>
    </row>
    <row r="23" spans="1:5" x14ac:dyDescent="0.3">
      <c r="A23" s="8">
        <v>20</v>
      </c>
      <c r="B23" s="9" t="s">
        <v>45</v>
      </c>
      <c r="C23" s="10"/>
      <c r="D23" s="8">
        <v>1</v>
      </c>
      <c r="E23" s="8">
        <v>1</v>
      </c>
    </row>
    <row r="24" spans="1:5" x14ac:dyDescent="0.3">
      <c r="A24" s="1" t="s">
        <v>47</v>
      </c>
      <c r="B24" s="1"/>
      <c r="C24" s="1"/>
      <c r="D24" s="11">
        <f>SUM(D4:D23)</f>
        <v>80</v>
      </c>
      <c r="E24" s="11">
        <f>SUM(E4:E23)</f>
        <v>123</v>
      </c>
    </row>
  </sheetData>
  <mergeCells count="3">
    <mergeCell ref="A1:E1"/>
    <mergeCell ref="A2:E2"/>
    <mergeCell ref="A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Module Work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Dheeraj Motiyani</cp:lastModifiedBy>
  <cp:revision>0</cp:revision>
  <dcterms:created xsi:type="dcterms:W3CDTF">2026-07-15T05:04:10Z</dcterms:created>
  <dcterms:modified xsi:type="dcterms:W3CDTF">2026-07-21T06:52:00Z</dcterms:modified>
  <dc:language>en-US</dc:language>
</cp:coreProperties>
</file>