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4.xml.rels" ContentType="application/vnd.openxmlformats-package.relationship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sion History" sheetId="1" state="visible" r:id="rId3"/>
    <sheet name="Master" sheetId="2" state="visible" r:id="rId4"/>
    <sheet name="Baseline Productivity " sheetId="3" state="visible" r:id="rId5"/>
    <sheet name="Guidelines" sheetId="4" state="visible" r:id="rId6"/>
    <sheet name="Summary" sheetId="5" state="visible" r:id="rId7"/>
    <sheet name="O&amp;M Estimation" sheetId="6" state="visible" r:id="rId8"/>
    <sheet name="Sahbhagita Estimation" sheetId="7" state="visible" r:id="rId9"/>
    <sheet name="Dhara Estimation" sheetId="8" state="visible" r:id="rId10"/>
    <sheet name="Master Estimation" sheetId="9" state="visible" r:id="rId11"/>
    <sheet name="FHTC Estimation" sheetId="10" state="visible" r:id="rId12"/>
    <sheet name="Cube Testing Estimation" sheetId="11" state="visible" r:id="rId13"/>
    <sheet name="Material Testing Estimation" sheetId="12" state="visible" r:id="rId14"/>
    <sheet name="Nirmal Estimation" sheetId="13" state="visible" r:id="rId15"/>
    <sheet name="SVS Estimation" sheetId="14" state="visible" r:id="rId16"/>
    <sheet name="SVS Anusharavan GP Estimation" sheetId="15" state="visible" r:id="rId17"/>
    <sheet name="Anusharavan Estimation" sheetId="16" state="visible" r:id="rId18"/>
    <sheet name="Asset Mapping Estimation" sheetId="17" state="visible" r:id="rId19"/>
    <sheet name="Bharosa CR Estimation" sheetId="18" state="visible" r:id="rId20"/>
    <sheet name="AI Module Estimation" sheetId="19" state="visible" r:id="rId21"/>
    <sheet name="CMMI Doc Estimation" sheetId="20" state="visible" r:id="rId22"/>
    <sheet name="e-Sign CDAC Estimation" sheetId="21" state="visible" r:id="rId23"/>
    <sheet name="BISAC-BISAG Estimation" sheetId="22" state="visible" r:id="rId24"/>
    <sheet name="Other Modules Estimation" sheetId="23" state="visible" r:id="rId25"/>
    <sheet name="Story Mapping" sheetId="24" state="visible" r:id="rId26"/>
  </sheets>
  <definedNames>
    <definedName function="false" hidden="true" localSheetId="23" name="_xlnm._FilterDatabase" vbProcedure="false">'Story Mapping'!$A$8:$N$196</definedName>
    <definedName function="false" hidden="false" name="ACE" vbProcedure="false">master!#ref!</definedName>
    <definedName function="false" hidden="false" name="AGILE_1" vbProcedure="false">master!#ref!</definedName>
    <definedName function="false" hidden="false" name="AGILE_2" vbProcedure="false">master!#ref!</definedName>
    <definedName function="false" hidden="false" name="AUT" vbProcedure="false">master!#ref!</definedName>
    <definedName function="false" hidden="false" name="Automation" vbProcedure="false">master!#ref!</definedName>
    <definedName function="false" hidden="false" name="Code_element" vbProcedure="false">Master!$A$4:$B$4</definedName>
    <definedName function="false" hidden="false" name="DACL" vbProcedure="false">master!#ref!</definedName>
    <definedName function="false" hidden="false" name="Data" vbProcedure="false">master!#ref!</definedName>
    <definedName function="false" hidden="false" name="Data_Modeling" vbProcedure="false">master!#ref!</definedName>
    <definedName function="false" hidden="false" name="Development" vbProcedure="false">Master!$A$3:$A$28</definedName>
    <definedName function="false" hidden="false" name="Enhancement_and_customization" vbProcedure="false">Master!$B$3:$B$21</definedName>
    <definedName function="false" hidden="false" name="GEN_AI" vbProcedure="false">master!#ref!</definedName>
    <definedName function="false" hidden="false" name="GLBS" vbProcedure="false">master!#ref!</definedName>
    <definedName function="false" hidden="false" name="Infra_Setup" vbProcedure="false">Master!$A$7:$B$7</definedName>
    <definedName function="false" hidden="false" name="Ingestion" vbProcedure="false">Master!$A$6:$B$6</definedName>
    <definedName function="false" hidden="false" name="IOT" vbProcedure="false">master!#ref!</definedName>
    <definedName function="false" hidden="false" name="Marktek" vbProcedure="false">master!#ref!</definedName>
    <definedName function="false" hidden="false" name="MSDA" vbProcedure="false">master!#ref!</definedName>
    <definedName function="false" hidden="false" name="MSI" vbProcedure="false">Master!$A$3:$A$11</definedName>
    <definedName function="false" hidden="false" name="New_Development" vbProcedure="false">Master!$A$3:$A$21</definedName>
    <definedName function="false" hidden="false" name="Reports" vbProcedure="false">Master!$A$5:$B$5</definedName>
    <definedName function="false" hidden="false" name="Scalable_development" vbProcedure="false">master!#ref!</definedName>
    <definedName function="false" hidden="false" name="Screen" vbProcedure="false">Master!$A$3:$B$3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<sst xmlns="http://schemas.openxmlformats.org/spreadsheetml/2006/main" count="3093" uniqueCount="913">
  <si>
    <t xml:space="preserve">Date</t>
  </si>
  <si>
    <t xml:space="preserve">Version</t>
  </si>
  <si>
    <t xml:space="preserve">Description </t>
  </si>
  <si>
    <t xml:space="preserve">Prepared by</t>
  </si>
  <si>
    <t xml:space="preserve">Reviewed &amp; approved by</t>
  </si>
  <si>
    <t xml:space="preserve">Size base Estimation Model First baseline</t>
  </si>
  <si>
    <t xml:space="preserve">SEPG Team </t>
  </si>
  <si>
    <t xml:space="preserve">SEPG Head </t>
  </si>
  <si>
    <t xml:space="preserve">1.4</t>
  </si>
  <si>
    <t xml:space="preserve">Cycle 4 (Jan-May 2026) Size based Estimation - All modules updated</t>
  </si>
  <si>
    <t xml:space="preserve">SEPG Team</t>
  </si>
  <si>
    <t xml:space="preserve">SEPG Head</t>
  </si>
  <si>
    <t xml:space="preserve">2.0</t>
  </si>
  <si>
    <t xml:space="preserve">Cycle 4 Estimation corrected – All module Size and Effort values updated per CMMI L5 size-based estimation guidelines. Productivity=0.18 pt/hr; VAF=1.01; Risk=5%; PM=10%. Sizes: ANS=26, AST=9, BHR=23, CUBE=69, DHR=89, FHTC=53, MST=38, MAT=51, NRM=22, O&amp;M=96, SAH=10, SVS=11. All hardcoded Size/TotalCount cells converted to Excel formulas. Complexity distributions recalibrated per Guidelines sheet.</t>
  </si>
  <si>
    <t xml:space="preserve">3.0</t>
  </si>
  <si>
    <t xml:space="preserve">Cycle 5 (Jun-Sep 2026) Size based Estimation - all modules. Productivity=0.19 pt/hr (1 point = ~5.26 hrs, revised from 0.179); VAF=1.01; Risk=5%; PM=10%. Sources: Jun-Sep MoMs, PSRs, Sprint 17-20 user stories, timesheet. Total size=475. Sizes: O&amp;M=136, SAH=30, DHR=46, MST=22, FHTC=15, CUBE=9, MAT=10, NRM=16, SVS=20, SVS-GP=27, ANS=6, AST=7, BHR=5, AI=15, CMMI=15, ESIGN=21, BISAC/BISAG=21, OTH=54.</t>
  </si>
  <si>
    <t xml:space="preserve">Estimation Elements</t>
  </si>
  <si>
    <t xml:space="preserve">New Development</t>
  </si>
  <si>
    <t xml:space="preserve">Enhancement and customization</t>
  </si>
  <si>
    <t xml:space="preserve">Web Page / Screen with no of input fields </t>
  </si>
  <si>
    <t xml:space="preserve">Type of exit scenario</t>
  </si>
  <si>
    <t xml:space="preserve">No of Validation on the fields</t>
  </si>
  <si>
    <t xml:space="preserve">No of Prefilled fields</t>
  </si>
  <si>
    <t xml:space="preserve">No of API Integrations </t>
  </si>
  <si>
    <t xml:space="preserve">No API integrations for saving the data</t>
  </si>
  <si>
    <t xml:space="preserve">Queries or Business rules for the application</t>
  </si>
  <si>
    <t xml:space="preserve">No of Integration</t>
  </si>
  <si>
    <t xml:space="preserve">mobile App-UI</t>
  </si>
  <si>
    <t xml:space="preserve">Data Migration</t>
  </si>
  <si>
    <t xml:space="preserve">Reports</t>
  </si>
  <si>
    <t xml:space="preserve">Complexity</t>
  </si>
  <si>
    <t xml:space="preserve">Type of work</t>
  </si>
  <si>
    <t xml:space="preserve">VAF Rating</t>
  </si>
  <si>
    <t xml:space="preserve">Low</t>
  </si>
  <si>
    <t xml:space="preserve">5 - Very Strong Influence </t>
  </si>
  <si>
    <t xml:space="preserve">Medium</t>
  </si>
  <si>
    <t xml:space="preserve">4 - Strong Influence </t>
  </si>
  <si>
    <t xml:space="preserve">High</t>
  </si>
  <si>
    <t xml:space="preserve">3 - Average Influence</t>
  </si>
  <si>
    <t xml:space="preserve">Complex</t>
  </si>
  <si>
    <t xml:space="preserve">2 - Moderate Influence</t>
  </si>
  <si>
    <t xml:space="preserve">1- Slight Influence</t>
  </si>
  <si>
    <t xml:space="preserve">0 - No Influence </t>
  </si>
  <si>
    <t xml:space="preserve">Effort Distribution Guidelines</t>
  </si>
  <si>
    <t xml:space="preserve">Effort Distribution</t>
  </si>
  <si>
    <t xml:space="preserve">Cost</t>
  </si>
  <si>
    <t xml:space="preserve">Min</t>
  </si>
  <si>
    <t xml:space="preserve">Max</t>
  </si>
  <si>
    <t xml:space="preserve">Business Analyst </t>
  </si>
  <si>
    <t xml:space="preserve">Solution Architecht</t>
  </si>
  <si>
    <t xml:space="preserve">Developer / Data Scientist</t>
  </si>
  <si>
    <t xml:space="preserve">Tester</t>
  </si>
  <si>
    <t xml:space="preserve">Project Manager</t>
  </si>
  <si>
    <t xml:space="preserve">Infrastructure Setup</t>
  </si>
  <si>
    <t xml:space="preserve">Calculated Productivity </t>
  </si>
  <si>
    <t xml:space="preserve">Targated Productivity</t>
  </si>
  <si>
    <t xml:space="preserve">Unit</t>
  </si>
  <si>
    <t xml:space="preserve">Development &amp; Enhancement </t>
  </si>
  <si>
    <t xml:space="preserve">Point / per hour</t>
  </si>
  <si>
    <t xml:space="preserve">1  Point</t>
  </si>
  <si>
    <t xml:space="preserve">~5.26 hours</t>
  </si>
  <si>
    <t xml:space="preserve">Revision note (Cycle 5, Jun-Sep 2026)</t>
  </si>
  <si>
    <t xml:space="preserve">Targeted productivity increased from 0.179 to 0.19 pt/hr: 1 story point = ~5.26 hours (was ~5.6 hours). All module sheets read the value in C4.</t>
  </si>
  <si>
    <t xml:space="preserve">Complexity weights unchanged (Low = 1, Medium = 3, High = 5). VAF ratings, 5% risk contingency and 10% project management carried forward from Cycle 4 V2.0.</t>
  </si>
  <si>
    <t xml:space="preserve">Work Type</t>
  </si>
  <si>
    <t xml:space="preserve">Component </t>
  </si>
  <si>
    <t xml:space="preserve">High </t>
  </si>
  <si>
    <t xml:space="preserve">Development </t>
  </si>
  <si>
    <t xml:space="preserve">10-15</t>
  </si>
  <si>
    <t xml:space="preserve">&gt; 15</t>
  </si>
  <si>
    <t xml:space="preserve">Elements
Label
Graph
Tile
Grid
Pop-up
Drop Down
Data Entery Field
Button
Custom Built element</t>
  </si>
  <si>
    <t xml:space="preserve">
</t>
  </si>
  <si>
    <t xml:space="preserve">1 to 2</t>
  </si>
  <si>
    <t xml:space="preserve">&gt;3</t>
  </si>
  <si>
    <t xml:space="preserve">label</t>
  </si>
  <si>
    <t xml:space="preserve">text box</t>
  </si>
  <si>
    <t xml:space="preserve">1 to 5 </t>
  </si>
  <si>
    <t xml:space="preserve">5 To 10 </t>
  </si>
  <si>
    <t xml:space="preserve">&gt;10</t>
  </si>
  <si>
    <t xml:space="preserve">button</t>
  </si>
  <si>
    <t xml:space="preserve">10 to 30</t>
  </si>
  <si>
    <t xml:space="preserve">30 to 50</t>
  </si>
  <si>
    <t xml:space="preserve">&gt;50</t>
  </si>
  <si>
    <t xml:space="preserve">drop down</t>
  </si>
  <si>
    <t xml:space="preserve">2 to 5</t>
  </si>
  <si>
    <t xml:space="preserve">&gt; 5 </t>
  </si>
  <si>
    <t xml:space="preserve">checkbox</t>
  </si>
  <si>
    <t xml:space="preserve">3 to 5</t>
  </si>
  <si>
    <t xml:space="preserve">&gt;5</t>
  </si>
  <si>
    <t xml:space="preserve">aadhar</t>
  </si>
  <si>
    <t xml:space="preserve">No validation or business rules. One data store</t>
  </si>
  <si>
    <t xml:space="preserve">No validation or business rules. Up to 3 data stores</t>
  </si>
  <si>
    <t xml:space="preserve">Validation or business rules involved. Multiple data stores</t>
  </si>
  <si>
    <t xml:space="preserve">samagra integration</t>
  </si>
  <si>
    <t xml:space="preserve">report</t>
  </si>
  <si>
    <t xml:space="preserve">Static screen</t>
  </si>
  <si>
    <t xml:space="preserve">Screen with 2-4 internal components
</t>
  </si>
  <si>
    <t xml:space="preserve">Screen with external components
</t>
  </si>
  <si>
    <t xml:space="preserve">MObile app</t>
  </si>
  <si>
    <t xml:space="preserve">Master Table </t>
  </si>
  <si>
    <t xml:space="preserve">Table with data errors and involves Data validation and cleansing</t>
  </si>
  <si>
    <t xml:space="preserve">Table with relationship with data errors and requires data validation and cleansing</t>
  </si>
  <si>
    <t xml:space="preserve">submit </t>
  </si>
  <si>
    <t xml:space="preserve">tabular report. &lt;10 columns.
1 data source
Elements( Table, PIE chart, 
Report count: 1-2</t>
  </si>
  <si>
    <t xml:space="preserve">2-3 data source. Simple (Pie/Bar) chart
Elements( Stack,Line etc.)
Report type: 3-5</t>
  </si>
  <si>
    <t xml:space="preserve">&gt;3 data source. Multiple complex graphs
Elements( Doughnut, Trend analysis etc.)
Report type: More than 5</t>
  </si>
  <si>
    <t xml:space="preserve">clear</t>
  </si>
  <si>
    <t xml:space="preserve">reset</t>
  </si>
  <si>
    <t xml:space="preserve">Code element
Data Tranformation
Data Pre-processing
Custom Build element
API creation for UI\UX
API Integration</t>
  </si>
  <si>
    <t xml:space="preserve">Jal Rekha - Cycle 5 (Jun-Sep 2026) Size Based Estimation Summary</t>
  </si>
  <si>
    <t xml:space="preserve">All figures link to the module estimation sheets. Productivity is read from Baseline Productivity!C4.</t>
  </si>
  <si>
    <t xml:space="preserve">Estimation Sheet</t>
  </si>
  <si>
    <t xml:space="preserve">Stories</t>
  </si>
  <si>
    <t xml:space="preserve">Size (Points)</t>
  </si>
  <si>
    <t xml:space="preserve">Productivity (pt/hr)</t>
  </si>
  <si>
    <t xml:space="preserve">Effort (Man hours)</t>
  </si>
  <si>
    <t xml:space="preserve">VAF</t>
  </si>
  <si>
    <t xml:space="preserve">Total Planned Effort (Man hours)</t>
  </si>
  <si>
    <t xml:space="preserve">Range Low (-5%)</t>
  </si>
  <si>
    <t xml:space="preserve">Range High (+5%)</t>
  </si>
  <si>
    <t xml:space="preserve">Check vs Story Mapping</t>
  </si>
  <si>
    <t xml:space="preserve">O&amp;M Estimation</t>
  </si>
  <si>
    <t xml:space="preserve">Sahbhagita Estimation</t>
  </si>
  <si>
    <t xml:space="preserve">Dhara Estimation</t>
  </si>
  <si>
    <t xml:space="preserve">Master Estimation</t>
  </si>
  <si>
    <t xml:space="preserve">FHTC Estimation</t>
  </si>
  <si>
    <t xml:space="preserve">Cube Testing Estimation</t>
  </si>
  <si>
    <t xml:space="preserve">Material Testing Estimation</t>
  </si>
  <si>
    <t xml:space="preserve">Nirmal Estimation</t>
  </si>
  <si>
    <t xml:space="preserve">SVS Estimation</t>
  </si>
  <si>
    <t xml:space="preserve">SVS Anusharavan GP Estimation</t>
  </si>
  <si>
    <t xml:space="preserve">Anusharavan Estimation</t>
  </si>
  <si>
    <t xml:space="preserve">Asset Mapping Estimation</t>
  </si>
  <si>
    <t xml:space="preserve">Bharosa CR Estimation</t>
  </si>
  <si>
    <t xml:space="preserve">AI Module Estimation</t>
  </si>
  <si>
    <t xml:space="preserve">CMMI Doc Estimation</t>
  </si>
  <si>
    <t xml:space="preserve">e-Sign CDAC Estimation</t>
  </si>
  <si>
    <t xml:space="preserve">BISAC-BISAG Estimation</t>
  </si>
  <si>
    <t xml:space="preserve">Other Modules Estimation</t>
  </si>
  <si>
    <t xml:space="preserve">TOTAL - CYCLE 5 (JUN-SEP 2026)</t>
  </si>
  <si>
    <t xml:space="preserve">Reference - hours actually logged (Date-Wise Time Sheet, Jun-Sep 2026)</t>
  </si>
  <si>
    <t xml:space="preserve">Jun 2026 (Sprint 17)</t>
  </si>
  <si>
    <t xml:space="preserve">Jul 2026 (Sprint 18)</t>
  </si>
  <si>
    <t xml:space="preserve">Aug 2026 (Sprint 19)</t>
  </si>
  <si>
    <t xml:space="preserve">Sep 2026 (Sprint 20)</t>
  </si>
  <si>
    <t xml:space="preserve">Total hours logged (all activity incl. meetings, adhoc, CMMI)</t>
  </si>
  <si>
    <t xml:space="preserve">Planned effort / hours logged</t>
  </si>
  <si>
    <t xml:space="preserve">Source: Date_Wise_Time_Sheet (Jun-Sep 2026), hours by entry month. Blue = hardcoded input from the timesheet. The September PSR reports 706.0 hrs against 730.0 hrs in the timesheet file; August matches the PSR (690.0).</t>
  </si>
  <si>
    <t xml:space="preserve">Type Of work</t>
  </si>
  <si>
    <t xml:space="preserve">Development</t>
  </si>
  <si>
    <t xml:space="preserve">Project Name</t>
  </si>
  <si>
    <t xml:space="preserve">Jal Rekha</t>
  </si>
  <si>
    <t xml:space="preserve">Remark</t>
  </si>
  <si>
    <t xml:space="preserve">O&amp;M Billing Module - Cycle 5 (Jun-Sep 2026)</t>
  </si>
  <si>
    <t xml:space="preserve">Volume/Count of elements</t>
  </si>
  <si>
    <t xml:space="preserve">Guidelines</t>
  </si>
  <si>
    <t xml:space="preserve">Module + sub Module</t>
  </si>
  <si>
    <t xml:space="preserve">Functionality ( Sub Module)</t>
  </si>
  <si>
    <t xml:space="preserve">Elements (Refer Guidelines and Put here for reference)</t>
  </si>
  <si>
    <t xml:space="preserve">Low Complexity</t>
  </si>
  <si>
    <t xml:space="preserve">Medium compexity</t>
  </si>
  <si>
    <t xml:space="preserve">High Complexity</t>
  </si>
  <si>
    <t xml:space="preserve"> Size</t>
  </si>
  <si>
    <t xml:space="preserve">O&amp;M Billing - Abstract, Bill PDF &amp; Review</t>
  </si>
  <si>
    <t xml:space="preserve">Abstract report, contractor-mistake correction, all-records view, merged bill PDF, landscape fix (Jun-Jul)</t>
  </si>
  <si>
    <t xml:space="preserve">US-OM-C5-001 - O&amp;M Billing – Abstract Report Generation [H]
US-OM-C5-002 - O&amp;M Billing – Contractor Mistake Correction by SQC/TL → GM [M]
US-OM-C5-003 - O&amp;M Billing – Show All Records on All IDs (GM, SQC) [M]
US-OM-C5-004 - O&amp;M Billing – Merge PDF of All O&amp;M Bill Documents [M]
US-OM-C5-011 - O&amp;M Billing – GM (PIU) Login: Bill PDF (19–20 Docs) &amp; 3-Month Consolidation [M]
US-OM-C5-012 - O&amp;M Billing – Sahbhagita Generate Abstract: Select RA Bill &amp; Tag All [M]
US-OM-C5-013 - O&amp;M Billing – Landscape Issue Fix in O&amp;M Bill Layout [L]
Status: 7 Done</t>
  </si>
  <si>
    <t xml:space="preserve">O&amp;M Billing - Power, Construction Bill &amp; Complaints</t>
  </si>
  <si>
    <t xml:space="preserve">Power consumption, construction-phase bill columns/villages, pump transformer deduction, residual pressure &amp; complaint redressal (Jun-Jul)</t>
  </si>
  <si>
    <t xml:space="preserve">US-OM-C5-005 - O&amp;M Billing – Power Consumption: Contractor &amp; GM Side Changes [H]
US-OM-C5-006 - O&amp;M Billing – Two New Columns in Water Supply During Construction Bill [M]
US-OM-C5-007 - O&amp;M Billing – O&amp;M Villages: Construction Approval Status [M]
US-OM-C5-009 - O&amp;M Billing – GM: Pump Transformer 10% Deduction Logic [M]
US-OM-C5-015 - O&amp;M Billing - Residual Pressure &amp; Complaint Redressal Report Format [M]
US-OM-C5-016 - O&amp;M Billing - Complaint Redressal: 48-Hour Flag &amp; Penalty Relaxation [L]
Status: 4 In Progress, 2 Done</t>
  </si>
  <si>
    <t xml:space="preserve">O&amp;M Billing - Dispute, LGD &amp; GST</t>
  </si>
  <si>
    <t xml:space="preserve">Contractor dispute window on Dhara data, LGD code integration, GST number (Jun-Jul; also covers Aug restatements AUG-15/16/17)</t>
  </si>
  <si>
    <t xml:space="preserve">US-OM-C5-008 - O&amp;M Billing – Aaklan Contractor Dispute: Dhara Data Discrepancy Window [M]
US-OM-C5-014 - O&amp;M Billing – LGD Code Integration: LG Directory → MPSQC [M]
US-OM-C5-017 - O&amp;M Billing - GST Number Integration [M]
Status: 2 In Progress, 1 Open</t>
  </si>
  <si>
    <t xml:space="preserve">O&amp;M Billing - WSDCP Phase 1</t>
  </si>
  <si>
    <t xml:space="preserve">New WSDCP tab: payment details, banked-units power sheet, monthly bill sheet, UFW report, pilot UAT (Aug)</t>
  </si>
  <si>
    <t xml:space="preserve">US-AUG-01 - O&amp;M Billing — WSDCP - New WSDCP tab and Bill Generation status tracking [H]
US-AUG-02 - O&amp;M Billing — WSDCP - WSDCP Payment Details tab [H]
US-AUG-03 - O&amp;M Billing — WSDCP - WSDCP Power Consumption Sheet — Banked Units logic [H]
US-AUG-04 - O&amp;M Billing — WSDCP - WSDCP Monthly Bill Sheet — Functional HSC and deductions [H]
US-AUG-05 - O&amp;M Billing — WSDCP - WSDCP UFW Report (no penalty) [L]
US-AUG-06 - O&amp;M Billing — WSDCP - WSDCP User Acceptance Testing on pilot scheme [M]
Status: 5 In Progress, 1 Done</t>
  </si>
  <si>
    <t xml:space="preserve">O&amp;M Billing - Multi-role Workflow</t>
  </si>
  <si>
    <t xml:space="preserve">Forward/backward routing, GM/SQC edit rights with remark, SQC-unavailable fallback, higher-officials chain (Aug)</t>
  </si>
  <si>
    <t xml:space="preserve">US-AUG-07 - O&amp;M Billing — Workflow - Full multi-role forward/backward billing workflow [H]
US-AUG-08 - O&amp;M Billing — Workflow - GM/SQC edit rights on bill data with mandatory remark [H]
US-AUG-09 - O&amp;M Billing — Workflow - SQC-not-available fallback — GM confirms directly [M]
US-AUG-10 - O&amp;M Billing — Workflow - Higher Officials approval chain (GM O&amp;M → MD) [H]
Status: 4 In Progress</t>
  </si>
  <si>
    <t xml:space="preserve">O&amp;M Billing - Data Integrity &amp; Adjustments</t>
  </si>
  <si>
    <t xml:space="preserve">Census denominator fix, pending-bills UI, net payable add/deduct, complaint category coding, Aakalan add/deduct (Aug)</t>
  </si>
  <si>
    <t xml:space="preserve">US-AUG-11 - O&amp;M Billing — Data Integrity - Census Population / village denominator fix [M]
US-AUG-12 - O&amp;M Billing — UI/Workflow - 'Pending Bills for Review' rename and scheme filter [L]
US-AUG-13 - O&amp;M Billing — Net Payable - Net Payable Bill — Add More Deduction / Any Other Addition [M]
US-AUG-14 - O&amp;M Billing — Complaint Handling - Complaint category coding and extended deductions [M]
US-AUG-18 - O&amp;M Billing — Aakalan - Aakalan Addition/Deduction feature (TL SQC / GM PIU) [M]
Status: 4 In Progress, 1 Done</t>
  </si>
  <si>
    <t xml:space="preserve">O&amp;M Billing / Aaklan - Controls &amp; Tracking</t>
  </si>
  <si>
    <t xml:space="preserve">Withheld add/deduct, edit lock, TRP gate, phase tabs, audit trail, role-scoped visibility, validations, user management, complaint carry-forward (Sep)</t>
  </si>
  <si>
    <t xml:space="preserve">US-SEP-02 - O&amp;M Billing / Aaklan - Withheld Addition/Deduction amounts shown at End-of-Month [M]
US-SEP-03 - O&amp;M Billing / Aaklan - Fix: bill remains editable after Contractor submission [L]
US-SEP-04 - O&amp;M Billing / Aaklan - TRP gate controlling O&amp;M Phase availability [L]
US-SEP-05 - O&amp;M Billing / Aaklan - Scheme-based SQC/TL list cleanup [L]
US-SEP-06 - O&amp;M Billing / Aaklan - WSDCP / TRP / O&amp;M Phase tabs with staged Abstract pages [M]
US-SEP-07 - O&amp;M Billing / Aaklan - Full audit trail on Contractor Bill edits [M]
US-SEP-08 - O&amp;M Billing / Aaklan - PMC / Deputy O&amp;M role-scoped scheme visibility [M]
US-SEP-09 - O&amp;M Billing / Aaklan - Gross Payable Bill — minimum value validation [L]
US-SEP-10 - O&amp;M Billing / Aaklan - Census Population verification before Generate Bill [L]
US-SEP-11 - O&amp;M Billing / Aaklan - User Management — PIU-wise ID search with Tenure and Agency columns [M]
US-SEP-12 - O&amp;M Billing / Aaklan - TL ID conflict resolution (Bhopal / Sehore) [L]
US-SEP-13 - O&amp;M Billing / Aaklan - Save-as-Draft confirmation popup on Bulk bill actions [L]
US-SEP-14 - O&amp;M Billing — Complaint Redressal - Carry-forward of unresolved complaints with 48-hour flag [M]
Status: 6 In Progress, 2 Done, 5 Open</t>
  </si>
  <si>
    <t xml:space="preserve">O&amp;M Billing - Contractor/GM UI</t>
  </si>
  <si>
    <t xml:space="preserve">Bill Tracking page overhaul, Abstract Bill UI, responsive layout, GM Abstract PDF UI fixes (Sep, PSR/timesheet-sourced)</t>
  </si>
  <si>
    <t xml:space="preserve">PSR-SEP-02 - O&amp;M Billing Contractor - Bill Tracking page UI overhaul, Abstract Bill UI, responsive layout [H]
PSR-SEP-03 - O&amp;M Billing GM - Abstract Report PDF UI fixes [M]
Status: 1 In Progress, 1 Done</t>
  </si>
  <si>
    <t xml:space="preserve">TOTAL O&amp;M ESTIMATION (CYCLE 5)</t>
  </si>
  <si>
    <t xml:space="preserve">Value added factors</t>
  </si>
  <si>
    <t xml:space="preserve">Total Count</t>
  </si>
  <si>
    <t xml:space="preserve">Factor</t>
  </si>
  <si>
    <t xml:space="preserve">Rating</t>
  </si>
  <si>
    <t xml:space="preserve">Data Communications</t>
  </si>
  <si>
    <t xml:space="preserve">Productivity</t>
  </si>
  <si>
    <t xml:space="preserve">Distributed Data Processing</t>
  </si>
  <si>
    <t xml:space="preserve">Size</t>
  </si>
  <si>
    <t xml:space="preserve">Point</t>
  </si>
  <si>
    <t xml:space="preserve">Effort</t>
  </si>
  <si>
    <t xml:space="preserve">Man hours</t>
  </si>
  <si>
    <t xml:space="preserve">Performance</t>
  </si>
  <si>
    <t xml:space="preserve">Heavily used Configuration</t>
  </si>
  <si>
    <t xml:space="preserve">Risk contingency</t>
  </si>
  <si>
    <t xml:space="preserve">Transaction Rate</t>
  </si>
  <si>
    <t xml:space="preserve">Project Management</t>
  </si>
  <si>
    <t xml:space="preserve">Total Planned effort</t>
  </si>
  <si>
    <t xml:space="preserve">Online Data Entry</t>
  </si>
  <si>
    <t xml:space="preserve">End-User Efficiency</t>
  </si>
  <si>
    <t xml:space="preserve">Permissible Range(Man hours)</t>
  </si>
  <si>
    <t xml:space="preserve">Online Update</t>
  </si>
  <si>
    <t xml:space="preserve">Complex Processing</t>
  </si>
  <si>
    <t xml:space="preserve">Reusability</t>
  </si>
  <si>
    <t xml:space="preserve">Installation Ease</t>
  </si>
  <si>
    <t xml:space="preserve">Operational Ease</t>
  </si>
  <si>
    <t xml:space="preserve">Multiple Sites</t>
  </si>
  <si>
    <t xml:space="preserve">Facilitate Change</t>
  </si>
  <si>
    <t xml:space="preserve">Total</t>
  </si>
  <si>
    <t xml:space="preserve">Sahbhagita Module - Cycle 5 (Jun-Sep 2026)</t>
  </si>
  <si>
    <t xml:space="preserve">Sahbhagita - RA Bill, Abstract &amp; Reports</t>
  </si>
  <si>
    <t xml:space="preserve">RA Bill for ISA, village-wise/combined report, master activity list, RA(1)-RA(12) withhold bills, customised ISA report (Jun)</t>
  </si>
  <si>
    <t xml:space="preserve">US-SAH-C5-001 - Sahbhagita – RA Bill for ISA (replacing CP Manager) [M]
US-SAH-C5-002 - Sahbhagita – Village-wise &amp; Combined Activity Report [M]
US-SAH-C5-003 - Sahbhagita – Master Activity List Update (22 Combined + 32 Village-wise) [M]
US-SAH-C5-006 - Sahbhagita – RA Bill: RA(1) till RA(12) Withhold Bills [M]
US-SAH-C5-007 - Sahbhagita – Customised Report (ISA – Mainly Contractor Convention) [M]
Status: 5 Done</t>
  </si>
  <si>
    <t xml:space="preserve">Sahbhagita - UI, Access &amp; Mobile</t>
  </si>
  <si>
    <t xml:space="preserve">Hyperlinked document preview, mobile save-as-draft, pagination, FE-to-ISA scoping, ISA password reset (Jun)</t>
  </si>
  <si>
    <t xml:space="preserve">US-SAH-C5-005 - Sahbhagita – Hyperlink: Village Name → Village Activity → Document Preview [M]
US-SAH-C5-008 - Sahbhagita – Save as Draft for Video, Image &amp; Document (Mobile CR) [M]
US-SAH-C5-009 - Sahbhagita - Pagination on Approval Pages [L]
US-SAH-C5-010 - Sahbhagita - FE Visibility Scoped to Assigned ISA [L]
US-SAH-C5-011 - Sahbhagita - Self-Service Password Reset for ISA Login [L]
Status: 5 Done</t>
  </si>
  <si>
    <t xml:space="preserve">Sahbhagita - AI Photo Scan</t>
  </si>
  <si>
    <t xml:space="preserve">AI face/background detection on activity photos for CP Manager (Jul)</t>
  </si>
  <si>
    <t xml:space="preserve">US-SAH-C5-004 - Sahbhagita – Photo Scan AI: Face &amp; Background Detection (CP Manager Review) [H]
Status: 1 In Progress</t>
  </si>
  <si>
    <t xml:space="preserve">Sahbhagita - Abstract of RA Bill Release</t>
  </si>
  <si>
    <t xml:space="preserve">UAT defects DEF-01 to DEF-04, PIU/scheme binding, production release (Aug)</t>
  </si>
  <si>
    <t xml:space="preserve">US-AUG-26 - Sahbhagita - Sahbhagita Abstract of RA Bill — production release [L]
Status: 1 In Progress</t>
  </si>
  <si>
    <t xml:space="preserve">TOTAL SAHBHAGITA ESTIMATION (CYCLE 5)</t>
  </si>
  <si>
    <t xml:space="preserve">Dhara Module - Cycle 5 (Jun-Sep 2026)</t>
  </si>
  <si>
    <t xml:space="preserve">Dhara - Reports &amp; Approved Data</t>
  </si>
  <si>
    <t xml:space="preserve">Report corrections, 27-May format, contractor dispute window, new reports on all logins, base-capacity columns, approved-data correction (Jun-Jul)</t>
  </si>
  <si>
    <t xml:space="preserve">US-DHR-C5-001 - Dhara – Report Corrections (Approved Village MWSR, DWSR, OHT) [M]
US-DHR-C5-002 - Dhara – Report Format Standardisation (27 May 2026 Format) [M]
US-DHR-C5-003 - Dhara – Approved Reports &amp; Contractor Dispute Window [M]
US-DHR-C5-004 - Dhara – New Dhara Reports Visible on All Jal Rekha Logins [M]
US-DHR-C5-006 - Dhara – OHT/WTP/Intake Base Capacity Column in Report [M]
US-DHR-C5-007 - Dhara - Approved Report Data Correction (Agreed with Kapil Sir) [M]
Status: 4 Done, 2 In Progress</t>
  </si>
  <si>
    <t xml:space="preserve">Dhara - Entry Lock &amp; Optional Fields</t>
  </si>
  <si>
    <t xml:space="preserve">Approved entry lock; non-mandatory remark/photo/forward/backward (Jun)</t>
  </si>
  <si>
    <t xml:space="preserve">US-DHR-C5-005 - Dhara – Dhara Entry Lock (Approved Data Should Not Change) [M]
US-DHR-C5-008 - Dhara - Non-Mandatory Remark, Photo Upload, Forward &amp; Backward Options [L]
Status: 2 Done</t>
  </si>
  <si>
    <t xml:space="preserve">Dhara - Meter Logic &amp; Sequential Approval</t>
  </si>
  <si>
    <t xml:space="preserve">FE/Dhara meter functional logic, sequential month-wise approval lock (Aug-Sep)</t>
  </si>
  <si>
    <t xml:space="preserve">US-AUG-22 - SVS / Dhara Meter Logic - FE/Dhara Meter Functional logic and sequential approval [M]
US-SEP-15 - Dhara - Dhara sequential reading approval lock [M]
Status: 2 In Progress</t>
  </si>
  <si>
    <t xml:space="preserve">Dhara - Edit Rules, Survey Report &amp; MPEB API</t>
  </si>
  <si>
    <t xml:space="preserve">Reading edit rules by meter status, survey report column restructuring, MPEB smart-meter API (Sep)</t>
  </si>
  <si>
    <t xml:space="preserve">US-SEP-16 - Dhara - Dhara reading edit rules by meter status (GM / SQC-TL login) [H]
US-SEP-17 - Dhara - Dhara Survey Report column restructuring [M]
US-SEP-18 - Dhara - Dhara Electricity Meter Bill — MPEB Smart Meter API integration [H]
Status: 3 Open</t>
  </si>
  <si>
    <t xml:space="preserve">Dhara &amp; Nirmal - Panchayat Monitoring</t>
  </si>
  <si>
    <t xml:space="preserve">Panchayat-level dashboards for Dhara and Nirmal; 5-step MVS-to-local-body handover (Aug)</t>
  </si>
  <si>
    <t xml:space="preserve">US-AUG-34 - Dhara &amp; Nirmal Panchayat Monitoring - Panchayat-level dashboard and MVS-to-local-body handover [H]
Status: 1 In Progress</t>
  </si>
  <si>
    <t xml:space="preserve">TOTAL DHARA ESTIMATION (CYCLE 5)</t>
  </si>
  <si>
    <t xml:space="preserve">Master / Vistrit Module - Cycle 5 (Jun-Sep 2026)</t>
  </si>
  <si>
    <t xml:space="preserve">Vistrit - Mapping, OTP &amp; Validation</t>
  </si>
  <si>
    <t xml:space="preserve">WTP meter mapping columns, OTP on GM edit/delete, field validation, OHT deactivate fix, meter naming, duplicate-village validation (Jun)</t>
  </si>
  <si>
    <t xml:space="preserve">US-VST-C5-001 - Vistrit – WTP Meter Mapping: New Columns (Date, Scheme, PIU, Meter Name) [M]
US-VST-C5-002 - Vistrit – OTP Verification for GM Edit/Delete on Scheme, OHT, Bulk Master [M]
US-VST-C5-003 - Vistrit – Scheme Village Mapping: Testing/Permitted Field Validation &amp; Census Population [L]
US-VST-C5-004 - Vistrit – OHT Deactivate Bug Fix (OHT Not Visible in FE Login) [M]
US-VST-C5-005 - Vistrit – WTP Meter Naming Convention Standardisation [L]
US-VST-OTP-C5-002 - Vistrit – Scheme Village Mapping: Duplicate Village Validation [L]
Status: 6 Done</t>
  </si>
  <si>
    <t xml:space="preserve">Master - Lock &amp; Data Integrity</t>
  </si>
  <si>
    <t xml:space="preserve">Lock Scheme/Village/OHT master on live link (CR MSTR-JUN-2026-006), Dhara mapped summary search fix, village deletion restriction (Jun-Jul)</t>
  </si>
  <si>
    <t xml:space="preserve">US-MSTR-C5-001 - Master - Lock Scheme/Village/OHT Master Once Linked to Live Transactions [M]
US-MSTR-C5-002 - Master - Dhara Mapped Summary Report Search Debugging &amp; Enhancement [M]
US-MSTR-C5-003 - Master - Village Deletion Restriction &amp; Database Validation Message [L]
Status: 1 Open, 2 Done</t>
  </si>
  <si>
    <t xml:space="preserve">Vistrit - Survey Intake/WTP/OHT Master</t>
  </si>
  <si>
    <t xml:space="preserve">Three new master sub-modules with Add/Update action (Sep)</t>
  </si>
  <si>
    <t xml:space="preserve">US-SEP-25 - Vistrit (Master) - Survey Intake, WTP and OHT Master sub-modules [M]
Status: 1 In Progress</t>
  </si>
  <si>
    <t xml:space="preserve">TOTAL MASTER ESTIMATION (CYCLE 5)</t>
  </si>
  <si>
    <t xml:space="preserve">FHTC / Parinam Module - Cycle 5 (Jun-Sep 2026)</t>
  </si>
  <si>
    <t xml:space="preserve">FHTC Parinam - Nasamajh, Samagra &amp; Surveys</t>
  </si>
  <si>
    <t xml:space="preserve">Nasamajh family head ID, Samagra API integration, multiple surveys per Samagra ID (Jun-Jul)</t>
  </si>
  <si>
    <t xml:space="preserve">US-FHTC-C5-001 - FHTC Parinam – Nasamajh Family Head ID &amp; Add Connection [M]
US-FHTC-C5-004 - FHTC Parinam – Samagra API Integration for Household Data [H]
US-FHTC-C5-005 - FHTC Parinam - Multiple Surveys per Samagra ID [M]
Status: 2 In Progress, 1 Done</t>
  </si>
  <si>
    <t xml:space="preserve">FHTC Parinam - Reports &amp; Search</t>
  </si>
  <si>
    <t xml:space="preserve">FE name in reports, contractor search option (Jun)</t>
  </si>
  <si>
    <t xml:space="preserve">US-FHTC-C5-002 - FHTC Parinam – FE Name Shown in Reports [L]
US-FHTC-C5-003 - FHTC Parinam – Contractor Search Option [L]
Status: 2 Done</t>
  </si>
  <si>
    <t xml:space="preserve">FHTC Parinam - Dashboard</t>
  </si>
  <si>
    <t xml:space="preserve">Parinam Dashboard tab on HSC Survey screen; FE dashboard and FE-login reports in mobile APK (Aug-Sep)</t>
  </si>
  <si>
    <t xml:space="preserve">US-AUG-27 - FHTC / Parinam - Parinam Dashboard tab on HSC Survey screen [L]
US-SEP-26 - Parinam - FE dashboard, FE-login reports, and multi-survey support confirmed stable [L]
Status: 2 Done</t>
  </si>
  <si>
    <t xml:space="preserve">TOTAL FHTC ESTIMATION (CYCLE 5)</t>
  </si>
  <si>
    <t xml:space="preserve">Cube Testing Module - Cycle 5 (Jun-Sep 2026)</t>
  </si>
  <si>
    <t xml:space="preserve">Cube Testing - Contractor Visibility &amp; ID</t>
  </si>
  <si>
    <t xml:space="preserve">Rejected data to contractor, Cube ID before image upload, Filter Bed sub-component (Jun)</t>
  </si>
  <si>
    <t xml:space="preserve">US-CUBE-C5-001 - Cube Testing – Show Rejected Data to Contractor [L]
US-CUBE-C5-002 - Cube Testing – Cube ID Generated Before Image Upload [L]
US-CUBE-C5-003 - Cube Testing – Filter Bed Sub-Component Under WTP [L]
Status: 3 Done</t>
  </si>
  <si>
    <t xml:space="preserve">Cube Testing - Re-Inspection Loop</t>
  </si>
  <si>
    <t xml:space="preserve">2nd-loop re-inspection after GM rejection; optional image on 2nd RFI loop (Jul)</t>
  </si>
  <si>
    <t xml:space="preserve">US-CUBE-C5-004 - Cube Testing - Re-Inspection Loop (2nd Loop after GM Rejection) [M]
US-CUBE-C5-005 - Cube Testing - Optional Image Upload on Second RFI Loop [L]
Status: 2 Done</t>
  </si>
  <si>
    <t xml:space="preserve">Cube Testing - Re-Inspection Status</t>
  </si>
  <si>
    <t xml:space="preserve">Cube RFI Id display; colour flag and separate re-inspection status (Sep)</t>
  </si>
  <si>
    <t xml:space="preserve">US-SEP-20 - Cube Testing - Cube RFI Id display [L]
US-SEP-21 - Cube Testing - Cube Reinspection — colour flag and separate status [L]
Status: 1 Open, 1 In Progress</t>
  </si>
  <si>
    <t xml:space="preserve">TOTAL CUBE TESTING ESTIMATION (CYCLE 5)</t>
  </si>
  <si>
    <t xml:space="preserve">Material Testing - Cycle 5 (Jun-Sep 2026)</t>
  </si>
  <si>
    <t xml:space="preserve">Material Testing - Re-Inspection Loop</t>
  </si>
  <si>
    <t xml:space="preserve">2nd-loop re-inspection and optional image on 2nd RFI loop (Jul-Aug; the AUG-25 production deployment is covered by these stories)</t>
  </si>
  <si>
    <t xml:space="preserve">US-MAT-C5-001 - Material Testing - Re-Inspection Loop (2nd Loop after GM Rejection) [M]
US-MAT-C5-002 - Material Testing - Optional Image Upload on Second RFI Loop [L]
Status: 1 In Progress, 1 Open</t>
  </si>
  <si>
    <t xml:space="preserve">Material Testing - GM/Contractor DB &amp; API</t>
  </si>
  <si>
    <t xml:space="preserve">Database functions and API enhancements for re-inspection (Jul)</t>
  </si>
  <si>
    <t xml:space="preserve">US-MAT-C5-003 - Material Testing - GM/Contractor Login Database &amp; API Enhancements [H]
Status: 1 In Progress</t>
  </si>
  <si>
    <t xml:space="preserve">Material Testing - Re-Inspection Id Flag</t>
  </si>
  <si>
    <t xml:space="preserve">Separate flag status for Material Reinspection Id (Sep)</t>
  </si>
  <si>
    <t xml:space="preserve">US-SEP-22 - Material Testing - Material Reinspection Id — separate flag status [L]
Status: 1 In Progress</t>
  </si>
  <si>
    <t xml:space="preserve">TOTAL MATERIAL TESTING ESTIMATION (CYCLE 5)</t>
  </si>
  <si>
    <t xml:space="preserve">Nirmal Module - Cycle 5 (Jun-Sep 2026)</t>
  </si>
  <si>
    <t xml:space="preserve">Nirmal - Reports &amp; Bug Fixes</t>
  </si>
  <si>
    <t xml:space="preserve">Beneficiary report fix, contractor counting bug, FE mobile reports, test scenarios/cases (Jun)</t>
  </si>
  <si>
    <t xml:space="preserve">US-NRM-C5-001 - Nirmal - Beneficiary Report Issue Fix [M]
US-NRM-C5-002 - Nirmal - Contractor Login Report Counting Bug Fix [L]
US-NRM-C5-003 - Nirmal - FE Mobile Reports Validation &amp; Bug Fixes [M]
US-NRM-C5-004 - Nirmal - Test Scenario and Test Case Creation [L]
Status: 4 Done</t>
  </si>
  <si>
    <t xml:space="preserve">Nirmal / SVS PHE - Water Testing</t>
  </si>
  <si>
    <t xml:space="preserve">SVS PHE status labelling and approval lock; water-testing entry form with pass/fail logic (Aug)</t>
  </si>
  <si>
    <t xml:space="preserve">US-AUG-23 - Nirmal / SVS PHE - Nirmal/SVS PHE integration logic and status labelling [M]
US-AUG-24 - Nirmal / SVS PHE - Nirmal/SVS PHE water-testing entry form [H]
Status: 2 In Progress</t>
  </si>
  <si>
    <t xml:space="preserve">TOTAL NIRMAL ESTIMATION (CYCLE 5)</t>
  </si>
  <si>
    <t xml:space="preserve">SVS Water Supply Monitoring - Cycle 5 (Jun-Sep 2026)</t>
  </si>
  <si>
    <t xml:space="preserve">SVS - Daily Water Supply Entry</t>
  </si>
  <si>
    <t xml:space="preserve">Bilingual conversion, login-scoped District/Block/GP, additional No-Supply reason, JJM ID removal (Jun)</t>
  </si>
  <si>
    <t xml:space="preserve">US-SVS-C5-001 - SVS – Bilingual Conversion (Hindi/English) for Water Supply Entry Page [M]
US-SVS-C5-002 - SVS – Login-Specific District, Block, GP Auto-Selection [L]
US-SVS-C5-003 - SVS – Additional Reason for NO Supply &amp; Spelling Correction [L]
US-SVS-C5-004 - SVS – Remove JJM ID and Village Status Fields [L]
Status: 4 Done</t>
  </si>
  <si>
    <t xml:space="preserve">SVS - Dashboard V2 &amp; Drill-down</t>
  </si>
  <si>
    <t xml:space="preserve">KPI cards with colour coding; Gram Sachiv and CEO/CO Block drill-down (Aug)</t>
  </si>
  <si>
    <t xml:space="preserve">US-AUG-19 - SVS Water Supply Dashboard - SVS Water Supply Status Dashboard V2 — KPI cards and colour coding [H]
US-AUG-20 - SVS Water Supply Dashboard - SVS dashboard drill-down — Gram Sachiv and CEO/CO Block [H]
Status: 2 In Progress</t>
  </si>
  <si>
    <t xml:space="preserve">SVS / MVS - Master</t>
  </si>
  <si>
    <t xml:space="preserve">SVS master wireframe and MVS Master for 600+ schemes (Aug)</t>
  </si>
  <si>
    <t xml:space="preserve">US-AUG-21 - SVS / MVS Master - SVS master wireframe and MVS Master (600+ entries) [M]
Status: 1 In Progress</t>
  </si>
  <si>
    <t xml:space="preserve">SVS Nirmal - FTK Kit</t>
  </si>
  <si>
    <t xml:space="preserve">FTK kit report and SVS Nirmal wireframe (Sep)</t>
  </si>
  <si>
    <t xml:space="preserve">US-SEP-28 - SVS Nirmal - FTK kit report and SVS Nirmal wireframe [L]
Status: 1 Done</t>
  </si>
  <si>
    <t xml:space="preserve">TOTAL SVS ESTIMATION (CYCLE 5)</t>
  </si>
  <si>
    <t xml:space="preserve">SVS Anusharavan GP Module - Cycle 5 (Aug-Sep 2026)</t>
  </si>
  <si>
    <t xml:space="preserve">SVS Anusharavan GP - Master &amp; Wireframe</t>
  </si>
  <si>
    <t xml:space="preserve">GP Master, Anusharavan GP wireframe, user management; funds-source and work-type masters (Sep)</t>
  </si>
  <si>
    <t xml:space="preserve">US-SEP-29 - SVS Anusharavan GP - GP Master and Anusharavan GP wireframe and user management [M]
US-SEP-34 - GP Master Data - Gram Panchayat Funds-Source and Nirman Karya work-type masters [M]
Status: 1 Done, 1 Open</t>
  </si>
  <si>
    <t xml:space="preserve">SVS Anusharavan GP - Mobile &amp; RFI Workflow</t>
  </si>
  <si>
    <t xml:space="preserve">Simplified RFI, GP mobile screen for FE, GP RFI raise and Sub-Engineer review (Aug-Sep)</t>
  </si>
  <si>
    <t xml:space="preserve">US-AUG-35 - RFI / Anusharavan (SVS-GP) - Simplified RFI system and GP–FE review workflow [H]
US-SEP-30 - SVS Anusharavan GP - GP Anusharavan Mobile Screen for FE [M]
US-SEP-31 - Anusharavan SVS — RFI - Gram Panchayat RFI raise and Sub-Engineer review workflow [H]
Status: 1 Not Started, 1 In Progress, 1 Open</t>
  </si>
  <si>
    <t xml:space="preserve">SVS Anusharavan GP - SIPRI Integration</t>
  </si>
  <si>
    <t xml:space="preserve">SIPRI/NREGA/Yuktdhara integration; AE block-wise login and Panchayat ID whitelisting (Sep)</t>
  </si>
  <si>
    <t xml:space="preserve">US-SEP-32 - Anusharavan SVS — SIPRI Integration - SIPRI / NREGA / Yuktdhara integration for GP works planning [H]
US-SEP-33 - Anusharavan SVS — SIPRI Integration - SIPRI AE block-wise login and Panchayat ID whitelisting [M]
Status: 2 Open</t>
  </si>
  <si>
    <t xml:space="preserve">TOTAL SVS ANUSHARAVAN GP ESTIMATION (CYCLE 5)</t>
  </si>
  <si>
    <t xml:space="preserve">Anusharavan Module - Cycle 5 (Jun-Sep 2026)</t>
  </si>
  <si>
    <t xml:space="preserve">Anusharavan - RFI Reports &amp; Search</t>
  </si>
  <si>
    <t xml:space="preserve">Multi-date in report, OHT search during RFI, optional GPS/village for Intake/WTP/MBR/RWPM (Jun)</t>
  </si>
  <si>
    <t xml:space="preserve">US-ANS-C5-001 - Anusharavan – Multi-Date in Report: FE RFI Submission Date &amp; Block Name [M]
US-ANS-C5-002 - Anusharavan – OHT Search Option During RFI [L]
US-ANS-C5-003 - Anusharavan – Remove Mandatory GPS/Village for Intake, WTP, MBR, RWPM, CWPM [L]
Status: 3 Done</t>
  </si>
  <si>
    <t xml:space="preserve">Anusharavan - Survey Fix</t>
  </si>
  <si>
    <t xml:space="preserve">Fix multiple survey submission by SQC/TL (Sep)</t>
  </si>
  <si>
    <t xml:space="preserve">US-SEP-24 - Anusharavan - Fix: multiple survey submission by SQC/TL [L]
Status: 1 In Progress</t>
  </si>
  <si>
    <t xml:space="preserve">TOTAL ANUSHARAVAN ESTIMATION (CYCLE 5)</t>
  </si>
  <si>
    <t xml:space="preserve">Asset Mapping Module - Cycle 5 (Jun-Sep 2026)</t>
  </si>
  <si>
    <t xml:space="preserve">Asset Mapping - SQC/TPIA/Contractor</t>
  </si>
  <si>
    <t xml:space="preserve">SQC/TPIA/Contractor asset data and report on web; API integration and frontend fixes (Jun)</t>
  </si>
  <si>
    <t xml:space="preserve">US-AST-C5-001 - Asset Mapping - SQC/TPIA Contractor Data &amp; Report on Web [M]
US-AST-C5-002 - Asset Mapping - API Integration &amp; Frontend Bug Fixes [M]
Status: 2 Done</t>
  </si>
  <si>
    <t xml:space="preserve">Asset Mapping - Report Cleanup</t>
  </si>
  <si>
    <t xml:space="preserve">OHT Id cleanup in reports (Sep)</t>
  </si>
  <si>
    <t xml:space="preserve">US-SEP-19 - Dhara / Asset Mapping - Asset Mapping — OHT Id cleanup in reports [L]
Status: 1 Open</t>
  </si>
  <si>
    <t xml:space="preserve">TOTAL ASSET MAPPING ESTIMATION (CYCLE 5)</t>
  </si>
  <si>
    <t xml:space="preserve">Bharosa CR Module - Cycle 5 (Jun-Sep 2026)</t>
  </si>
  <si>
    <t xml:space="preserve">Bharosa - Factory Testing</t>
  </si>
  <si>
    <t xml:space="preserve">Item master duplicate dropdown fix (web); factory testing mobile bug fixes (Jul)</t>
  </si>
  <si>
    <t xml:space="preserve">US-BHR-C5-001 - Bharosa - Item Master Duplicate Dropdown Entry Fix [L]
US-BHR-C5-002 - Bharosa - Factory Testing Mobile Bug Fixes [M]
Status: 2 Done</t>
  </si>
  <si>
    <t xml:space="preserve">Bharosa - Inspection Reassignment</t>
  </si>
  <si>
    <t xml:space="preserve">Inspection reassignment and photo-upload fix (Sep)</t>
  </si>
  <si>
    <t xml:space="preserve">US-SEP-23 - Bharosa - Bharosa inspection reassignment and photo-upload fix [L]
Status: 1 In Progress</t>
  </si>
  <si>
    <t xml:space="preserve">TOTAL BHAROSA CR ESTIMATION (CYCLE 5)</t>
  </si>
  <si>
    <t xml:space="preserve">AI Module FHTC - Cycle 5 (Jun-Sep 2026)</t>
  </si>
  <si>
    <t xml:space="preserve">AI Module - FHTC Tap Connection</t>
  </si>
  <si>
    <t xml:space="preserve">YOLO tap/person detection model, buffer-region validation, data processing and training pipeline (Jun)</t>
  </si>
  <si>
    <t xml:space="preserve">US-AI-C5-001 - AI Module - Tap &amp; Person Detection Predictive Model [H]
US-AI-C5-002 - AI Module - Tap Connection Buffer Region Validation (LLM/Pretrained Model Integration) [H]
US-AI-C5-003 - AI Module - FHTC Data Processing &amp; Model Training Pipeline [H]
Status: 3 Done</t>
  </si>
  <si>
    <t xml:space="preserve">TOTAL AI MODULE ESTIMATION (CYCLE 5)</t>
  </si>
  <si>
    <t xml:space="preserve">CMMI Documentation - Cycle 5 (Jun-Sep 2026)</t>
  </si>
  <si>
    <t xml:space="preserve">CMMI Doc - Cycle 5 Data &amp; Documentation</t>
  </si>
  <si>
    <t xml:space="preserve">Cycle 5 data collection; documentation streamlined for Cycle 5 modules (Jun-Jul)</t>
  </si>
  <si>
    <t xml:space="preserve">US-CMMI-C5-001 - CMMI Doc – Cycle 5 Data Collection (June 2026) [H]
US-CMMI-C5-002 - CMMI Doc – Streamline Documentation for Cycle 5 Modules [H]
Status: 2 In Progress</t>
  </si>
  <si>
    <t xml:space="preserve">CMMI Doc - Cycle 4 Closure</t>
  </si>
  <si>
    <t xml:space="preserve">Cycle 4 BRTM, release note, code review, SVN, Minitab analysis (Aug)</t>
  </si>
  <si>
    <t xml:space="preserve">US-AUG-29 - CMMI L5 - Cycle 4 BRTM and Release Note closure [H]
Status: 1 In Progress</t>
  </si>
  <si>
    <t xml:space="preserve">TOTAL CMMI DOC ESTIMATION (CYCLE 5)</t>
  </si>
  <si>
    <t xml:space="preserve">e-Sign via CDAC (Aadhaar) - Cycle 5 (Jun-Sep 2026)</t>
  </si>
  <si>
    <t xml:space="preserve">e-Sign CDAC - FE &amp; Contractor</t>
  </si>
  <si>
    <t xml:space="preserve">FE e-Sign on all logins; Contractor/Firm e-Sign for bill documents; O&amp;M Contractor &amp; GM e-Sign (Jun-Jul)</t>
  </si>
  <si>
    <t xml:space="preserve">US-ESIGN-C5-001 - e-Sign CDAC – FE e-Sign via Mobile/Web (All Logins) [H]
US-ESIGN-C5-002 - e-Sign CDAC – Contractor/Firm e-Sign for O&amp;M Bill Documents [H]
US-OM-C5-010 - O&amp;M Billing Workflow – e-Sign via CDAC (Contractor &amp; GM) [H]
Status: 3 In Progress</t>
  </si>
  <si>
    <t xml:space="preserve">e-Sign CDAC - TL Recommendation</t>
  </si>
  <si>
    <t xml:space="preserve">TL (PMC) recommendation letter via E-Office; TL (SQC)/TL (PMC) account office integration (Jul)</t>
  </si>
  <si>
    <t xml:space="preserve">US-ESIGN-C5-003 - e-Sign CDAC – TL (PMC) Recommendation Letter (E-Office Generated) [M]
US-ESIGN-C5-004 - e-Sign CDAC – TL (SQC) &amp; TL (PMC) Account Office Jal Rekha Integration [M]
Status: 2 In Progress</t>
  </si>
  <si>
    <t xml:space="preserve">TOTAL E-SIGN CDAC ESTIMATION (CYCLE 5)</t>
  </si>
  <si>
    <t xml:space="preserve">BISAC / BISAG Integration - Cycle 5 (Jun-Sep 2026)</t>
  </si>
  <si>
    <t xml:space="preserve">BISAC - NIC Asset &amp; Pipeline Mapping</t>
  </si>
  <si>
    <t xml:space="preserve">NIC Asset ID mapping, pipeline mapping with BISAC junction data, village LGD code logic (Jun-Jul)</t>
  </si>
  <si>
    <t xml:space="preserve">US-BISAC-C5-001 - BISAC – NIC Asset ID Mapping (Asset &amp; Junction Mapping) [H]
US-BISAC-C5-002 - BISAC – Pipeline Mapping with BISAC Junction Data [H]
US-BISAC-C5-003 - BISAC – Village LGD Code Integration (Village without LGD = Habitation) [M]
Status: 2 In Progress, 1 Done</t>
  </si>
  <si>
    <t xml:space="preserve">BISAG - Delhi Data Integration</t>
  </si>
  <si>
    <t xml:space="preserve">Asset &amp; pipeline APIs, Annexure-C, shapefile API; scheme mapping and progress-reporting fix (Aug)</t>
  </si>
  <si>
    <t xml:space="preserve">US-AUG-31 - BISAG / Delhi Data Integration - Asset &amp; Pipeline API and Annexure-C data sharing [H]
US-AUG-32 - BISAG / Delhi Data Integration - Scheme mapping and progress-reporting fix [M]
Status: 2 In Progress</t>
  </si>
  <si>
    <t xml:space="preserve">TOTAL BISAC-BISAG ESTIMATION (CYCLE 5)</t>
  </si>
  <si>
    <t xml:space="preserve">Other Modules (Daily Inspection, Sopan, QA, Mobile, Dashboard, Admin, Jal Samadhan, Security) - Cycle 5 (Jun-Sep 2026)</t>
  </si>
  <si>
    <t xml:space="preserve">Daily Inspection</t>
  </si>
  <si>
    <t xml:space="preserve">Role-based report modifications; mobile app bug fixes (Jun)</t>
  </si>
  <si>
    <t xml:space="preserve">US-DIN-C5-001 - Daily Inspection - Role-Based Report Modifications [M]
US-DIN-C5-002 - Daily Inspection - Mobile App Bug Fixes [L]
Status: 2 Done</t>
  </si>
  <si>
    <t xml:space="preserve">Sopan - Contractor Calendar</t>
  </si>
  <si>
    <t xml:space="preserve">Calendar functionality for 2026-27 on Contractor login, web and mobile (Jul)</t>
  </si>
  <si>
    <t xml:space="preserve">US-SOP-C5-001 - Sopan - Calendar Functionality for 2026-27 [M]
Status: 1 Open</t>
  </si>
  <si>
    <t xml:space="preserve">QA / User &amp; Role Management Automation</t>
  </si>
  <si>
    <t xml:space="preserve">Selenium (TestNG) scripts, automation review process, script extended through Assign Work (Jun, Sep)</t>
  </si>
  <si>
    <t xml:space="preserve">US-QA-C5-001 - QA Automation - Selenium Scripts for User Login &amp; Registration [M]
US-QA-C5-002 - QA Automation - Internal Review Process for Automation Testing [L]
PSR-SEP-04 - User &amp; Role Management - Selenium automation extended through Assign Work [M]
Status: 3 Done</t>
  </si>
  <si>
    <t xml:space="preserve">Mobile App - Fixes &amp; Stability</t>
  </si>
  <si>
    <t xml:space="preserve">UI/functional bug fixes (Aug); Play Console crash/ANR fixes (Sep); Azure DevOps Android CI/CD pipeline (Jun)</t>
  </si>
  <si>
    <t xml:space="preserve">US-AUG-28 - Mobile App - Mobile app UI/functional bug fixes [M]
US-SEP-37 - Mobile App Stability - Crash and ANR fixes from Play Console vitals [H]
PSR-JUN-01 - CI/CD - Azure DevOps Android pipeline implementation [M]
Status: 2 Done, 1 Open</t>
  </si>
  <si>
    <t xml:space="preserve">Dashboard &amp; Public Reports</t>
  </si>
  <si>
    <t xml:space="preserve">Redesign of all module inner pages, public reports on dashboard (Jul); login and forgot-password page UI (Sep)</t>
  </si>
  <si>
    <t xml:space="preserve">PSR-JUL-01 - Dashboard - redesign of all module and inner pages of Jal Rekha [M]
PSR-JUL-02 - All public reports on dashboard - sanity testing, bug fixes, report preparation [H]
PSR-SEP-01 - Dashboard - login page and forgot-password page UI fixes [M]
Status: 3 Done</t>
  </si>
  <si>
    <t xml:space="preserve">Admin / ID Management</t>
  </si>
  <si>
    <t xml:space="preserve">PIU district-wise restructuring and TL-ID/PIU-ID linking (Aug)</t>
  </si>
  <si>
    <t xml:space="preserve">US-AUG-36 - Admin / ID Management - PIU district-wise restructuring and TL-ID/PIU-ID linking [H]
Status: 1 Not Started</t>
  </si>
  <si>
    <t xml:space="preserve">Jal Samadhan</t>
  </si>
  <si>
    <t xml:space="preserve">Complaint queries module with SLA escalation (Aug); CM Helpline 181 integration (Sep)</t>
  </si>
  <si>
    <t xml:space="preserve">US-AUG-37 - Jal Samadhan - Complaint Queries module [M]
US-SEP-35 - Jal Samadhan - CM Helpline (181) integration for Jal Samadhan [H]
Status: 1 Not Started, 1 Open</t>
  </si>
  <si>
    <t xml:space="preserve">Security - Two-Factor Authentication</t>
  </si>
  <si>
    <t xml:space="preserve">2FA implementation for GM login IDs (Sep)</t>
  </si>
  <si>
    <t xml:space="preserve">US-SEP-36 - Jal Rekha — Security (2FA) - Two-Factor Authentication — current scope confirmed [H]
Status: 1 Done</t>
  </si>
  <si>
    <t xml:space="preserve">TOTAL OTHER MODULES ESTIMATION (CYCLE 5)</t>
  </si>
  <si>
    <t xml:space="preserve">Jal Rekha - Cycle 5 (Jun-Sep 2026) Estimation: Story-to-Size Mapping (audit trail)</t>
  </si>
  <si>
    <t xml:space="preserve">Complexity rule: weights Low=1, Medium=3, High=5 (as per Master / Guidelines sheets).</t>
  </si>
  <si>
    <t xml:space="preserve">Jun-Jul stories (Consolidated Register): source effort &lt;=6 hrs = Low, 7-19 hrs = Medium, &gt;=20 hrs = High.</t>
  </si>
  <si>
    <t xml:space="preserve">Aug-Sep stories (Sprint 19/20 documents carry no hours): acceptance-criteria count &lt;=3 Low, 4-5 Medium, &gt;=6 High; +1 level for external-system integration, multi-role workflow, KPI dashboards or complex multi-store business rules; -1 level for pure fix/rename/display scope. Overrides are stated in the Basis column.</t>
  </si>
  <si>
    <t xml:space="preserve">PSR/timesheet-only items (no user story): level from timesheet hours with the same hours rule.</t>
  </si>
  <si>
    <t xml:space="preserve">Excluded: duplicates of already-sized scope, confirmation-only stories, Cycle 4 scope and non-development activity (reason shown). The 41 stories in the Cycle 5 / CR Backlog document (US-C5-xx, US-CR-xx) restate register scope per the register CR Cross-Reference and are not counted again.</t>
  </si>
  <si>
    <t xml:space="preserve">Sr.</t>
  </si>
  <si>
    <t xml:space="preserve">Story ID</t>
  </si>
  <si>
    <t xml:space="preserve">Source</t>
  </si>
  <si>
    <t xml:space="preserve">Module / Title</t>
  </si>
  <si>
    <t xml:space="preserve">Status</t>
  </si>
  <si>
    <t xml:space="preserve">Period</t>
  </si>
  <si>
    <t xml:space="preserve">Counted</t>
  </si>
  <si>
    <t xml:space="preserve">Sub-module Row</t>
  </si>
  <si>
    <t xml:space="preserve">ACs</t>
  </si>
  <si>
    <t xml:space="preserve">Source Effort (hrs)</t>
  </si>
  <si>
    <t xml:space="preserve">Points</t>
  </si>
  <si>
    <t xml:space="preserve">Basis / Reason</t>
  </si>
  <si>
    <t xml:space="preserve">US-OM-C5-001</t>
  </si>
  <si>
    <t xml:space="preserve">Consolidated Register (Jun-Jul 2026)</t>
  </si>
  <si>
    <t xml:space="preserve">O&amp;M Billing – Abstract Report Generation</t>
  </si>
  <si>
    <t xml:space="preserve">Done</t>
  </si>
  <si>
    <t xml:space="preserve">Jun 2026</t>
  </si>
  <si>
    <t xml:space="preserve">Yes</t>
  </si>
  <si>
    <t xml:space="preserve">Source effort 20 hrs: &lt;=6 Low, 7-19 Medium, &gt;=20 High</t>
  </si>
  <si>
    <t xml:space="preserve">US-OM-C5-002</t>
  </si>
  <si>
    <t xml:space="preserve">O&amp;M Billing – Contractor Mistake Correction by SQC/TL → GM</t>
  </si>
  <si>
    <t xml:space="preserve">Source effort 16 hrs: &lt;=6 Low, 7-19 Medium, &gt;=20 High</t>
  </si>
  <si>
    <t xml:space="preserve">US-OM-C5-003</t>
  </si>
  <si>
    <t xml:space="preserve">O&amp;M Billing – Show All Records on All IDs (GM, SQC)</t>
  </si>
  <si>
    <t xml:space="preserve">Source effort 8 hrs: &lt;=6 Low, 7-19 Medium, &gt;=20 High</t>
  </si>
  <si>
    <t xml:space="preserve">US-OM-C5-004</t>
  </si>
  <si>
    <t xml:space="preserve">O&amp;M Billing – Merge PDF of All O&amp;M Bill Documents</t>
  </si>
  <si>
    <t xml:space="preserve">US-OM-C5-005</t>
  </si>
  <si>
    <t xml:space="preserve">O&amp;M Billing – Power Consumption: Contractor &amp; GM Side Changes</t>
  </si>
  <si>
    <t xml:space="preserve">In Progress</t>
  </si>
  <si>
    <t xml:space="preserve">Jun-Jul 2026</t>
  </si>
  <si>
    <t xml:space="preserve">Source effort 24 hrs: &lt;=6 Low, 7-19 Medium, &gt;=20 High</t>
  </si>
  <si>
    <t xml:space="preserve">US-OM-C5-006</t>
  </si>
  <si>
    <t xml:space="preserve">O&amp;M Billing – Two New Columns in Water Supply During Construction Bill</t>
  </si>
  <si>
    <t xml:space="preserve">US-OM-C5-007</t>
  </si>
  <si>
    <t xml:space="preserve">O&amp;M Billing – O&amp;M Villages: Construction Approval Status</t>
  </si>
  <si>
    <t xml:space="preserve">Jul 2026</t>
  </si>
  <si>
    <t xml:space="preserve">US-OM-C5-008</t>
  </si>
  <si>
    <t xml:space="preserve">O&amp;M Billing – Aaklan Contractor Dispute: Dhara Data Discrepancy Window</t>
  </si>
  <si>
    <t xml:space="preserve">US-OM-C5-009</t>
  </si>
  <si>
    <t xml:space="preserve">O&amp;M Billing – GM: Pump Transformer 10% Deduction Logic</t>
  </si>
  <si>
    <t xml:space="preserve">US-OM-C5-010</t>
  </si>
  <si>
    <t xml:space="preserve">O&amp;M Billing Workflow – e-Sign via CDAC (Contractor &amp; GM)</t>
  </si>
  <si>
    <t xml:space="preserve">Source effort 40 hrs: &lt;=6 Low, 7-19 Medium, &gt;=20 High</t>
  </si>
  <si>
    <t xml:space="preserve">US-OM-C5-011</t>
  </si>
  <si>
    <t xml:space="preserve">O&amp;M Billing – GM (PIU) Login: Bill PDF (19–20 Docs) &amp; 3-Month Consolidation</t>
  </si>
  <si>
    <t xml:space="preserve">Source effort 12 hrs: &lt;=6 Low, 7-19 Medium, &gt;=20 High</t>
  </si>
  <si>
    <t xml:space="preserve">US-OM-C5-012</t>
  </si>
  <si>
    <t xml:space="preserve">O&amp;M Billing – Sahbhagita Generate Abstract: Select RA Bill &amp; Tag All</t>
  </si>
  <si>
    <t xml:space="preserve">US-OM-C5-013</t>
  </si>
  <si>
    <t xml:space="preserve">O&amp;M Billing – Landscape Issue Fix in O&amp;M Bill Layout</t>
  </si>
  <si>
    <t xml:space="preserve">Source effort 4 hrs: &lt;=6 Low, 7-19 Medium, &gt;=20 High</t>
  </si>
  <si>
    <t xml:space="preserve">US-OM-C5-014</t>
  </si>
  <si>
    <t xml:space="preserve">O&amp;M Billing – LGD Code Integration: LG Directory → MPSQC</t>
  </si>
  <si>
    <t xml:space="preserve">US-OM-C5-015</t>
  </si>
  <si>
    <t xml:space="preserve">O&amp;M Billing - Residual Pressure &amp; Complaint Redressal Report Format</t>
  </si>
  <si>
    <t xml:space="preserve">US-OM-C5-016</t>
  </si>
  <si>
    <t xml:space="preserve">O&amp;M Billing - Complaint Redressal: 48-Hour Flag &amp; Penalty Relaxation</t>
  </si>
  <si>
    <t xml:space="preserve">Source effort 6 hrs: &lt;=6 Low, 7-19 Medium, &gt;=20 High</t>
  </si>
  <si>
    <t xml:space="preserve">US-OM-C5-017</t>
  </si>
  <si>
    <t xml:space="preserve">O&amp;M Billing - GST Number Integration</t>
  </si>
  <si>
    <t xml:space="preserve">Open</t>
  </si>
  <si>
    <t xml:space="preserve">US-SAH-C5-001</t>
  </si>
  <si>
    <t xml:space="preserve">Sahbhagita – RA Bill for ISA (replacing CP Manager)</t>
  </si>
  <si>
    <t xml:space="preserve">US-SAH-C5-002</t>
  </si>
  <si>
    <t xml:space="preserve">Sahbhagita – Village-wise &amp; Combined Activity Report</t>
  </si>
  <si>
    <t xml:space="preserve">US-SAH-C5-003</t>
  </si>
  <si>
    <t xml:space="preserve">Sahbhagita – Master Activity List Update (22 Combined + 32 Village-wise)</t>
  </si>
  <si>
    <t xml:space="preserve">US-SAH-C5-004</t>
  </si>
  <si>
    <t xml:space="preserve">Sahbhagita – Photo Scan AI: Face &amp; Background Detection (CP Manager Review)</t>
  </si>
  <si>
    <t xml:space="preserve">US-SAH-C5-005</t>
  </si>
  <si>
    <t xml:space="preserve">Sahbhagita – Hyperlink: Village Name → Village Activity → Document Preview</t>
  </si>
  <si>
    <t xml:space="preserve">US-SAH-C5-006</t>
  </si>
  <si>
    <t xml:space="preserve">Sahbhagita – RA Bill: RA(1) till RA(12) Withhold Bills</t>
  </si>
  <si>
    <t xml:space="preserve">US-SAH-C5-007</t>
  </si>
  <si>
    <t xml:space="preserve">Sahbhagita – Customised Report (ISA – Mainly Contractor Convention)</t>
  </si>
  <si>
    <t xml:space="preserve">US-SAH-C5-008</t>
  </si>
  <si>
    <t xml:space="preserve">Sahbhagita – Save as Draft for Video, Image &amp; Document (Mobile CR)</t>
  </si>
  <si>
    <t xml:space="preserve">US-SAH-C5-009</t>
  </si>
  <si>
    <t xml:space="preserve">Sahbhagita - Pagination on Approval Pages</t>
  </si>
  <si>
    <t xml:space="preserve">US-SAH-C5-010</t>
  </si>
  <si>
    <t xml:space="preserve">Sahbhagita - FE Visibility Scoped to Assigned ISA</t>
  </si>
  <si>
    <t xml:space="preserve">US-SAH-C5-011</t>
  </si>
  <si>
    <t xml:space="preserve">Sahbhagita - Self-Service Password Reset for ISA Login</t>
  </si>
  <si>
    <t xml:space="preserve">US-DHR-C5-001</t>
  </si>
  <si>
    <t xml:space="preserve">Dhara – Report Corrections (Approved Village MWSR, DWSR, OHT)</t>
  </si>
  <si>
    <t xml:space="preserve">US-DHR-C5-002</t>
  </si>
  <si>
    <t xml:space="preserve">Dhara – Report Format Standardisation (27 May 2026 Format)</t>
  </si>
  <si>
    <t xml:space="preserve">US-DHR-C5-003</t>
  </si>
  <si>
    <t xml:space="preserve">Dhara – Approved Reports &amp; Contractor Dispute Window</t>
  </si>
  <si>
    <t xml:space="preserve">US-DHR-C5-004</t>
  </si>
  <si>
    <t xml:space="preserve">Dhara – New Dhara Reports Visible on All Jal Rekha Logins</t>
  </si>
  <si>
    <t xml:space="preserve">US-DHR-C5-005</t>
  </si>
  <si>
    <t xml:space="preserve">Dhara – Dhara Entry Lock (Approved Data Should Not Change)</t>
  </si>
  <si>
    <t xml:space="preserve">US-DHR-C5-006</t>
  </si>
  <si>
    <t xml:space="preserve">Dhara – OHT/WTP/Intake Base Capacity Column in Report</t>
  </si>
  <si>
    <t xml:space="preserve">US-DHR-C5-007</t>
  </si>
  <si>
    <t xml:space="preserve">Dhara - Approved Report Data Correction (Agreed with Kapil Sir)</t>
  </si>
  <si>
    <t xml:space="preserve">US-DHR-C5-008</t>
  </si>
  <si>
    <t xml:space="preserve">Dhara - Non-Mandatory Remark, Photo Upload, Forward &amp; Backward Options</t>
  </si>
  <si>
    <t xml:space="preserve">US-VST-C5-001</t>
  </si>
  <si>
    <t xml:space="preserve">Vistrit – WTP Meter Mapping: New Columns (Date, Scheme, PIU, Meter Name)</t>
  </si>
  <si>
    <t xml:space="preserve">US-VST-C5-002</t>
  </si>
  <si>
    <t xml:space="preserve">Vistrit – OTP Verification for GM Edit/Delete on Scheme, OHT, Bulk Master</t>
  </si>
  <si>
    <t xml:space="preserve">US-VST-C5-003</t>
  </si>
  <si>
    <t xml:space="preserve">Vistrit – Scheme Village Mapping: Testing/Permitted Field Validation &amp; Census Population</t>
  </si>
  <si>
    <t xml:space="preserve">US-VST-C5-004</t>
  </si>
  <si>
    <t xml:space="preserve">Vistrit – OHT Deactivate Bug Fix (OHT Not Visible in FE Login)</t>
  </si>
  <si>
    <t xml:space="preserve">US-VST-C5-005</t>
  </si>
  <si>
    <t xml:space="preserve">Vistrit – WTP Meter Naming Convention Standardisation</t>
  </si>
  <si>
    <t xml:space="preserve">US-FHTC-C5-001</t>
  </si>
  <si>
    <t xml:space="preserve">FHTC Parinam – Nasamajh Family Head ID &amp; Add Connection</t>
  </si>
  <si>
    <t xml:space="preserve">US-FHTC-C5-002</t>
  </si>
  <si>
    <t xml:space="preserve">FHTC Parinam – FE Name Shown in Reports</t>
  </si>
  <si>
    <t xml:space="preserve">US-FHTC-C5-003</t>
  </si>
  <si>
    <t xml:space="preserve">FHTC Parinam – Contractor Search Option</t>
  </si>
  <si>
    <t xml:space="preserve">US-FHTC-C5-004</t>
  </si>
  <si>
    <t xml:space="preserve">FHTC Parinam – Samagra API Integration for Household Data</t>
  </si>
  <si>
    <t xml:space="preserve">US-FHTC-C5-005</t>
  </si>
  <si>
    <t xml:space="preserve">FHTC Parinam - Multiple Surveys per Samagra ID</t>
  </si>
  <si>
    <t xml:space="preserve">UAT Done</t>
  </si>
  <si>
    <t xml:space="preserve">US-BISAC-C5-001</t>
  </si>
  <si>
    <t xml:space="preserve">BISAC – NIC Asset ID Mapping (Asset &amp; Junction Mapping)</t>
  </si>
  <si>
    <t xml:space="preserve">US-BISAC-C5-002</t>
  </si>
  <si>
    <t xml:space="preserve">BISAC – Pipeline Mapping with BISAC Junction Data</t>
  </si>
  <si>
    <t xml:space="preserve">US-BISAC-C5-003</t>
  </si>
  <si>
    <t xml:space="preserve">BISAC – Village LGD Code Integration (Village without LGD = Habitation)</t>
  </si>
  <si>
    <t xml:space="preserve">US-ESIGN-C5-001</t>
  </si>
  <si>
    <t xml:space="preserve">e-Sign CDAC – FE e-Sign via Mobile/Web (All Logins)</t>
  </si>
  <si>
    <t xml:space="preserve">Source effort 30 hrs: &lt;=6 Low, 7-19 Medium, &gt;=20 High</t>
  </si>
  <si>
    <t xml:space="preserve">US-ESIGN-C5-002</t>
  </si>
  <si>
    <t xml:space="preserve">e-Sign CDAC – Contractor/Firm e-Sign for O&amp;M Bill Documents</t>
  </si>
  <si>
    <t xml:space="preserve">US-ESIGN-C5-003</t>
  </si>
  <si>
    <t xml:space="preserve">e-Sign CDAC – TL (PMC) Recommendation Letter (E-Office Generated)</t>
  </si>
  <si>
    <t xml:space="preserve">US-ESIGN-C5-004</t>
  </si>
  <si>
    <t xml:space="preserve">e-Sign CDAC – TL (SQC) &amp; TL (PMC) Account Office Jal Rekha Integration</t>
  </si>
  <si>
    <t xml:space="preserve">US-ANS-C5-001</t>
  </si>
  <si>
    <t xml:space="preserve">Anusharavan – Multi-Date in Report: FE RFI Submission Date &amp; Block Name</t>
  </si>
  <si>
    <t xml:space="preserve">US-ANS-C5-002</t>
  </si>
  <si>
    <t xml:space="preserve">Anusharavan – OHT Search Option During RFI</t>
  </si>
  <si>
    <t xml:space="preserve">US-ANS-C5-003</t>
  </si>
  <si>
    <t xml:space="preserve">Anusharavan – Remove Mandatory GPS/Village for Intake, WTP, MBR, RWPM, CWPM</t>
  </si>
  <si>
    <t xml:space="preserve">US-CUBE-C5-001</t>
  </si>
  <si>
    <t xml:space="preserve">Cube Testing – Show Rejected Data to Contractor</t>
  </si>
  <si>
    <t xml:space="preserve">US-CUBE-C5-002</t>
  </si>
  <si>
    <t xml:space="preserve">Cube Testing – Cube ID Generated Before Image Upload</t>
  </si>
  <si>
    <t xml:space="preserve">US-CUBE-C5-003</t>
  </si>
  <si>
    <t xml:space="preserve">Cube Testing – Filter Bed Sub-Component Under WTP</t>
  </si>
  <si>
    <t xml:space="preserve">US-CUBE-C5-004</t>
  </si>
  <si>
    <t xml:space="preserve">Cube Testing - Re-Inspection Loop (2nd Loop after GM Rejection)</t>
  </si>
  <si>
    <t xml:space="preserve">US-CUBE-C5-005</t>
  </si>
  <si>
    <t xml:space="preserve">Cube Testing - Optional Image Upload on Second RFI Loop</t>
  </si>
  <si>
    <t xml:space="preserve">US-SVS-C5-001</t>
  </si>
  <si>
    <t xml:space="preserve">SVS – Bilingual Conversion (Hindi/English) for Water Supply Entry Page</t>
  </si>
  <si>
    <t xml:space="preserve">US-SVS-C5-002</t>
  </si>
  <si>
    <t xml:space="preserve">SVS – Login-Specific District, Block, GP Auto-Selection</t>
  </si>
  <si>
    <t xml:space="preserve">US-SVS-C5-003</t>
  </si>
  <si>
    <t xml:space="preserve">SVS – Additional Reason for NO Supply &amp; Spelling Correction</t>
  </si>
  <si>
    <t xml:space="preserve">US-SVS-C5-004</t>
  </si>
  <si>
    <t xml:space="preserve">SVS – Remove JJM ID and Village Status Fields</t>
  </si>
  <si>
    <t xml:space="preserve">US-VST-OTP-C5-001</t>
  </si>
  <si>
    <t xml:space="preserve">Vistrit – OTP Verification on Scheme/OHT/Bulk Master (GM Edit/Delete)</t>
  </si>
  <si>
    <t xml:space="preserve">No</t>
  </si>
  <si>
    <t xml:space="preserve">Excluded: Duplicate of US-VST-C5-002 (OTP on GM edit/delete)</t>
  </si>
  <si>
    <t xml:space="preserve">US-VST-OTP-C5-002</t>
  </si>
  <si>
    <t xml:space="preserve">Vistrit – Scheme Village Mapping: Duplicate Village Validation</t>
  </si>
  <si>
    <t xml:space="preserve">US-CMMI-C5-001</t>
  </si>
  <si>
    <t xml:space="preserve">CMMI Doc – Cycle 5 Data Collection (June 2026)</t>
  </si>
  <si>
    <t xml:space="preserve">US-CMMI-C5-002</t>
  </si>
  <si>
    <t xml:space="preserve">CMMI Doc – Streamline Documentation for Cycle 5 Modules</t>
  </si>
  <si>
    <t xml:space="preserve">Source effort 60 hrs: &lt;=6 Low, 7-19 Medium, &gt;=20 High</t>
  </si>
  <si>
    <t xml:space="preserve">US-OMWF-C4-001</t>
  </si>
  <si>
    <t xml:space="preserve">O&amp;M Billing Workflow – Firm Bill Submission</t>
  </si>
  <si>
    <t xml:space="preserve">Cycle 4</t>
  </si>
  <si>
    <t xml:space="preserve">Excluded: Cycle 4 scope (Sprint 12-16, delivered Jan-May 2026) - already estimated in Cycle 4 O&amp;M Billing Workflow row</t>
  </si>
  <si>
    <t xml:space="preserve">US-OMWF-C4-002</t>
  </si>
  <si>
    <t xml:space="preserve">O&amp;M Billing Workflow – GM (PIU) Forward to TL (CSC)</t>
  </si>
  <si>
    <t xml:space="preserve">US-OMWF-C4-003</t>
  </si>
  <si>
    <t xml:space="preserve">O&amp;M Billing Workflow – TL (CSC) Review &amp; Recommendation</t>
  </si>
  <si>
    <t xml:space="preserve">US-OMWF-C4-004</t>
  </si>
  <si>
    <t xml:space="preserve">O&amp;M Billing Workflow – GM (PIU) Final Data Entry &amp; Signed Document Upload</t>
  </si>
  <si>
    <t xml:space="preserve">US-OMWF-C4-005</t>
  </si>
  <si>
    <t xml:space="preserve">O&amp;M Billing Workflow – GM (O&amp;M) to TL (PMC) Routing</t>
  </si>
  <si>
    <t xml:space="preserve">US-OMWF-C4-006</t>
  </si>
  <si>
    <t xml:space="preserve">O&amp;M Billing Workflow – DGM (O&amp;M) Review</t>
  </si>
  <si>
    <t xml:space="preserve">US-OMWF-C4-007</t>
  </si>
  <si>
    <t xml:space="preserve">O&amp;M Billing Workflow – GM (O&amp;M) Pass Order &amp; HO Letter Upload</t>
  </si>
  <si>
    <t xml:space="preserve">US-OMWF-C4-008</t>
  </si>
  <si>
    <t xml:space="preserve">O&amp;M Billing Workflow – CGM Regional Office Routing</t>
  </si>
  <si>
    <t xml:space="preserve">US-OMWF-C4-009</t>
  </si>
  <si>
    <t xml:space="preserve">O&amp;M Billing Workflow – CA Financial Review</t>
  </si>
  <si>
    <t xml:space="preserve">US-OMWF-C4-010</t>
  </si>
  <si>
    <t xml:space="preserve">O&amp;M Billing Workflow – CFO Sign-off</t>
  </si>
  <si>
    <t xml:space="preserve">US-OMWF-C4-011</t>
  </si>
  <si>
    <t xml:space="preserve">O&amp;M Billing Workflow – P.D. Review</t>
  </si>
  <si>
    <t xml:space="preserve">US-OMWF-C4-012</t>
  </si>
  <si>
    <t xml:space="preserve">O&amp;M Billing Workflow – MD Final Approval</t>
  </si>
  <si>
    <t xml:space="preserve">US-OMWF-C4-013</t>
  </si>
  <si>
    <t xml:space="preserve">O&amp;M Billing Workflow – Manage Bill (View Pending Bills)</t>
  </si>
  <si>
    <t xml:space="preserve">US-OMWF-C4-014</t>
  </si>
  <si>
    <t xml:space="preserve">O&amp;M Billing Workflow – Document Upload Hub (Multi-Document Per Bill)</t>
  </si>
  <si>
    <t xml:space="preserve">US-OMWF-C4-015</t>
  </si>
  <si>
    <t xml:space="preserve">O&amp;M Billing Workflow – GM (PIU) Login Screen Structure</t>
  </si>
  <si>
    <t xml:space="preserve">US-OMWF-C4-016</t>
  </si>
  <si>
    <t xml:space="preserve">O&amp;M Billing Workflow – End-to-End Workflow Testing</t>
  </si>
  <si>
    <t xml:space="preserve">WIP</t>
  </si>
  <si>
    <t xml:space="preserve">US-MAT-C5-001</t>
  </si>
  <si>
    <t xml:space="preserve">Material Testing - Re-Inspection Loop (2nd Loop after GM Rejection)</t>
  </si>
  <si>
    <t xml:space="preserve">US-MAT-C5-002</t>
  </si>
  <si>
    <t xml:space="preserve">Material Testing - Optional Image Upload on Second RFI Loop</t>
  </si>
  <si>
    <t xml:space="preserve">US-MAT-C5-003</t>
  </si>
  <si>
    <t xml:space="preserve">Material Testing - GM/Contractor Login Database &amp; API Enhancements</t>
  </si>
  <si>
    <t xml:space="preserve">US-NRM-C5-001</t>
  </si>
  <si>
    <t xml:space="preserve">Nirmal - Beneficiary Report Issue Fix</t>
  </si>
  <si>
    <t xml:space="preserve">US-NRM-C5-002</t>
  </si>
  <si>
    <t xml:space="preserve">Nirmal - Contractor Login Report Counting Bug Fix</t>
  </si>
  <si>
    <t xml:space="preserve">US-NRM-C5-003</t>
  </si>
  <si>
    <t xml:space="preserve">Nirmal - FE Mobile Reports Validation &amp; Bug Fixes</t>
  </si>
  <si>
    <t xml:space="preserve">US-NRM-C5-004</t>
  </si>
  <si>
    <t xml:space="preserve">Nirmal - Test Scenario and Test Case Creation</t>
  </si>
  <si>
    <t xml:space="preserve">US-AI-C5-001</t>
  </si>
  <si>
    <t xml:space="preserve">AI Module - Tap &amp; Person Detection Predictive Model</t>
  </si>
  <si>
    <t xml:space="preserve">US-AI-C5-002</t>
  </si>
  <si>
    <t xml:space="preserve">AI Module - Tap Connection Buffer Region Validation (LLM/Pretrained Model Integration)</t>
  </si>
  <si>
    <t xml:space="preserve">Source effort 32 hrs: &lt;=6 Low, 7-19 Medium, &gt;=20 High</t>
  </si>
  <si>
    <t xml:space="preserve">US-AI-C5-003</t>
  </si>
  <si>
    <t xml:space="preserve">AI Module - FHTC Data Processing &amp; Model Training Pipeline</t>
  </si>
  <si>
    <t xml:space="preserve">US-MSTR-C5-001</t>
  </si>
  <si>
    <t xml:space="preserve">Master - Lock Scheme/Village/OHT Master Once Linked to Live Transactions</t>
  </si>
  <si>
    <t xml:space="preserve">US-MSTR-C5-002</t>
  </si>
  <si>
    <t xml:space="preserve">Master - Dhara Mapped Summary Report Search Debugging &amp; Enhancement</t>
  </si>
  <si>
    <t xml:space="preserve">US-MSTR-C5-003</t>
  </si>
  <si>
    <t xml:space="preserve">Master - Village Deletion Restriction &amp; Database Validation Message</t>
  </si>
  <si>
    <t xml:space="preserve">US-AST-C5-001</t>
  </si>
  <si>
    <t xml:space="preserve">Asset Mapping - SQC/TPIA Contractor Data &amp; Report on Web</t>
  </si>
  <si>
    <t xml:space="preserve">US-AST-C5-002</t>
  </si>
  <si>
    <t xml:space="preserve">Asset Mapping - API Integration &amp; Frontend Bug Fixes</t>
  </si>
  <si>
    <t xml:space="preserve">Source effort 10 hrs: &lt;=6 Low, 7-19 Medium, &gt;=20 High</t>
  </si>
  <si>
    <t xml:space="preserve">US-BHR-C5-001</t>
  </si>
  <si>
    <t xml:space="preserve">Bharosa - Item Master Duplicate Dropdown Entry Fix</t>
  </si>
  <si>
    <t xml:space="preserve">US-BHR-C5-002</t>
  </si>
  <si>
    <t xml:space="preserve">Bharosa - Factory Testing Mobile Bug Fixes</t>
  </si>
  <si>
    <t xml:space="preserve">US-DIN-C5-001</t>
  </si>
  <si>
    <t xml:space="preserve">Daily Inspection - Role-Based Report Modifications</t>
  </si>
  <si>
    <t xml:space="preserve">US-DIN-C5-002</t>
  </si>
  <si>
    <t xml:space="preserve">Daily Inspection - Mobile App Bug Fixes</t>
  </si>
  <si>
    <t xml:space="preserve">US-SOP-C5-001</t>
  </si>
  <si>
    <t xml:space="preserve">Sopan - Calendar Functionality for 2026-27</t>
  </si>
  <si>
    <t xml:space="preserve">US-QA-C5-001</t>
  </si>
  <si>
    <t xml:space="preserve">QA Automation - Selenium Scripts for User Login &amp; Registration</t>
  </si>
  <si>
    <t xml:space="preserve">US-QA-C5-002</t>
  </si>
  <si>
    <t xml:space="preserve">QA Automation - Internal Review Process for Automation Testing</t>
  </si>
  <si>
    <t xml:space="preserve">US-AUG-01</t>
  </si>
  <si>
    <t xml:space="preserve">Sprint 19 User Stories (Aug 2026)</t>
  </si>
  <si>
    <t xml:space="preserve">O&amp;M Billing — WSDCP - New WSDCP tab and Bill Generation status tracking</t>
  </si>
  <si>
    <t xml:space="preserve">Aug 2026</t>
  </si>
  <si>
    <t xml:space="preserve">AC=5 (Medium) +1: new workflow-stage tracking and bill history across multiple data stores</t>
  </si>
  <si>
    <t xml:space="preserve">US-AUG-02</t>
  </si>
  <si>
    <t xml:space="preserve">O&amp;M Billing — WSDCP - WSDCP Payment Details tab</t>
  </si>
  <si>
    <t xml:space="preserve">AC=7 (High): agreement fetch, variation orders, multi-field computation</t>
  </si>
  <si>
    <t xml:space="preserve">US-AUG-03</t>
  </si>
  <si>
    <t xml:space="preserve">O&amp;M Billing — WSDCP - WSDCP Power Consumption Sheet — Banked Units logic</t>
  </si>
  <si>
    <t xml:space="preserve">AC=5 (Medium) +1: banked-units business rules validated against sample scheme formula</t>
  </si>
  <si>
    <t xml:space="preserve">US-AUG-04</t>
  </si>
  <si>
    <t xml:space="preserve">O&amp;M Billing — WSDCP - WSDCP Monthly Bill Sheet — Functional HSC and deductions</t>
  </si>
  <si>
    <t xml:space="preserve">AC=6 (High): gross-amount formula, deductions table, net payable and GST</t>
  </si>
  <si>
    <t xml:space="preserve">US-AUG-05</t>
  </si>
  <si>
    <t xml:space="preserve">O&amp;M Billing — WSDCP - WSDCP UFW Report (no penalty)</t>
  </si>
  <si>
    <t xml:space="preserve">AC=3 (Low): report display, no penalty logic</t>
  </si>
  <si>
    <t xml:space="preserve">US-AUG-06</t>
  </si>
  <si>
    <t xml:space="preserve">O&amp;M Billing — WSDCP - WSDCP User Acceptance Testing on pilot scheme</t>
  </si>
  <si>
    <t xml:space="preserve">AC=4 (Medium): UAT across four screen sets on one pilot scheme</t>
  </si>
  <si>
    <t xml:space="preserve">US-AUG-07</t>
  </si>
  <si>
    <t xml:space="preserve">O&amp;M Billing — Workflow - Full multi-role forward/backward billing workflow</t>
  </si>
  <si>
    <t xml:space="preserve">AC=5 (Medium) +1: multi-role forward/backward routing</t>
  </si>
  <si>
    <t xml:space="preserve">US-AUG-08</t>
  </si>
  <si>
    <t xml:space="preserve">O&amp;M Billing — Workflow - GM/SQC edit rights on bill data with mandatory remark</t>
  </si>
  <si>
    <t xml:space="preserve">AC=6 (High): edit rights with mandatory remark across four sheets</t>
  </si>
  <si>
    <t xml:space="preserve">US-AUG-09</t>
  </si>
  <si>
    <t xml:space="preserve">O&amp;M Billing — Workflow - SQC-not-available fallback — GM confirms directly</t>
  </si>
  <si>
    <t xml:space="preserve">AC=5 (Medium): single-SQC fallback routing</t>
  </si>
  <si>
    <t xml:space="preserve">US-AUG-10</t>
  </si>
  <si>
    <t xml:space="preserve">O&amp;M Billing — Workflow - Higher Officials approval chain (GM O&amp;M → MD)</t>
  </si>
  <si>
    <t xml:space="preserve">AC=5 (Medium) +1: seven-role higher-officials chain</t>
  </si>
  <si>
    <t xml:space="preserve">US-AUG-11</t>
  </si>
  <si>
    <t xml:space="preserve">O&amp;M Billing — Data Integrity - Census Population / village denominator fix</t>
  </si>
  <si>
    <t xml:space="preserve">AC=4 (Medium): denominator rule and sequence-date enforcement</t>
  </si>
  <si>
    <t xml:space="preserve">US-AUG-12</t>
  </si>
  <si>
    <t xml:space="preserve">O&amp;M Billing — UI/Workflow - 'Pending Bills for Review' rename and scheme filter</t>
  </si>
  <si>
    <t xml:space="preserve">AC=5 (Medium) -1: rename, filter option, date columns (UI/labels)</t>
  </si>
  <si>
    <t xml:space="preserve">US-AUG-13</t>
  </si>
  <si>
    <t xml:space="preserve">O&amp;M Billing — Net Payable - Net Payable Bill — Add More Deduction / Any Other Addition</t>
  </si>
  <si>
    <t xml:space="preserve">AC=4 (Medium): multi-entry deduction/addition with document</t>
  </si>
  <si>
    <t xml:space="preserve">US-AUG-14</t>
  </si>
  <si>
    <t xml:space="preserve">O&amp;M Billing — Complaint Handling - Complaint category coding and extended deductions</t>
  </si>
  <si>
    <t xml:space="preserve">AC=4 (Medium): five complaint categories with reason and document</t>
  </si>
  <si>
    <t xml:space="preserve">US-AUG-15</t>
  </si>
  <si>
    <t xml:space="preserve">O&amp;M Billing — GST - GST Number on Bill and Abstract</t>
  </si>
  <si>
    <t xml:space="preserve">Excluded: Duplicate of US-OM-C5-017 (GST Number, same CR OMB-MAY-2026-003)</t>
  </si>
  <si>
    <t xml:space="preserve">US-AUG-16</t>
  </si>
  <si>
    <t xml:space="preserve">O&amp;M Billing — LGD Integration - LGD Code integration (LG Directory → MPSQC)</t>
  </si>
  <si>
    <t xml:space="preserve">Excluded: Duplicate of US-OM-C5-014 (LGD code integration)</t>
  </si>
  <si>
    <t xml:space="preserve">US-AUG-17</t>
  </si>
  <si>
    <t xml:space="preserve">O&amp;M Billing — Contractor Discrepancy - Contractor discrepancy time-window on Dhara data</t>
  </si>
  <si>
    <t xml:space="preserve">Excluded: Duplicate of US-OM-C5-008 (Contractor dispute window on Dhara data)</t>
  </si>
  <si>
    <t xml:space="preserve">US-AUG-18</t>
  </si>
  <si>
    <t xml:space="preserve">O&amp;M Billing — Aakalan - Aakalan Addition/Deduction feature (TL SQC / GM PIU)</t>
  </si>
  <si>
    <t xml:space="preserve">AC=5 (Medium): role-restricted adjustment with audit in consolidated abstract</t>
  </si>
  <si>
    <t xml:space="preserve">US-AUG-19</t>
  </si>
  <si>
    <t xml:space="preserve">SVS Water Supply Dashboard - SVS Water Supply Status Dashboard V2 — KPI cards and colour coding</t>
  </si>
  <si>
    <t xml:space="preserve">AC=5 (Medium) +1: dashboard with KPI cards, colour rules and workflow</t>
  </si>
  <si>
    <t xml:space="preserve">US-AUG-20</t>
  </si>
  <si>
    <t xml:space="preserve">SVS Water Supply Dashboard - SVS dashboard drill-down — Gram Sachiv and CEO/CO Block</t>
  </si>
  <si>
    <t xml:space="preserve">AC=4 (Medium) +1: role-specific drill-down with approve/reject</t>
  </si>
  <si>
    <t xml:space="preserve">US-AUG-21</t>
  </si>
  <si>
    <t xml:space="preserve">SVS / MVS Master - SVS master wireframe and MVS Master (600+ entries)</t>
  </si>
  <si>
    <t xml:space="preserve">AC=4 (Medium): master wireframe and 600+ entry master mirroring Vistrit</t>
  </si>
  <si>
    <t xml:space="preserve">US-AUG-22</t>
  </si>
  <si>
    <t xml:space="preserve">SVS / Dhara Meter Logic - FE/Dhara Meter Functional logic and sequential approval</t>
  </si>
  <si>
    <t xml:space="preserve">AC=4 (Medium): meter functional/absent logic and sequential approval</t>
  </si>
  <si>
    <t xml:space="preserve">US-AUG-23</t>
  </si>
  <si>
    <t xml:space="preserve">Nirmal / SVS PHE - Nirmal/SVS PHE integration logic and status labelling</t>
  </si>
  <si>
    <t xml:space="preserve">AC=5 (Medium): status labelling, colour coding, drill-down, approval lock</t>
  </si>
  <si>
    <t xml:space="preserve">US-AUG-24</t>
  </si>
  <si>
    <t xml:space="preserve">Nirmal / SVS PHE - Nirmal/SVS PHE water-testing entry form</t>
  </si>
  <si>
    <t xml:space="preserve">AC=6 (High): multi-field water-testing form with pass/fail logic and photos</t>
  </si>
  <si>
    <t xml:space="preserve">US-AUG-25</t>
  </si>
  <si>
    <t xml:space="preserve">Material Testing - Material Testing 2nd-loop re-inspection — production deployment</t>
  </si>
  <si>
    <t xml:space="preserve">Excluded: Production deployment of scope already sized in US-MAT-C5-001/002/003</t>
  </si>
  <si>
    <t xml:space="preserve">US-AUG-26</t>
  </si>
  <si>
    <t xml:space="preserve">Sahbhagita - Sahbhagita Abstract of RA Bill — production release</t>
  </si>
  <si>
    <t xml:space="preserve">AC=5 (Medium) -1: UAT defect fixes and release of work sized in Jun (SAH-C5-002/006)</t>
  </si>
  <si>
    <t xml:space="preserve">US-AUG-27</t>
  </si>
  <si>
    <t xml:space="preserve">FHTC / Parinam - Parinam Dashboard tab on HSC Survey screen</t>
  </si>
  <si>
    <t xml:space="preserve">AC=4 (Medium) -1: display-only dashboard tab</t>
  </si>
  <si>
    <t xml:space="preserve">US-AUG-28</t>
  </si>
  <si>
    <t xml:space="preserve">Mobile App - Mobile app UI/functional bug fixes</t>
  </si>
  <si>
    <t xml:space="preserve">AC=6 (High) -1: mobile navigation and duplicate-control fixes</t>
  </si>
  <si>
    <t xml:space="preserve">US-AUG-29</t>
  </si>
  <si>
    <t xml:space="preserve">CMMI L5 - Cycle 4 BRTM and Release Note closure</t>
  </si>
  <si>
    <t xml:space="preserve">AC=6 (High): BRTM, release note, code review, SVN, Minitab</t>
  </si>
  <si>
    <t xml:space="preserve">US-AUG-30</t>
  </si>
  <si>
    <t xml:space="preserve">Master Data - Master Data Lock scope finalisation</t>
  </si>
  <si>
    <t xml:space="preserve">Excluded: Duplicate of US-MSTR-C5-001 (Master lock, CR MSTR-JUN-2026-006)</t>
  </si>
  <si>
    <t xml:space="preserve">US-AUG-31</t>
  </si>
  <si>
    <t xml:space="preserve">BISAG / Delhi Data Integration - Asset &amp; Pipeline API and Annexure-C data sharing</t>
  </si>
  <si>
    <t xml:space="preserve">AC=5 (Medium) +1: external BISAG API and Annexure-C data sharing</t>
  </si>
  <si>
    <t xml:space="preserve">US-AUG-32</t>
  </si>
  <si>
    <t xml:space="preserve">BISAG / Delhi Data Integration - Scheme mapping and progress-reporting fix</t>
  </si>
  <si>
    <t xml:space="preserve">AC=5 (Medium): integration (+1) offset by fix scope (-1)</t>
  </si>
  <si>
    <t xml:space="preserve">US-AUG-33</t>
  </si>
  <si>
    <t xml:space="preserve">Contractor Billing Acceleration - Hands-on training for non-submitting agencies</t>
  </si>
  <si>
    <t xml:space="preserve">Excluded: Hands-on training for agencies - operational activity, not development scope</t>
  </si>
  <si>
    <t xml:space="preserve">US-AUG-34</t>
  </si>
  <si>
    <t xml:space="preserve">Dhara &amp; Nirmal Panchayat Monitoring - Panchayat-level dashboard and MVS-to-local-body handover</t>
  </si>
  <si>
    <t xml:space="preserve">AC=6 (High): panchayat dashboards for two modules plus 5-step handover</t>
  </si>
  <si>
    <t xml:space="preserve">US-AUG-35</t>
  </si>
  <si>
    <t xml:space="preserve">RFI / Anusharavan (SVS-GP) - Simplified RFI system and GP–FE review workflow</t>
  </si>
  <si>
    <t xml:space="preserve">Not Started</t>
  </si>
  <si>
    <t xml:space="preserve">AC=9 (High): simplified RFI with geotag, classification and review workflow</t>
  </si>
  <si>
    <t xml:space="preserve">US-AUG-36</t>
  </si>
  <si>
    <t xml:space="preserve">Admin / ID Management - PIU district-wise restructuring and TL-ID/PIU-ID linking</t>
  </si>
  <si>
    <t xml:space="preserve">AC=6 (High): PIU restructuring, ID linking, agency re-mapping protocol</t>
  </si>
  <si>
    <t xml:space="preserve">US-AUG-37</t>
  </si>
  <si>
    <t xml:space="preserve">Jal Samadhan - Complaint Queries module</t>
  </si>
  <si>
    <t xml:space="preserve">AC=4 (Medium): complaint queries page with SLA escalation</t>
  </si>
  <si>
    <t xml:space="preserve">US-SEP-01</t>
  </si>
  <si>
    <t xml:space="preserve">Sprint 20 User Stories (Sep 2026)</t>
  </si>
  <si>
    <t xml:space="preserve">O&amp;M Billing / Aaklan - O&amp;M Billing workflow confirmed stable in production</t>
  </si>
  <si>
    <t xml:space="preserve">Sep 2026</t>
  </si>
  <si>
    <t xml:space="preserve">Excluded: Production confirmation of workflow scope already sized (US-AUG-01/07/08/12/18)</t>
  </si>
  <si>
    <t xml:space="preserve">US-SEP-02</t>
  </si>
  <si>
    <t xml:space="preserve">O&amp;M Billing / Aaklan - Withheld Addition/Deduction amounts shown at End-of-Month</t>
  </si>
  <si>
    <t xml:space="preserve">AC=4 (Medium)</t>
  </si>
  <si>
    <t xml:space="preserve">US-SEP-03</t>
  </si>
  <si>
    <t xml:space="preserve">O&amp;M Billing / Aaklan - Fix: bill remains editable after Contractor submission</t>
  </si>
  <si>
    <t xml:space="preserve">AC=3 (Low): client-side lock fix</t>
  </si>
  <si>
    <t xml:space="preserve">US-SEP-04</t>
  </si>
  <si>
    <t xml:space="preserve">O&amp;M Billing / Aaklan - TRP gate controlling O&amp;M Phase availability</t>
  </si>
  <si>
    <t xml:space="preserve">AC=3 (Low): phase-availability gate</t>
  </si>
  <si>
    <t xml:space="preserve">US-SEP-05</t>
  </si>
  <si>
    <t xml:space="preserve">O&amp;M Billing / Aaklan - Scheme-based SQC/TL list cleanup</t>
  </si>
  <si>
    <t xml:space="preserve">AC=4 (Medium) -1: list cleanup</t>
  </si>
  <si>
    <t xml:space="preserve">US-SEP-06</t>
  </si>
  <si>
    <t xml:space="preserve">O&amp;M Billing / Aaklan - WSDCP / TRP / O&amp;M Phase tabs with staged Abstract pages</t>
  </si>
  <si>
    <t xml:space="preserve">AC=3 (Low) +1: three phase tabs with staged abstract pages</t>
  </si>
  <si>
    <t xml:space="preserve">US-SEP-07</t>
  </si>
  <si>
    <t xml:space="preserve">O&amp;M Billing / Aaklan - Full audit trail on Contractor Bill edits</t>
  </si>
  <si>
    <t xml:space="preserve">AC=4 (Medium): audit trail on contractor bill edits</t>
  </si>
  <si>
    <t xml:space="preserve">US-SEP-08</t>
  </si>
  <si>
    <t xml:space="preserve">O&amp;M Billing / Aaklan - PMC / Deputy O&amp;M role-scoped scheme visibility</t>
  </si>
  <si>
    <t xml:space="preserve">AC=4 (Medium): role-scoped visibility</t>
  </si>
  <si>
    <t xml:space="preserve">US-SEP-09</t>
  </si>
  <si>
    <t xml:space="preserve">O&amp;M Billing / Aaklan - Gross Payable Bill — minimum value validation</t>
  </si>
  <si>
    <t xml:space="preserve">AC=3 (Low): minimum-value validation</t>
  </si>
  <si>
    <t xml:space="preserve">US-SEP-10</t>
  </si>
  <si>
    <t xml:space="preserve">O&amp;M Billing / Aaklan - Census Population verification before Generate Bill</t>
  </si>
  <si>
    <t xml:space="preserve">AC=3 (Low): pre-generation census check</t>
  </si>
  <si>
    <t xml:space="preserve">US-SEP-11</t>
  </si>
  <si>
    <t xml:space="preserve">O&amp;M Billing / Aaklan - User Management — PIU-wise ID search with Tenure and Agency columns</t>
  </si>
  <si>
    <t xml:space="preserve">AC=4 (Medium): PIU-wise ID search with tenure/agency columns</t>
  </si>
  <si>
    <t xml:space="preserve">US-SEP-12</t>
  </si>
  <si>
    <t xml:space="preserve">O&amp;M Billing / Aaklan - TL ID conflict resolution (Bhopal / Sehore)</t>
  </si>
  <si>
    <t xml:space="preserve">AC=3 (Low): TL ID conflict resolution</t>
  </si>
  <si>
    <t xml:space="preserve">US-SEP-13</t>
  </si>
  <si>
    <t xml:space="preserve">O&amp;M Billing / Aaklan - Save-as-Draft confirmation popup on Bulk bill actions</t>
  </si>
  <si>
    <t xml:space="preserve">AC=3 (Low) -1: confirmation popup</t>
  </si>
  <si>
    <t xml:space="preserve">US-SEP-14</t>
  </si>
  <si>
    <t xml:space="preserve">O&amp;M Billing — Complaint Redressal - Carry-forward of unresolved complaints with 48-hour flag</t>
  </si>
  <si>
    <t xml:space="preserve">AC=5 (Medium): complaint carry-forward with 48-hour flag</t>
  </si>
  <si>
    <t xml:space="preserve">US-SEP-15</t>
  </si>
  <si>
    <t xml:space="preserve">Dhara - Dhara sequential reading approval lock</t>
  </si>
  <si>
    <t xml:space="preserve">AC=4 (Medium): sequential approval lock</t>
  </si>
  <si>
    <t xml:space="preserve">US-SEP-16</t>
  </si>
  <si>
    <t xml:space="preserve">Dhara - Dhara reading edit rules by meter status (GM / SQC-TL login)</t>
  </si>
  <si>
    <t xml:space="preserve">AC=5 (Medium) +1: edit-rules matrix by meter status and login role</t>
  </si>
  <si>
    <t xml:space="preserve">US-SEP-17</t>
  </si>
  <si>
    <t xml:space="preserve">Dhara - Dhara Survey Report column restructuring</t>
  </si>
  <si>
    <t xml:space="preserve">AC=5 (Medium): survey report column restructuring</t>
  </si>
  <si>
    <t xml:space="preserve">US-SEP-18</t>
  </si>
  <si>
    <t xml:space="preserve">Dhara - Dhara Electricity Meter Bill — MPEB Smart Meter API integration</t>
  </si>
  <si>
    <t xml:space="preserve">AC=4 (Medium) +1: external MPEB smart-meter API</t>
  </si>
  <si>
    <t xml:space="preserve">US-SEP-19</t>
  </si>
  <si>
    <t xml:space="preserve">Dhara / Asset Mapping - Asset Mapping — OHT Id cleanup in reports</t>
  </si>
  <si>
    <t xml:space="preserve">AC=3 (Low): report cleanup</t>
  </si>
  <si>
    <t xml:space="preserve">US-SEP-20</t>
  </si>
  <si>
    <t xml:space="preserve">Cube Testing - Cube RFI Id display</t>
  </si>
  <si>
    <t xml:space="preserve">AC=3 (Low): id display</t>
  </si>
  <si>
    <t xml:space="preserve">US-SEP-21</t>
  </si>
  <si>
    <t xml:space="preserve">Cube Testing - Cube Reinspection — colour flag and separate status</t>
  </si>
  <si>
    <t xml:space="preserve">AC=3 (Low): colour flag and status</t>
  </si>
  <si>
    <t xml:space="preserve">US-SEP-22</t>
  </si>
  <si>
    <t xml:space="preserve">Material Testing - Material Reinspection Id — separate flag status</t>
  </si>
  <si>
    <t xml:space="preserve">AC=3 (Low): flag status</t>
  </si>
  <si>
    <t xml:space="preserve">US-SEP-23</t>
  </si>
  <si>
    <t xml:space="preserve">Bharosa - Bharosa inspection reassignment and photo-upload fix</t>
  </si>
  <si>
    <t xml:space="preserve">AC=4 (Medium) -1: reassignment and photo-upload fix</t>
  </si>
  <si>
    <t xml:space="preserve">US-SEP-24</t>
  </si>
  <si>
    <t xml:space="preserve">Anusharavan - Fix: multiple survey submission by SQC/TL</t>
  </si>
  <si>
    <t xml:space="preserve">AC=3 (Low): bug fix</t>
  </si>
  <si>
    <t xml:space="preserve">US-SEP-25</t>
  </si>
  <si>
    <t xml:space="preserve">Vistrit (Master) - Survey Intake, WTP and OHT Master sub-modules</t>
  </si>
  <si>
    <t xml:space="preserve">AC=4 (Medium): three master sub-modules, web page and API</t>
  </si>
  <si>
    <t xml:space="preserve">US-SEP-26</t>
  </si>
  <si>
    <t xml:space="preserve">Parinam - FE dashboard, FE-login reports, and multi-survey support confirmed stable</t>
  </si>
  <si>
    <t xml:space="preserve">AC=4 (Medium) -1: only the new FE dashboard/FE-login reports sized; FE name and multi-survey already sized in FHTC-C5-002/005</t>
  </si>
  <si>
    <t xml:space="preserve">US-SEP-27</t>
  </si>
  <si>
    <t xml:space="preserve">SVS Water Supply Monitoring - SVS Water Supply Dashboard and SVS Nirmal module completed</t>
  </si>
  <si>
    <t xml:space="preserve">Excluded: Completion confirmation of SVS dashboard/Nirmal scope already sized (US-AUG-19/20/23/24, US-SVS-C5-001..004)</t>
  </si>
  <si>
    <t xml:space="preserve">US-SEP-28</t>
  </si>
  <si>
    <t xml:space="preserve">SVS Nirmal - FTK kit report and SVS Nirmal wireframe</t>
  </si>
  <si>
    <t xml:space="preserve">AC=3 (Low): FTK report and wireframe</t>
  </si>
  <si>
    <t xml:space="preserve">US-SEP-29</t>
  </si>
  <si>
    <t xml:space="preserve">SVS Anusharavan GP - GP Master and Anusharavan GP wireframe and user management</t>
  </si>
  <si>
    <t xml:space="preserve">AC=3 (Low) override +1: wireframe plus GP Master development and user management</t>
  </si>
  <si>
    <t xml:space="preserve">US-SEP-30</t>
  </si>
  <si>
    <t xml:space="preserve">SVS Anusharavan GP - GP Anusharavan Mobile Screen for FE</t>
  </si>
  <si>
    <t xml:space="preserve">AC=3 (Low) override +1: new mobile screen for FE login</t>
  </si>
  <si>
    <t xml:space="preserve">US-SEP-31</t>
  </si>
  <si>
    <t xml:space="preserve">Anusharavan SVS — RFI - Gram Panchayat RFI raise and Sub-Engineer review workflow</t>
  </si>
  <si>
    <t xml:space="preserve">AC=5 (Medium) +1: GP RFI raise and Sub-Engineer review workflow</t>
  </si>
  <si>
    <t xml:space="preserve">US-SEP-32</t>
  </si>
  <si>
    <t xml:space="preserve">Anusharavan SVS — SIPRI Integration - SIPRI / NREGA / Yuktdhara integration for GP works planning</t>
  </si>
  <si>
    <t xml:space="preserve">AC=5 (Medium) +1: SIPRI/NREGA/Yuktdhara external integration</t>
  </si>
  <si>
    <t xml:space="preserve">US-SEP-33</t>
  </si>
  <si>
    <t xml:space="preserve">Anusharavan SVS — SIPRI Integration - SIPRI AE block-wise login and Panchayat ID whitelisting</t>
  </si>
  <si>
    <t xml:space="preserve">AC=4 (Medium): block-wise login and ID whitelisting</t>
  </si>
  <si>
    <t xml:space="preserve">US-SEP-34</t>
  </si>
  <si>
    <t xml:space="preserve">GP Master Data - Gram Panchayat Funds-Source and Nirman Karya work-type masters</t>
  </si>
  <si>
    <t xml:space="preserve">AC=5 (Medium): two new masters</t>
  </si>
  <si>
    <t xml:space="preserve">US-SEP-35</t>
  </si>
  <si>
    <t xml:space="preserve">Jal Samadhan - CM Helpline (181) integration for Jal Samadhan</t>
  </si>
  <si>
    <t xml:space="preserve">AC=4 (Medium) +1: external CM Helpline 181 integration</t>
  </si>
  <si>
    <t xml:space="preserve">US-SEP-36</t>
  </si>
  <si>
    <t xml:space="preserve">Jal Rekha — Security (2FA) - Two-Factor Authentication — current scope confirmed</t>
  </si>
  <si>
    <t xml:space="preserve">2FA implementation: 24 hrs logged in Sep timesheet (Adhoc) - hours rule (&gt;=20 hrs = High)</t>
  </si>
  <si>
    <t xml:space="preserve">US-SEP-37</t>
  </si>
  <si>
    <t xml:space="preserve">Mobile App Stability - Crash and ANR fixes from Play Console vitals</t>
  </si>
  <si>
    <t xml:space="preserve">AC=8 (High): eight independent crash/ANR root causes</t>
  </si>
  <si>
    <t xml:space="preserve">PSR-JUN-01</t>
  </si>
  <si>
    <t xml:space="preserve">June 2026 PSR / timesheet</t>
  </si>
  <si>
    <t xml:space="preserve">CI/CD - Azure DevOps Android pipeline implementation</t>
  </si>
  <si>
    <t xml:space="preserve">Completed</t>
  </si>
  <si>
    <t xml:space="preserve">Timesheet: AzureDevOps 16 hrs (Sprint 17): &lt;=6 Low, 7-19 Medium, &gt;=20 High</t>
  </si>
  <si>
    <t xml:space="preserve">PSR-JUL-01</t>
  </si>
  <si>
    <t xml:space="preserve">July 2026 PSR / timesheet</t>
  </si>
  <si>
    <t xml:space="preserve">Dashboard - redesign of all module and inner pages of Jal Rekha</t>
  </si>
  <si>
    <t xml:space="preserve">Timesheet: Dashboard 16 hrs (Sprint 18): &lt;=6 Low, 7-19 Medium, &gt;=20 High</t>
  </si>
  <si>
    <t xml:space="preserve">PSR-JUL-02</t>
  </si>
  <si>
    <t xml:space="preserve">All public reports on dashboard - sanity testing, bug fixes, report preparation</t>
  </si>
  <si>
    <t xml:space="preserve">Timesheet: All Public Reports on Dashboard 26 hrs (Sprint 18): &lt;=6 Low, 7-19 Medium, &gt;=20 High</t>
  </si>
  <si>
    <t xml:space="preserve">PSR-SEP-01</t>
  </si>
  <si>
    <t xml:space="preserve">September 2026 PSR / timesheet</t>
  </si>
  <si>
    <t xml:space="preserve">Dashboard - login page and forgot-password page UI fixes</t>
  </si>
  <si>
    <t xml:space="preserve">Timesheet: Dashboard 16 hrs (Sprint 20): &lt;=6 Low, 7-19 Medium, &gt;=20 High</t>
  </si>
  <si>
    <t xml:space="preserve">PSR-SEP-02</t>
  </si>
  <si>
    <t xml:space="preserve">O&amp;M Billing Contractor - Bill Tracking page UI overhaul, Abstract Bill UI, responsive layout</t>
  </si>
  <si>
    <t xml:space="preserve">Timesheet: O&amp;M Billing - Change Request Contractor 48 hrs (Sprint 20): &lt;=6 Low, 7-19 Medium, &gt;=20 High</t>
  </si>
  <si>
    <t xml:space="preserve">PSR-SEP-03</t>
  </si>
  <si>
    <t xml:space="preserve">O&amp;M Billing GM - Abstract Report PDF UI fixes</t>
  </si>
  <si>
    <t xml:space="preserve">Timesheet: O&amp;M Billing GM 8 hrs (Sprint 20): &lt;=6 Low, 7-19 Medium, &gt;=20 High</t>
  </si>
  <si>
    <t xml:space="preserve">PSR-SEP-04</t>
  </si>
  <si>
    <t xml:space="preserve">User &amp; Role Management - Selenium automation extended through Assign Work</t>
  </si>
  <si>
    <t xml:space="preserve">Timesheet: User &amp; Role Management 12 hrs (Sprint 20): &lt;=6 Low, 7-19 Medium, &gt;=20 High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</si>
</sst>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/yyyy"/>
    <numFmt numFmtId="166" formatCode="0.0;[RED]0.0"/>
    <numFmt numFmtId="167" formatCode="dd\-mmm\-yyyy"/>
    <numFmt numFmtId="168" formatCode="0%"/>
    <numFmt numFmtId="169" formatCode="mmm\-yy"/>
    <numFmt numFmtId="170" formatCode="#,##0"/>
    <numFmt numFmtId="171" formatCode="0.000"/>
    <numFmt numFmtId="172" formatCode="#,##0.0"/>
    <numFmt numFmtId="173" formatCode="0.00"/>
    <numFmt numFmtId="174" formatCode="0.0%"/>
    <numFmt numFmtId="17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theme="1"/>
      <name val="Play"/>
      <family val="0"/>
      <charset val="1"/>
    </font>
    <font>
      <sz val="11"/>
      <color theme="1"/>
      <name val="Play"/>
      <family val="0"/>
      <charset val="1"/>
    </font>
    <font>
      <sz val="10"/>
      <color theme="1"/>
      <name val="Play"/>
      <family val="0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9"/>
      <name val="Play"/>
      <family val="0"/>
      <charset val="1"/>
    </font>
    <font>
      <i val="true"/>
      <sz val="9"/>
      <name val="Play"/>
      <family val="0"/>
      <charset val="1"/>
    </font>
    <font>
      <sz val="12"/>
      <color theme="1"/>
      <name val="Play"/>
      <family val="0"/>
      <charset val="1"/>
    </font>
    <font>
      <b val="true"/>
      <sz val="12"/>
      <color theme="1"/>
      <name val="Play"/>
      <family val="0"/>
      <charset val="1"/>
    </font>
    <font>
      <b val="true"/>
      <sz val="10"/>
      <color theme="1"/>
      <name val="Play"/>
      <family val="0"/>
      <charset val="1"/>
    </font>
    <font>
      <sz val="10"/>
      <color theme="1"/>
      <name val="Aptos Display"/>
      <family val="2"/>
      <charset val="1"/>
    </font>
    <font>
      <sz val="10"/>
      <color theme="1"/>
      <name val="Calibri"/>
      <family val="2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A5A5A5"/>
        <bgColor rgb="FFBFBFBF"/>
      </patternFill>
    </fill>
    <fill>
      <patternFill patternType="solid">
        <fgColor theme="0"/>
        <bgColor rgb="FFF2F2F2"/>
      </patternFill>
    </fill>
    <fill>
      <patternFill patternType="solid">
        <fgColor rgb="FF4F81BD"/>
        <bgColor rgb="FF808080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4" borderId="1" xfId="2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4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0" xfId="2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4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0" fillId="0" borderId="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1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8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F81B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123840</xdr:colOff>
      <xdr:row>0</xdr:row>
      <xdr:rowOff>0</xdr:rowOff>
    </xdr:from>
    <xdr:to>
      <xdr:col>1</xdr:col>
      <xdr:colOff>49680</xdr:colOff>
      <xdr:row>3</xdr:row>
      <xdr:rowOff>151200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3840" y="0"/>
          <a:ext cx="967320" cy="69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3359375" defaultRowHeight="14.25" zeroHeight="false" outlineLevelRow="0" outlineLevelCol="0"/>
  <cols>
    <col collapsed="false" customWidth="true" hidden="false" outlineLevel="0" max="1" min="1" style="1" width="14.78"/>
    <col collapsed="false" customWidth="true" hidden="false" outlineLevel="0" max="2" min="2" style="1" width="7.77"/>
    <col collapsed="false" customWidth="true" hidden="false" outlineLevel="0" max="3" min="3" style="1" width="48.88"/>
    <col collapsed="false" customWidth="true" hidden="false" outlineLevel="0" max="4" min="4" style="1" width="17.11"/>
    <col collapsed="false" customWidth="true" hidden="false" outlineLevel="0" max="5" min="5" style="1" width="26.22"/>
    <col collapsed="false" customWidth="true" hidden="false" outlineLevel="0" max="26" min="6" style="1" width="8.77"/>
    <col collapsed="false" customWidth="false" hidden="false" outlineLevel="0" max="16384" min="27" style="1" width="14.33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>
      <c r="A5" s="2" t="s">
        <v>0</v>
      </c>
      <c r="B5" s="3" t="s">
        <v>1</v>
      </c>
      <c r="C5" s="2" t="s">
        <v>2</v>
      </c>
      <c r="D5" s="2" t="s">
        <v>3</v>
      </c>
      <c r="E5" s="3" t="s">
        <v>4</v>
      </c>
    </row>
    <row r="6" customFormat="false" ht="14.25" hidden="false" customHeight="true" outlineLevel="0" collapsed="false">
      <c r="A6" s="4" t="n">
        <v>45660</v>
      </c>
      <c r="B6" s="5" t="n">
        <v>1</v>
      </c>
      <c r="C6" s="6" t="s">
        <v>5</v>
      </c>
      <c r="D6" s="7" t="s">
        <v>6</v>
      </c>
      <c r="E6" s="7" t="s">
        <v>7</v>
      </c>
    </row>
    <row r="7" customFormat="false" ht="14.25" hidden="false" customHeight="true" outlineLevel="0" collapsed="false">
      <c r="A7" s="8" t="n">
        <v>46174</v>
      </c>
      <c r="B7" s="1" t="s">
        <v>8</v>
      </c>
      <c r="C7" s="1" t="s">
        <v>9</v>
      </c>
      <c r="D7" s="1" t="s">
        <v>10</v>
      </c>
      <c r="E7" s="1" t="s">
        <v>11</v>
      </c>
    </row>
    <row r="8" customFormat="false" ht="14.25" hidden="false" customHeight="true" outlineLevel="0" collapsed="false">
      <c r="A8" s="8" t="n">
        <v>46190</v>
      </c>
      <c r="B8" s="1" t="s">
        <v>12</v>
      </c>
      <c r="C8" s="1" t="s">
        <v>13</v>
      </c>
      <c r="D8" s="1" t="s">
        <v>10</v>
      </c>
      <c r="E8" s="1" t="s">
        <v>11</v>
      </c>
    </row>
    <row r="9" customFormat="false" ht="14.25" hidden="false" customHeight="true" outlineLevel="0" collapsed="false">
      <c r="A9" s="8" t="n">
        <v>46314</v>
      </c>
      <c r="B9" s="1" t="s">
        <v>14</v>
      </c>
      <c r="C9" s="1" t="s">
        <v>15</v>
      </c>
      <c r="D9" s="1" t="s">
        <v>10</v>
      </c>
      <c r="E9" s="1" t="s">
        <v>11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3359375" defaultRowHeight="14.25" zeroHeight="false" outlineLevelRow="0" outlineLevelCol="0"/>
  <cols>
    <col collapsed="false" customWidth="true" hidden="false" outlineLevel="0" max="1" min="1" style="1" width="35.11"/>
    <col collapsed="false" customWidth="true" hidden="false" outlineLevel="0" max="2" min="2" style="1" width="33.11"/>
    <col collapsed="false" customWidth="true" hidden="false" outlineLevel="0" max="3" min="3" style="1" width="22.22"/>
    <col collapsed="false" customWidth="true" hidden="false" outlineLevel="0" max="4" min="4" style="1" width="26.33"/>
    <col collapsed="false" customWidth="true" hidden="false" outlineLevel="0" max="26" min="5" style="1" width="8.77"/>
    <col collapsed="false" customWidth="false" hidden="false" outlineLevel="0" max="16384" min="27" style="1" width="14.33"/>
  </cols>
  <sheetData>
    <row r="1" customFormat="false" ht="14.25" hidden="false" customHeight="true" outlineLevel="0" collapsed="false">
      <c r="A1" s="9" t="s">
        <v>16</v>
      </c>
      <c r="B1" s="10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4.25" hidden="false" customHeight="true" outlineLevel="0" collapsed="false">
      <c r="A2" s="12" t="s">
        <v>17</v>
      </c>
      <c r="B2" s="12" t="s">
        <v>18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4.25" hidden="false" customHeight="true" outlineLevel="0" collapsed="false">
      <c r="A3" s="13" t="s">
        <v>19</v>
      </c>
      <c r="B3" s="13" t="s">
        <v>19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4.25" hidden="false" customHeight="true" outlineLevel="0" collapsed="false">
      <c r="A4" s="14" t="s">
        <v>20</v>
      </c>
      <c r="B4" s="14" t="s">
        <v>20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4.25" hidden="false" customHeight="true" outlineLevel="0" collapsed="false">
      <c r="A5" s="14" t="s">
        <v>21</v>
      </c>
      <c r="B5" s="14" t="s">
        <v>21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4.25" hidden="false" customHeight="true" outlineLevel="0" collapsed="false">
      <c r="A6" s="14" t="s">
        <v>22</v>
      </c>
      <c r="B6" s="14" t="s">
        <v>22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4.25" hidden="false" customHeight="true" outlineLevel="0" collapsed="false">
      <c r="A7" s="14" t="s">
        <v>23</v>
      </c>
      <c r="B7" s="14" t="s">
        <v>23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4.25" hidden="false" customHeight="true" outlineLevel="0" collapsed="false">
      <c r="A8" s="14" t="s">
        <v>24</v>
      </c>
      <c r="B8" s="14" t="s">
        <v>24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4.25" hidden="false" customHeight="true" outlineLevel="0" collapsed="false">
      <c r="A9" s="13" t="s">
        <v>25</v>
      </c>
      <c r="B9" s="13" t="s">
        <v>25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customFormat="false" ht="14.25" hidden="false" customHeight="true" outlineLevel="0" collapsed="false">
      <c r="A10" s="14" t="s">
        <v>26</v>
      </c>
      <c r="B10" s="14" t="s">
        <v>26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customFormat="false" ht="14.25" hidden="false" customHeight="true" outlineLevel="0" collapsed="false">
      <c r="A11" s="15" t="s">
        <v>27</v>
      </c>
      <c r="B11" s="15" t="s">
        <v>27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4.25" hidden="false" customHeight="true" outlineLevel="0" collapsed="false">
      <c r="A12" s="15" t="s">
        <v>28</v>
      </c>
      <c r="B12" s="15" t="s">
        <v>28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4.25" hidden="false" customHeight="true" outlineLevel="0" collapsed="false">
      <c r="A13" s="16" t="s">
        <v>29</v>
      </c>
      <c r="B13" s="16" t="s">
        <v>29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4.25" hidden="false" customHeight="true" outlineLevel="0" collapsed="false">
      <c r="A14" s="16"/>
      <c r="B14" s="16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4.25" hidden="false" customHeight="true" outlineLevel="0" collapsed="false">
      <c r="A15" s="16"/>
      <c r="B15" s="16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4.25" hidden="false" customHeight="true" outlineLevel="0" collapsed="false">
      <c r="A16" s="17"/>
      <c r="B16" s="17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4.25" hidden="false" customHeight="true" outlineLevel="0" collapsed="false">
      <c r="A17" s="16"/>
      <c r="B17" s="16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4.25" hidden="false" customHeight="true" outlineLevel="0" collapsed="false">
      <c r="A18" s="16"/>
      <c r="B18" s="1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4.25" hidden="false" customHeight="true" outlineLevel="0" collapsed="false">
      <c r="A19" s="16"/>
      <c r="B19" s="1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4.25" hidden="false" customHeight="true" outlineLevel="0" collapsed="false">
      <c r="A20" s="16"/>
      <c r="B20" s="16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Format="false" ht="14.25" hidden="false" customHeight="true" outlineLevel="0" collapsed="false">
      <c r="A21" s="16"/>
      <c r="B21" s="1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4.25" hidden="false" customHeight="true" outlineLevel="0" collapsed="false">
      <c r="A22" s="18"/>
      <c r="B22" s="1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4.2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4.2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4.25" hidden="false" customHeight="true" outlineLevel="0" collapsed="false">
      <c r="A25" s="19" t="s">
        <v>30</v>
      </c>
      <c r="B25" s="19" t="s">
        <v>31</v>
      </c>
      <c r="C25" s="19" t="s">
        <v>32</v>
      </c>
      <c r="D25" s="20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4.25" hidden="false" customHeight="true" outlineLevel="0" collapsed="false">
      <c r="A26" s="21" t="s">
        <v>33</v>
      </c>
      <c r="B26" s="22" t="s">
        <v>17</v>
      </c>
      <c r="C26" s="23" t="n">
        <v>5</v>
      </c>
      <c r="D26" s="21" t="s">
        <v>34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4.25" hidden="false" customHeight="true" outlineLevel="0" collapsed="false">
      <c r="A27" s="21" t="s">
        <v>35</v>
      </c>
      <c r="B27" s="22" t="s">
        <v>18</v>
      </c>
      <c r="C27" s="23" t="n">
        <v>4</v>
      </c>
      <c r="D27" s="21" t="s">
        <v>36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4.25" hidden="false" customHeight="true" outlineLevel="0" collapsed="false">
      <c r="A28" s="21" t="s">
        <v>37</v>
      </c>
      <c r="B28" s="22"/>
      <c r="C28" s="23" t="n">
        <v>3</v>
      </c>
      <c r="D28" s="21" t="s">
        <v>38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4.25" hidden="false" customHeight="true" outlineLevel="0" collapsed="false">
      <c r="A29" s="21" t="s">
        <v>39</v>
      </c>
      <c r="B29" s="22"/>
      <c r="C29" s="23" t="n">
        <v>2</v>
      </c>
      <c r="D29" s="21" t="s">
        <v>40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4.25" hidden="false" customHeight="true" outlineLevel="0" collapsed="false">
      <c r="A30" s="21"/>
      <c r="B30" s="22"/>
      <c r="C30" s="23" t="n">
        <v>1</v>
      </c>
      <c r="D30" s="21" t="s">
        <v>41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4.25" hidden="false" customHeight="true" outlineLevel="0" collapsed="false">
      <c r="A31" s="24"/>
      <c r="B31" s="24"/>
      <c r="C31" s="23" t="n">
        <v>0</v>
      </c>
      <c r="D31" s="21" t="s">
        <v>42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4.25" hidden="false" customHeight="true" outlineLevel="0" collapsed="false">
      <c r="D32" s="20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4.25" hidden="false" customHeight="true" outlineLevel="0" collapsed="false">
      <c r="D33" s="20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4.25" hidden="false" customHeight="true" outlineLevel="0" collapsed="false">
      <c r="D34" s="20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4.25" hidden="false" customHeight="true" outlineLevel="0" collapsed="false">
      <c r="D35" s="20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4.25" hidden="false" customHeight="true" outlineLevel="0" collapsed="false">
      <c r="A36" s="20"/>
      <c r="C36" s="20"/>
      <c r="D36" s="20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4.25" hidden="false" customHeight="true" outlineLevel="0" collapsed="false">
      <c r="A37" s="25" t="s">
        <v>43</v>
      </c>
      <c r="B37" s="26"/>
      <c r="C37" s="26"/>
      <c r="D37" s="27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4.25" hidden="false" customHeight="true" outlineLevel="0" collapsed="false">
      <c r="A38" s="28"/>
      <c r="B38" s="29" t="s">
        <v>44</v>
      </c>
      <c r="C38" s="30" t="s">
        <v>45</v>
      </c>
      <c r="D38" s="30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4.25" hidden="false" customHeight="true" outlineLevel="0" collapsed="false">
      <c r="A39" s="28"/>
      <c r="B39" s="30"/>
      <c r="C39" s="30" t="s">
        <v>46</v>
      </c>
      <c r="D39" s="30" t="s">
        <v>47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4.25" hidden="false" customHeight="true" outlineLevel="0" collapsed="false">
      <c r="A40" s="28" t="s">
        <v>48</v>
      </c>
      <c r="B40" s="31" t="n">
        <v>0.15</v>
      </c>
      <c r="C40" s="30" t="n">
        <v>4000</v>
      </c>
      <c r="D40" s="30" t="n">
        <v>6000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4.25" hidden="false" customHeight="true" outlineLevel="0" collapsed="false">
      <c r="A41" s="28" t="s">
        <v>49</v>
      </c>
      <c r="B41" s="31" t="n">
        <v>0.1</v>
      </c>
      <c r="C41" s="30" t="n">
        <v>6000</v>
      </c>
      <c r="D41" s="30" t="n">
        <v>8000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4.25" hidden="false" customHeight="true" outlineLevel="0" collapsed="false">
      <c r="A42" s="28" t="s">
        <v>50</v>
      </c>
      <c r="B42" s="31" t="n">
        <v>0.4</v>
      </c>
      <c r="C42" s="30" t="n">
        <v>3000</v>
      </c>
      <c r="D42" s="30" t="n">
        <v>5000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4.25" hidden="false" customHeight="true" outlineLevel="0" collapsed="false">
      <c r="A43" s="28" t="s">
        <v>51</v>
      </c>
      <c r="B43" s="31" t="n">
        <v>0.2</v>
      </c>
      <c r="C43" s="30" t="n">
        <v>2500</v>
      </c>
      <c r="D43" s="30" t="n">
        <v>5000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customFormat="false" ht="14.25" hidden="false" customHeight="true" outlineLevel="0" collapsed="false">
      <c r="A44" s="28" t="s">
        <v>52</v>
      </c>
      <c r="B44" s="31" t="n">
        <v>0.1</v>
      </c>
      <c r="C44" s="30" t="n">
        <v>8000</v>
      </c>
      <c r="D44" s="30" t="n">
        <v>10000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4.25" hidden="false" customHeight="true" outlineLevel="0" collapsed="false">
      <c r="A45" s="28" t="s">
        <v>53</v>
      </c>
      <c r="B45" s="31" t="n">
        <v>0.05</v>
      </c>
      <c r="C45" s="30" t="n">
        <v>3000</v>
      </c>
      <c r="D45" s="30" t="n">
        <v>5000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4.25" hidden="false" customHeight="true" outlineLevel="0" collapsed="false">
      <c r="A46" s="32" t="s">
        <v>48</v>
      </c>
      <c r="B46" s="33" t="n">
        <v>0.15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customFormat="false" ht="14.25" hidden="false" customHeight="true" outlineLevel="0" collapsed="false">
      <c r="A47" s="32" t="s">
        <v>49</v>
      </c>
      <c r="B47" s="33" t="n">
        <v>0.1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4.25" hidden="false" customHeight="true" outlineLevel="0" collapsed="false">
      <c r="A48" s="32" t="s">
        <v>50</v>
      </c>
      <c r="B48" s="33" t="n">
        <v>0.4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4.25" hidden="false" customHeight="true" outlineLevel="0" collapsed="false">
      <c r="A49" s="32" t="s">
        <v>51</v>
      </c>
      <c r="B49" s="33" t="n">
        <v>0.2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4.25" hidden="false" customHeight="true" outlineLevel="0" collapsed="false">
      <c r="A50" s="32" t="s">
        <v>52</v>
      </c>
      <c r="B50" s="33" t="n">
        <v>0.1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4.25" hidden="false" customHeight="true" outlineLevel="0" collapsed="false">
      <c r="A51" s="32" t="s">
        <v>53</v>
      </c>
      <c r="B51" s="33" t="n">
        <v>0.05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4.25" hidden="false" customHeight="true" outlineLevel="0" collapsed="false">
      <c r="A52" s="32"/>
      <c r="B52" s="34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4.25" hidden="false" customHeight="true" outlineLevel="0" collapsed="false">
      <c r="A53" s="10"/>
      <c r="B53" s="10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customFormat="false" ht="14.25" hidden="false" customHeight="true" outlineLevel="0" collapsed="false">
      <c r="A54" s="10"/>
      <c r="B54" s="1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4.25" hidden="false" customHeight="true" outlineLevel="0" collapsed="false">
      <c r="A55" s="10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customFormat="false" ht="14.25" hidden="false" customHeight="true" outlineLevel="0" collapsed="false">
      <c r="A56" s="10"/>
      <c r="B56" s="1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4.25" hidden="false" customHeight="true" outlineLevel="0" collapsed="false">
      <c r="A57" s="10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4.25" hidden="false" customHeight="true" outlineLevel="0" collapsed="false">
      <c r="A58" s="10"/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4.25" hidden="false" customHeight="true" outlineLevel="0" collapsed="false">
      <c r="A59" s="10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4.25" hidden="false" customHeight="true" outlineLevel="0" collapsed="false">
      <c r="A60" s="10"/>
      <c r="B60" s="1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4.25" hidden="false" customHeight="true" outlineLevel="0" collapsed="false">
      <c r="A61" s="10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4.25" hidden="false" customHeight="true" outlineLevel="0" collapsed="false">
      <c r="A62" s="10"/>
      <c r="B62" s="1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4.25" hidden="false" customHeight="true" outlineLevel="0" collapsed="false">
      <c r="A63" s="10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customFormat="false" ht="14.25" hidden="false" customHeight="true" outlineLevel="0" collapsed="false">
      <c r="A64" s="10"/>
      <c r="B64" s="1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4.25" hidden="false" customHeight="true" outlineLevel="0" collapsed="false">
      <c r="A65" s="10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4.25" hidden="false" customHeight="true" outlineLevel="0" collapsed="false">
      <c r="A66" s="10"/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4.25" hidden="false" customHeight="true" outlineLevel="0" collapsed="false">
      <c r="A67" s="10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4.25" hidden="false" customHeight="true" outlineLevel="0" collapsed="false">
      <c r="A68" s="10"/>
      <c r="B68" s="1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4.25" hidden="false" customHeight="true" outlineLevel="0" collapsed="false">
      <c r="A69" s="10"/>
      <c r="B69" s="1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4.25" hidden="false" customHeight="true" outlineLevel="0" collapsed="false">
      <c r="A70" s="10"/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4.25" hidden="false" customHeight="true" outlineLevel="0" collapsed="false">
      <c r="A71" s="10"/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4.25" hidden="false" customHeight="true" outlineLevel="0" collapsed="false">
      <c r="A72" s="10"/>
      <c r="B72" s="1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4.25" hidden="false" customHeight="true" outlineLevel="0" collapsed="false">
      <c r="A73" s="10"/>
      <c r="B73" s="1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customFormat="false" ht="14.25" hidden="false" customHeight="true" outlineLevel="0" collapsed="false">
      <c r="A74" s="10"/>
      <c r="B74" s="1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4.25" hidden="false" customHeight="true" outlineLevel="0" collapsed="false">
      <c r="A75" s="10"/>
      <c r="B75" s="1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4.25" hidden="false" customHeight="true" outlineLevel="0" collapsed="false">
      <c r="A76" s="10"/>
      <c r="B76" s="1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4.25" hidden="false" customHeight="true" outlineLevel="0" collapsed="false">
      <c r="A77" s="10"/>
      <c r="B77" s="1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customFormat="false" ht="14.25" hidden="false" customHeight="true" outlineLevel="0" collapsed="false">
      <c r="A78" s="10"/>
      <c r="B78" s="1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customFormat="false" ht="14.25" hidden="false" customHeight="true" outlineLevel="0" collapsed="false">
      <c r="A79" s="10"/>
      <c r="B79" s="1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customFormat="false" ht="14.25" hidden="false" customHeight="true" outlineLevel="0" collapsed="false">
      <c r="A80" s="10"/>
      <c r="B80" s="1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customFormat="false" ht="14.25" hidden="false" customHeight="true" outlineLevel="0" collapsed="false">
      <c r="A81" s="10"/>
      <c r="B81" s="1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4.25" hidden="false" customHeight="true" outlineLevel="0" collapsed="false">
      <c r="A82" s="10"/>
      <c r="B82" s="1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4.25" hidden="false" customHeight="true" outlineLevel="0" collapsed="false">
      <c r="A83" s="10"/>
      <c r="B83" s="1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customFormat="false" ht="14.25" hidden="false" customHeight="true" outlineLevel="0" collapsed="false">
      <c r="A84" s="10"/>
      <c r="B84" s="1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4.25" hidden="false" customHeight="true" outlineLevel="0" collapsed="false">
      <c r="A85" s="10"/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4.25" hidden="false" customHeight="true" outlineLevel="0" collapsed="false">
      <c r="A86" s="10"/>
      <c r="B86" s="1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customFormat="false" ht="14.25" hidden="false" customHeight="true" outlineLevel="0" collapsed="false">
      <c r="A87" s="10"/>
      <c r="B87" s="1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customFormat="false" ht="14.25" hidden="false" customHeight="true" outlineLevel="0" collapsed="false">
      <c r="A88" s="10"/>
      <c r="B88" s="1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customFormat="false" ht="14.25" hidden="false" customHeight="true" outlineLevel="0" collapsed="false">
      <c r="A89" s="10"/>
      <c r="B89" s="1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customFormat="false" ht="14.25" hidden="false" customHeight="true" outlineLevel="0" collapsed="false">
      <c r="A90" s="10"/>
      <c r="B90" s="1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4.25" hidden="false" customHeight="true" outlineLevel="0" collapsed="false">
      <c r="A91" s="10"/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4.25" hidden="false" customHeight="true" outlineLevel="0" collapsed="false">
      <c r="A92" s="10"/>
      <c r="B92" s="1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4.25" hidden="false" customHeight="true" outlineLevel="0" collapsed="false">
      <c r="A93" s="10"/>
      <c r="B93" s="1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customFormat="false" ht="14.25" hidden="false" customHeight="true" outlineLevel="0" collapsed="false">
      <c r="A94" s="10"/>
      <c r="B94" s="1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4.25" hidden="false" customHeight="true" outlineLevel="0" collapsed="false">
      <c r="A95" s="10"/>
      <c r="B95" s="1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4.25" hidden="false" customHeight="true" outlineLevel="0" collapsed="false">
      <c r="A96" s="10"/>
      <c r="B96" s="1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4.25" hidden="false" customHeight="true" outlineLevel="0" collapsed="false">
      <c r="A97" s="10"/>
      <c r="B97" s="1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4.25" hidden="false" customHeight="true" outlineLevel="0" collapsed="false">
      <c r="A98" s="10"/>
      <c r="B98" s="1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4.25" hidden="false" customHeight="true" outlineLevel="0" collapsed="false">
      <c r="A99" s="10"/>
      <c r="B99" s="1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customFormat="false" ht="14.25" hidden="false" customHeight="true" outlineLevel="0" collapsed="false">
      <c r="A100" s="10"/>
      <c r="B100" s="1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customFormat="false" ht="14.25" hidden="false" customHeight="true" outlineLevel="0" collapsed="false">
      <c r="A101" s="10"/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customFormat="false" ht="14.25" hidden="false" customHeight="true" outlineLevel="0" collapsed="false">
      <c r="A102" s="10"/>
      <c r="B102" s="1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customFormat="false" ht="14.25" hidden="false" customHeight="true" outlineLevel="0" collapsed="false">
      <c r="A103" s="10"/>
      <c r="B103" s="1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customFormat="false" ht="14.25" hidden="false" customHeight="true" outlineLevel="0" collapsed="false">
      <c r="A104" s="10"/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customFormat="false" ht="14.25" hidden="false" customHeight="true" outlineLevel="0" collapsed="false">
      <c r="A105" s="10"/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customFormat="false" ht="14.25" hidden="false" customHeight="true" outlineLevel="0" collapsed="false">
      <c r="A106" s="10"/>
      <c r="B106" s="1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customFormat="false" ht="14.25" hidden="false" customHeight="true" outlineLevel="0" collapsed="false">
      <c r="A107" s="10"/>
      <c r="B107" s="1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customFormat="false" ht="14.25" hidden="false" customHeight="true" outlineLevel="0" collapsed="false">
      <c r="A108" s="10"/>
      <c r="B108" s="1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customFormat="false" ht="14.25" hidden="false" customHeight="true" outlineLevel="0" collapsed="false">
      <c r="A109" s="10"/>
      <c r="B109" s="1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customFormat="false" ht="14.25" hidden="false" customHeight="true" outlineLevel="0" collapsed="false">
      <c r="A110" s="10"/>
      <c r="B110" s="1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customFormat="false" ht="14.25" hidden="false" customHeight="true" outlineLevel="0" collapsed="false">
      <c r="A111" s="10"/>
      <c r="B111" s="1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customFormat="false" ht="14.25" hidden="false" customHeight="true" outlineLevel="0" collapsed="false">
      <c r="A112" s="10"/>
      <c r="B112" s="1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customFormat="false" ht="14.25" hidden="false" customHeight="true" outlineLevel="0" collapsed="false">
      <c r="A113" s="10"/>
      <c r="B113" s="1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customFormat="false" ht="14.25" hidden="false" customHeight="true" outlineLevel="0" collapsed="false">
      <c r="A114" s="10"/>
      <c r="B114" s="1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customFormat="false" ht="14.25" hidden="false" customHeight="true" outlineLevel="0" collapsed="false">
      <c r="A115" s="10"/>
      <c r="B115" s="1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customFormat="false" ht="14.25" hidden="false" customHeight="true" outlineLevel="0" collapsed="false">
      <c r="A116" s="10"/>
      <c r="B116" s="1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customFormat="false" ht="14.25" hidden="false" customHeight="true" outlineLevel="0" collapsed="false">
      <c r="A117" s="10"/>
      <c r="B117" s="1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customFormat="false" ht="14.25" hidden="false" customHeight="true" outlineLevel="0" collapsed="false">
      <c r="A118" s="10"/>
      <c r="B118" s="1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customFormat="false" ht="14.25" hidden="false" customHeight="true" outlineLevel="0" collapsed="false">
      <c r="A119" s="10"/>
      <c r="B119" s="1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customFormat="false" ht="14.25" hidden="false" customHeight="true" outlineLevel="0" collapsed="false">
      <c r="A120" s="10"/>
      <c r="B120" s="1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customFormat="false" ht="14.25" hidden="false" customHeight="true" outlineLevel="0" collapsed="false">
      <c r="A121" s="10"/>
      <c r="B121" s="1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customFormat="false" ht="14.25" hidden="false" customHeight="true" outlineLevel="0" collapsed="false">
      <c r="A122" s="10"/>
      <c r="B122" s="1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4.25" hidden="false" customHeight="true" outlineLevel="0" collapsed="false">
      <c r="A123" s="10"/>
      <c r="B123" s="1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customFormat="false" ht="14.25" hidden="false" customHeight="true" outlineLevel="0" collapsed="false">
      <c r="A124" s="10"/>
      <c r="B124" s="1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customFormat="false" ht="14.25" hidden="false" customHeight="true" outlineLevel="0" collapsed="false">
      <c r="A125" s="10"/>
      <c r="B125" s="1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customFormat="false" ht="14.25" hidden="false" customHeight="true" outlineLevel="0" collapsed="false">
      <c r="A126" s="10"/>
      <c r="B126" s="1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customFormat="false" ht="14.25" hidden="false" customHeight="true" outlineLevel="0" collapsed="false">
      <c r="A127" s="10"/>
      <c r="B127" s="1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customFormat="false" ht="14.25" hidden="false" customHeight="true" outlineLevel="0" collapsed="false">
      <c r="A128" s="10"/>
      <c r="B128" s="1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customFormat="false" ht="14.25" hidden="false" customHeight="true" outlineLevel="0" collapsed="false">
      <c r="A129" s="10"/>
      <c r="B129" s="1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customFormat="false" ht="14.25" hidden="false" customHeight="true" outlineLevel="0" collapsed="false">
      <c r="A130" s="10"/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customFormat="false" ht="14.25" hidden="false" customHeight="true" outlineLevel="0" collapsed="false">
      <c r="A131" s="10"/>
      <c r="B131" s="1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4.25" hidden="false" customHeight="true" outlineLevel="0" collapsed="false">
      <c r="A132" s="10"/>
      <c r="B132" s="1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customFormat="false" ht="14.25" hidden="false" customHeight="true" outlineLevel="0" collapsed="false">
      <c r="A133" s="10"/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customFormat="false" ht="14.25" hidden="false" customHeight="true" outlineLevel="0" collapsed="false">
      <c r="A134" s="10"/>
      <c r="B134" s="1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customFormat="false" ht="14.25" hidden="false" customHeight="true" outlineLevel="0" collapsed="false">
      <c r="A135" s="10"/>
      <c r="B135" s="1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customFormat="false" ht="14.25" hidden="false" customHeight="true" outlineLevel="0" collapsed="false">
      <c r="A136" s="10"/>
      <c r="B136" s="1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customFormat="false" ht="14.25" hidden="false" customHeight="true" outlineLevel="0" collapsed="false">
      <c r="A137" s="10"/>
      <c r="B137" s="1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customFormat="false" ht="14.25" hidden="false" customHeight="true" outlineLevel="0" collapsed="false">
      <c r="A138" s="10"/>
      <c r="B138" s="1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customFormat="false" ht="14.25" hidden="false" customHeight="true" outlineLevel="0" collapsed="false">
      <c r="A139" s="10"/>
      <c r="B139" s="1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customFormat="false" ht="14.25" hidden="false" customHeight="true" outlineLevel="0" collapsed="false">
      <c r="A140" s="10"/>
      <c r="B140" s="1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customFormat="false" ht="14.25" hidden="false" customHeight="true" outlineLevel="0" collapsed="false">
      <c r="A141" s="10"/>
      <c r="B141" s="1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customFormat="false" ht="14.25" hidden="false" customHeight="true" outlineLevel="0" collapsed="false">
      <c r="A142" s="10"/>
      <c r="B142" s="1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customFormat="false" ht="14.25" hidden="false" customHeight="true" outlineLevel="0" collapsed="false">
      <c r="A143" s="10"/>
      <c r="B143" s="1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customFormat="false" ht="14.25" hidden="false" customHeight="true" outlineLevel="0" collapsed="false">
      <c r="A144" s="10"/>
      <c r="B144" s="1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customFormat="false" ht="14.25" hidden="false" customHeight="true" outlineLevel="0" collapsed="false">
      <c r="A145" s="10"/>
      <c r="B145" s="1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customFormat="false" ht="14.25" hidden="false" customHeight="true" outlineLevel="0" collapsed="false">
      <c r="A146" s="10"/>
      <c r="B146" s="1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customFormat="false" ht="14.25" hidden="false" customHeight="true" outlineLevel="0" collapsed="false">
      <c r="A147" s="10"/>
      <c r="B147" s="1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customFormat="false" ht="14.25" hidden="false" customHeight="true" outlineLevel="0" collapsed="false">
      <c r="A148" s="10"/>
      <c r="B148" s="1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customFormat="false" ht="14.25" hidden="false" customHeight="true" outlineLevel="0" collapsed="false">
      <c r="A149" s="10"/>
      <c r="B149" s="1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customFormat="false" ht="14.25" hidden="false" customHeight="true" outlineLevel="0" collapsed="false">
      <c r="A150" s="10"/>
      <c r="B150" s="1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customFormat="false" ht="14.25" hidden="false" customHeight="true" outlineLevel="0" collapsed="false">
      <c r="A151" s="10"/>
      <c r="B151" s="1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customFormat="false" ht="14.25" hidden="false" customHeight="true" outlineLevel="0" collapsed="false">
      <c r="A152" s="10"/>
      <c r="B152" s="1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customFormat="false" ht="14.25" hidden="false" customHeight="true" outlineLevel="0" collapsed="false">
      <c r="A153" s="10"/>
      <c r="B153" s="1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customFormat="false" ht="14.25" hidden="false" customHeight="true" outlineLevel="0" collapsed="false">
      <c r="A154" s="10"/>
      <c r="B154" s="1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customFormat="false" ht="14.25" hidden="false" customHeight="true" outlineLevel="0" collapsed="false">
      <c r="A155" s="10"/>
      <c r="B155" s="1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customFormat="false" ht="14.25" hidden="false" customHeight="true" outlineLevel="0" collapsed="false">
      <c r="A156" s="10"/>
      <c r="B156" s="1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customFormat="false" ht="14.25" hidden="false" customHeight="true" outlineLevel="0" collapsed="false">
      <c r="A157" s="10"/>
      <c r="B157" s="1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customFormat="false" ht="14.25" hidden="false" customHeight="true" outlineLevel="0" collapsed="false">
      <c r="A158" s="10"/>
      <c r="B158" s="1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customFormat="false" ht="14.25" hidden="false" customHeight="true" outlineLevel="0" collapsed="false">
      <c r="A159" s="10"/>
      <c r="B159" s="1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customFormat="false" ht="14.25" hidden="false" customHeight="true" outlineLevel="0" collapsed="false">
      <c r="A160" s="10"/>
      <c r="B160" s="1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customFormat="false" ht="14.25" hidden="false" customHeight="true" outlineLevel="0" collapsed="false">
      <c r="A161" s="10"/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customFormat="false" ht="14.25" hidden="false" customHeight="true" outlineLevel="0" collapsed="false">
      <c r="A162" s="10"/>
      <c r="B162" s="1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customFormat="false" ht="14.25" hidden="false" customHeight="true" outlineLevel="0" collapsed="false">
      <c r="A163" s="10"/>
      <c r="B163" s="1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customFormat="false" ht="14.25" hidden="false" customHeight="true" outlineLevel="0" collapsed="false">
      <c r="A164" s="10"/>
      <c r="B164" s="1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customFormat="false" ht="14.25" hidden="false" customHeight="true" outlineLevel="0" collapsed="false">
      <c r="A165" s="10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customFormat="false" ht="14.25" hidden="false" customHeight="true" outlineLevel="0" collapsed="false">
      <c r="A166" s="10"/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customFormat="false" ht="14.25" hidden="false" customHeight="true" outlineLevel="0" collapsed="false">
      <c r="A167" s="10"/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customFormat="false" ht="14.25" hidden="false" customHeight="true" outlineLevel="0" collapsed="false">
      <c r="A168" s="10"/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customFormat="false" ht="14.25" hidden="false" customHeight="true" outlineLevel="0" collapsed="false">
      <c r="A169" s="10"/>
      <c r="B169" s="1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customFormat="false" ht="14.25" hidden="false" customHeight="true" outlineLevel="0" collapsed="false">
      <c r="A170" s="10"/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customFormat="false" ht="14.25" hidden="false" customHeight="true" outlineLevel="0" collapsed="false">
      <c r="A171" s="10"/>
      <c r="B171" s="1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customFormat="false" ht="14.25" hidden="false" customHeight="true" outlineLevel="0" collapsed="false">
      <c r="A172" s="10"/>
      <c r="B172" s="1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customFormat="false" ht="14.25" hidden="false" customHeight="true" outlineLevel="0" collapsed="false">
      <c r="A173" s="10"/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customFormat="false" ht="14.25" hidden="false" customHeight="true" outlineLevel="0" collapsed="false">
      <c r="A174" s="10"/>
      <c r="B174" s="1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customFormat="false" ht="14.25" hidden="false" customHeight="true" outlineLevel="0" collapsed="false">
      <c r="A175" s="10"/>
      <c r="B175" s="1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customFormat="false" ht="14.25" hidden="false" customHeight="true" outlineLevel="0" collapsed="false">
      <c r="A176" s="10"/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customFormat="false" ht="14.25" hidden="false" customHeight="true" outlineLevel="0" collapsed="false">
      <c r="A177" s="10"/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customFormat="false" ht="14.25" hidden="false" customHeight="true" outlineLevel="0" collapsed="false">
      <c r="A178" s="10"/>
      <c r="B178" s="1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customFormat="false" ht="14.25" hidden="false" customHeight="true" outlineLevel="0" collapsed="false">
      <c r="A179" s="10"/>
      <c r="B179" s="1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customFormat="false" ht="14.25" hidden="false" customHeight="true" outlineLevel="0" collapsed="false">
      <c r="A180" s="10"/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customFormat="false" ht="14.25" hidden="false" customHeight="true" outlineLevel="0" collapsed="false">
      <c r="A181" s="10"/>
      <c r="B181" s="1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customFormat="false" ht="14.25" hidden="false" customHeight="true" outlineLevel="0" collapsed="false">
      <c r="A182" s="10"/>
      <c r="B182" s="1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customFormat="false" ht="14.25" hidden="false" customHeight="true" outlineLevel="0" collapsed="false">
      <c r="A183" s="10"/>
      <c r="B183" s="1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customFormat="false" ht="14.25" hidden="false" customHeight="true" outlineLevel="0" collapsed="false">
      <c r="A184" s="10"/>
      <c r="B184" s="1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customFormat="false" ht="14.25" hidden="false" customHeight="true" outlineLevel="0" collapsed="false">
      <c r="A185" s="10"/>
      <c r="B185" s="1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customFormat="false" ht="14.25" hidden="false" customHeight="true" outlineLevel="0" collapsed="false">
      <c r="A186" s="10"/>
      <c r="B186" s="1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customFormat="false" ht="14.25" hidden="false" customHeight="true" outlineLevel="0" collapsed="false">
      <c r="A187" s="10"/>
      <c r="B187" s="1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customFormat="false" ht="14.25" hidden="false" customHeight="true" outlineLevel="0" collapsed="false">
      <c r="A188" s="10"/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customFormat="false" ht="14.25" hidden="false" customHeight="true" outlineLevel="0" collapsed="false">
      <c r="A189" s="10"/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customFormat="false" ht="14.25" hidden="false" customHeight="true" outlineLevel="0" collapsed="false">
      <c r="A190" s="10"/>
      <c r="B190" s="1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customFormat="false" ht="14.25" hidden="false" customHeight="true" outlineLevel="0" collapsed="false">
      <c r="A191" s="10"/>
      <c r="B191" s="1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customFormat="false" ht="14.25" hidden="false" customHeight="true" outlineLevel="0" collapsed="false">
      <c r="A192" s="10"/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customFormat="false" ht="14.25" hidden="false" customHeight="true" outlineLevel="0" collapsed="false">
      <c r="A193" s="10"/>
      <c r="B193" s="1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customFormat="false" ht="14.25" hidden="false" customHeight="true" outlineLevel="0" collapsed="false">
      <c r="A194" s="10"/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customFormat="false" ht="14.25" hidden="false" customHeight="true" outlineLevel="0" collapsed="false">
      <c r="A195" s="10"/>
      <c r="B195" s="1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customFormat="false" ht="14.25" hidden="false" customHeight="true" outlineLevel="0" collapsed="false">
      <c r="A196" s="10"/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customFormat="false" ht="14.25" hidden="false" customHeight="true" outlineLevel="0" collapsed="false">
      <c r="A197" s="10"/>
      <c r="B197" s="1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customFormat="false" ht="14.25" hidden="false" customHeight="true" outlineLevel="0" collapsed="false">
      <c r="A198" s="10"/>
      <c r="B198" s="1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customFormat="false" ht="14.25" hidden="false" customHeight="true" outlineLevel="0" collapsed="false">
      <c r="A199" s="10"/>
      <c r="B199" s="1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customFormat="false" ht="14.25" hidden="false" customHeight="true" outlineLevel="0" collapsed="false">
      <c r="A200" s="10"/>
      <c r="B200" s="1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customFormat="false" ht="14.25" hidden="false" customHeight="true" outlineLevel="0" collapsed="false">
      <c r="A201" s="10"/>
      <c r="B201" s="1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customFormat="false" ht="14.25" hidden="false" customHeight="true" outlineLevel="0" collapsed="false">
      <c r="A202" s="10"/>
      <c r="B202" s="1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customFormat="false" ht="14.25" hidden="false" customHeight="true" outlineLevel="0" collapsed="false">
      <c r="A203" s="10"/>
      <c r="B203" s="1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customFormat="false" ht="14.25" hidden="false" customHeight="true" outlineLevel="0" collapsed="false">
      <c r="A204" s="10"/>
      <c r="B204" s="1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customFormat="false" ht="14.25" hidden="false" customHeight="true" outlineLevel="0" collapsed="false">
      <c r="A205" s="10"/>
      <c r="B205" s="1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customFormat="false" ht="14.25" hidden="false" customHeight="true" outlineLevel="0" collapsed="false">
      <c r="A206" s="10"/>
      <c r="B206" s="1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customFormat="false" ht="14.25" hidden="false" customHeight="true" outlineLevel="0" collapsed="false">
      <c r="A207" s="10"/>
      <c r="B207" s="1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customFormat="false" ht="14.25" hidden="false" customHeight="true" outlineLevel="0" collapsed="false">
      <c r="A208" s="10"/>
      <c r="B208" s="1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customFormat="false" ht="14.25" hidden="false" customHeight="true" outlineLevel="0" collapsed="false">
      <c r="A209" s="10"/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customFormat="false" ht="14.25" hidden="false" customHeight="true" outlineLevel="0" collapsed="false">
      <c r="A210" s="10"/>
      <c r="B210" s="1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customFormat="false" ht="14.25" hidden="false" customHeight="true" outlineLevel="0" collapsed="false">
      <c r="A211" s="10"/>
      <c r="B211" s="1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customFormat="false" ht="14.25" hidden="false" customHeight="true" outlineLevel="0" collapsed="false">
      <c r="A212" s="10"/>
      <c r="B212" s="1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customFormat="false" ht="14.25" hidden="false" customHeight="true" outlineLevel="0" collapsed="false">
      <c r="A213" s="10"/>
      <c r="B213" s="1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customFormat="false" ht="14.25" hidden="false" customHeight="true" outlineLevel="0" collapsed="false">
      <c r="A214" s="10"/>
      <c r="B214" s="1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customFormat="false" ht="14.25" hidden="false" customHeight="true" outlineLevel="0" collapsed="false">
      <c r="A215" s="10"/>
      <c r="B215" s="1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customFormat="false" ht="14.25" hidden="false" customHeight="true" outlineLevel="0" collapsed="false">
      <c r="A216" s="10"/>
      <c r="B216" s="1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customFormat="false" ht="14.25" hidden="false" customHeight="true" outlineLevel="0" collapsed="false">
      <c r="A217" s="10"/>
      <c r="B217" s="1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customFormat="false" ht="14.25" hidden="false" customHeight="true" outlineLevel="0" collapsed="false">
      <c r="A218" s="10"/>
      <c r="B218" s="1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customFormat="false" ht="14.25" hidden="false" customHeight="true" outlineLevel="0" collapsed="false">
      <c r="A219" s="10"/>
      <c r="B219" s="1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customFormat="false" ht="14.25" hidden="false" customHeight="true" outlineLevel="0" collapsed="false">
      <c r="A220" s="10"/>
      <c r="B220" s="1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customFormat="false" ht="14.25" hidden="false" customHeight="true" outlineLevel="0" collapsed="false">
      <c r="A221" s="10"/>
      <c r="B221" s="1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customFormat="false" ht="14.25" hidden="false" customHeight="true" outlineLevel="0" collapsed="false">
      <c r="A222" s="10"/>
      <c r="B222" s="1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customFormat="false" ht="14.25" hidden="false" customHeight="true" outlineLevel="0" collapsed="false">
      <c r="A223" s="10"/>
      <c r="B223" s="1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customFormat="false" ht="14.25" hidden="false" customHeight="true" outlineLevel="0" collapsed="false">
      <c r="A224" s="10"/>
      <c r="B224" s="1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customFormat="false" ht="14.25" hidden="false" customHeight="true" outlineLevel="0" collapsed="false">
      <c r="A225" s="10"/>
      <c r="B225" s="1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customFormat="false" ht="14.25" hidden="false" customHeight="true" outlineLevel="0" collapsed="false">
      <c r="A226" s="10"/>
      <c r="B226" s="1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customFormat="false" ht="14.25" hidden="false" customHeight="true" outlineLevel="0" collapsed="false">
      <c r="A227" s="10"/>
      <c r="B227" s="1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customFormat="false" ht="14.25" hidden="false" customHeight="true" outlineLevel="0" collapsed="false">
      <c r="A228" s="10"/>
      <c r="B228" s="1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customFormat="false" ht="14.25" hidden="false" customHeight="true" outlineLevel="0" collapsed="false">
      <c r="A229" s="10"/>
      <c r="B229" s="1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4.25" hidden="false" customHeight="true" outlineLevel="0" collapsed="false">
      <c r="A230" s="10"/>
      <c r="B230" s="1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customFormat="false" ht="14.25" hidden="false" customHeight="true" outlineLevel="0" collapsed="false">
      <c r="A231" s="10"/>
      <c r="B231" s="1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customFormat="false" ht="14.25" hidden="false" customHeight="true" outlineLevel="0" collapsed="false">
      <c r="A232" s="10"/>
      <c r="B232" s="1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customFormat="false" ht="14.25" hidden="false" customHeight="true" outlineLevel="0" collapsed="false">
      <c r="A233" s="10"/>
      <c r="B233" s="1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customFormat="false" ht="14.25" hidden="false" customHeight="true" outlineLevel="0" collapsed="false">
      <c r="A234" s="10"/>
      <c r="B234" s="1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customFormat="false" ht="14.25" hidden="false" customHeight="true" outlineLevel="0" collapsed="false">
      <c r="A235" s="10"/>
      <c r="B235" s="1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customFormat="false" ht="14.25" hidden="false" customHeight="true" outlineLevel="0" collapsed="false">
      <c r="A236" s="10"/>
      <c r="B236" s="1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customFormat="false" ht="14.25" hidden="false" customHeight="true" outlineLevel="0" collapsed="false">
      <c r="A237" s="10"/>
      <c r="B237" s="1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customFormat="false" ht="14.25" hidden="false" customHeight="true" outlineLevel="0" collapsed="false">
      <c r="A238" s="10"/>
      <c r="B238" s="1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customFormat="false" ht="14.25" hidden="false" customHeight="true" outlineLevel="0" collapsed="false">
      <c r="A239" s="10"/>
      <c r="B239" s="1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customFormat="false" ht="14.25" hidden="false" customHeight="true" outlineLevel="0" collapsed="false">
      <c r="A240" s="10"/>
      <c r="B240" s="1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customFormat="false" ht="14.25" hidden="false" customHeight="true" outlineLevel="0" collapsed="false">
      <c r="A241" s="10"/>
      <c r="B241" s="1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customFormat="false" ht="14.25" hidden="false" customHeight="true" outlineLevel="0" collapsed="false">
      <c r="A242" s="10"/>
      <c r="B242" s="1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customFormat="false" ht="14.25" hidden="false" customHeight="true" outlineLevel="0" collapsed="false">
      <c r="A243" s="10"/>
      <c r="B243" s="1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customFormat="false" ht="14.25" hidden="false" customHeight="true" outlineLevel="0" collapsed="false">
      <c r="A244" s="10"/>
      <c r="B244" s="1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customFormat="false" ht="14.25" hidden="false" customHeight="true" outlineLevel="0" collapsed="false">
      <c r="A245" s="10"/>
      <c r="B245" s="1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customFormat="false" ht="14.25" hidden="false" customHeight="true" outlineLevel="0" collapsed="false">
      <c r="A246" s="10"/>
      <c r="B246" s="1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customFormat="false" ht="14.25" hidden="false" customHeight="true" outlineLevel="0" collapsed="false">
      <c r="A247" s="10"/>
      <c r="B247" s="1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customFormat="false" ht="14.25" hidden="false" customHeight="true" outlineLevel="0" collapsed="false">
      <c r="A248" s="10"/>
      <c r="B248" s="1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customFormat="false" ht="14.25" hidden="false" customHeight="true" outlineLevel="0" collapsed="false">
      <c r="A249" s="10"/>
      <c r="B249" s="1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customFormat="false" ht="14.25" hidden="false" customHeight="true" outlineLevel="0" collapsed="false">
      <c r="A250" s="10"/>
      <c r="B250" s="1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customFormat="false" ht="14.25" hidden="false" customHeight="true" outlineLevel="0" collapsed="false">
      <c r="A251" s="10"/>
      <c r="B251" s="1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customFormat="false" ht="14.25" hidden="false" customHeight="true" outlineLevel="0" collapsed="false">
      <c r="A252" s="10"/>
      <c r="B252" s="1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customFormat="false" ht="14.25" hidden="false" customHeight="true" outlineLevel="0" collapsed="false">
      <c r="A253" s="10"/>
      <c r="B253" s="1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customFormat="false" ht="14.25" hidden="false" customHeight="true" outlineLevel="0" collapsed="false">
      <c r="A254" s="10"/>
      <c r="B254" s="1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customFormat="false" ht="14.25" hidden="false" customHeight="true" outlineLevel="0" collapsed="false">
      <c r="A255" s="10"/>
      <c r="B255" s="1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customFormat="false" ht="14.25" hidden="false" customHeight="true" outlineLevel="0" collapsed="false">
      <c r="A256" s="10"/>
      <c r="B256" s="1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customFormat="false" ht="14.25" hidden="false" customHeight="true" outlineLevel="0" collapsed="false">
      <c r="A257" s="10"/>
      <c r="B257" s="1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customFormat="false" ht="14.25" hidden="false" customHeight="true" outlineLevel="0" collapsed="false">
      <c r="A258" s="10"/>
      <c r="B258" s="10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customFormat="false" ht="14.25" hidden="false" customHeight="true" outlineLevel="0" collapsed="false">
      <c r="A259" s="10"/>
      <c r="B259" s="10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customFormat="false" ht="14.25" hidden="false" customHeight="true" outlineLevel="0" collapsed="false">
      <c r="A260" s="10"/>
      <c r="B260" s="10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customFormat="false" ht="14.25" hidden="false" customHeight="true" outlineLevel="0" collapsed="false">
      <c r="A261" s="10"/>
      <c r="B261" s="10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customFormat="false" ht="14.25" hidden="false" customHeight="true" outlineLevel="0" collapsed="false">
      <c r="A262" s="10"/>
      <c r="B262" s="10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customFormat="false" ht="14.25" hidden="false" customHeight="true" outlineLevel="0" collapsed="false">
      <c r="A263" s="10"/>
      <c r="B263" s="10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customFormat="false" ht="14.25" hidden="false" customHeight="true" outlineLevel="0" collapsed="false">
      <c r="A264" s="10"/>
      <c r="B264" s="10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customFormat="false" ht="14.25" hidden="false" customHeight="true" outlineLevel="0" collapsed="false">
      <c r="A265" s="10"/>
      <c r="B265" s="10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customFormat="false" ht="14.25" hidden="false" customHeight="true" outlineLevel="0" collapsed="false">
      <c r="A266" s="10"/>
      <c r="B266" s="10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customFormat="false" ht="14.25" hidden="false" customHeight="true" outlineLevel="0" collapsed="false">
      <c r="A267" s="10"/>
      <c r="B267" s="1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customFormat="false" ht="14.25" hidden="false" customHeight="true" outlineLevel="0" collapsed="false">
      <c r="A268" s="10"/>
      <c r="B268" s="10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customFormat="false" ht="14.25" hidden="false" customHeight="true" outlineLevel="0" collapsed="false">
      <c r="A269" s="10"/>
      <c r="B269" s="10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customFormat="false" ht="14.25" hidden="false" customHeight="true" outlineLevel="0" collapsed="false">
      <c r="A270" s="10"/>
      <c r="B270" s="10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customFormat="false" ht="14.25" hidden="false" customHeight="true" outlineLevel="0" collapsed="false">
      <c r="A271" s="10"/>
      <c r="B271" s="10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customFormat="false" ht="14.25" hidden="false" customHeight="true" outlineLevel="0" collapsed="false">
      <c r="A272" s="10"/>
      <c r="B272" s="10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customFormat="false" ht="14.25" hidden="false" customHeight="true" outlineLevel="0" collapsed="false">
      <c r="A273" s="10"/>
      <c r="B273" s="10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customFormat="false" ht="14.25" hidden="false" customHeight="true" outlineLevel="0" collapsed="false">
      <c r="A274" s="10"/>
      <c r="B274" s="1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customFormat="false" ht="14.25" hidden="false" customHeight="true" outlineLevel="0" collapsed="false">
      <c r="A275" s="10"/>
      <c r="B275" s="10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customFormat="false" ht="14.25" hidden="false" customHeight="true" outlineLevel="0" collapsed="false">
      <c r="A276" s="10"/>
      <c r="B276" s="10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customFormat="false" ht="14.25" hidden="false" customHeight="true" outlineLevel="0" collapsed="false">
      <c r="A277" s="10"/>
      <c r="B277" s="10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customFormat="false" ht="14.25" hidden="false" customHeight="true" outlineLevel="0" collapsed="false">
      <c r="A278" s="10"/>
      <c r="B278" s="10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customFormat="false" ht="14.25" hidden="false" customHeight="true" outlineLevel="0" collapsed="false">
      <c r="A279" s="10"/>
      <c r="B279" s="10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customFormat="false" ht="14.25" hidden="false" customHeight="true" outlineLevel="0" collapsed="false">
      <c r="A280" s="10"/>
      <c r="B280" s="10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customFormat="false" ht="14.25" hidden="false" customHeight="true" outlineLevel="0" collapsed="false">
      <c r="A281" s="10"/>
      <c r="B281" s="10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customFormat="false" ht="14.25" hidden="false" customHeight="true" outlineLevel="0" collapsed="false">
      <c r="A282" s="10"/>
      <c r="B282" s="10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customFormat="false" ht="14.25" hidden="false" customHeight="true" outlineLevel="0" collapsed="false">
      <c r="A283" s="10"/>
      <c r="B283" s="10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customFormat="false" ht="14.25" hidden="false" customHeight="true" outlineLevel="0" collapsed="false">
      <c r="A284" s="10"/>
      <c r="B284" s="10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customFormat="false" ht="14.25" hidden="false" customHeight="true" outlineLevel="0" collapsed="false">
      <c r="A285" s="10"/>
      <c r="B285" s="10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customFormat="false" ht="14.25" hidden="false" customHeight="true" outlineLevel="0" collapsed="false">
      <c r="A286" s="10"/>
      <c r="B286" s="10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customFormat="false" ht="14.25" hidden="false" customHeight="true" outlineLevel="0" collapsed="false">
      <c r="A287" s="10"/>
      <c r="B287" s="10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customFormat="false" ht="14.25" hidden="false" customHeight="true" outlineLevel="0" collapsed="false">
      <c r="A288" s="10"/>
      <c r="B288" s="10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customFormat="false" ht="14.25" hidden="false" customHeight="true" outlineLevel="0" collapsed="false">
      <c r="A289" s="10"/>
      <c r="B289" s="10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customFormat="false" ht="14.25" hidden="false" customHeight="true" outlineLevel="0" collapsed="false">
      <c r="A290" s="10"/>
      <c r="B290" s="10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customFormat="false" ht="14.25" hidden="false" customHeight="true" outlineLevel="0" collapsed="false">
      <c r="A291" s="10"/>
      <c r="B291" s="10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customFormat="false" ht="14.25" hidden="false" customHeight="true" outlineLevel="0" collapsed="false">
      <c r="A292" s="10"/>
      <c r="B292" s="10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customFormat="false" ht="14.25" hidden="false" customHeight="true" outlineLevel="0" collapsed="false">
      <c r="A293" s="10"/>
      <c r="B293" s="10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customFormat="false" ht="14.25" hidden="false" customHeight="true" outlineLevel="0" collapsed="false">
      <c r="A294" s="10"/>
      <c r="B294" s="10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customFormat="false" ht="14.25" hidden="false" customHeight="true" outlineLevel="0" collapsed="false">
      <c r="A295" s="10"/>
      <c r="B295" s="10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customFormat="false" ht="14.25" hidden="false" customHeight="true" outlineLevel="0" collapsed="false">
      <c r="A296" s="10"/>
      <c r="B296" s="10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customFormat="false" ht="14.25" hidden="false" customHeight="true" outlineLevel="0" collapsed="false">
      <c r="A297" s="10"/>
      <c r="B297" s="10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customFormat="false" ht="14.25" hidden="false" customHeight="true" outlineLevel="0" collapsed="false">
      <c r="A298" s="10"/>
      <c r="B298" s="10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customFormat="false" ht="14.25" hidden="false" customHeight="true" outlineLevel="0" collapsed="false">
      <c r="A299" s="10"/>
      <c r="B299" s="10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customFormat="false" ht="14.25" hidden="false" customHeight="true" outlineLevel="0" collapsed="false">
      <c r="A300" s="10"/>
      <c r="B300" s="10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customFormat="false" ht="14.25" hidden="false" customHeight="true" outlineLevel="0" collapsed="false">
      <c r="A301" s="10"/>
      <c r="B301" s="10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customFormat="false" ht="14.25" hidden="false" customHeight="true" outlineLevel="0" collapsed="false">
      <c r="A302" s="10"/>
      <c r="B302" s="10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customFormat="false" ht="14.25" hidden="false" customHeight="true" outlineLevel="0" collapsed="false">
      <c r="A303" s="10"/>
      <c r="B303" s="10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customFormat="false" ht="14.25" hidden="false" customHeight="true" outlineLevel="0" collapsed="false">
      <c r="A304" s="10"/>
      <c r="B304" s="1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customFormat="false" ht="14.25" hidden="false" customHeight="true" outlineLevel="0" collapsed="false">
      <c r="A305" s="10"/>
      <c r="B305" s="10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customFormat="false" ht="14.25" hidden="false" customHeight="true" outlineLevel="0" collapsed="false">
      <c r="A306" s="10"/>
      <c r="B306" s="10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customFormat="false" ht="14.25" hidden="false" customHeight="true" outlineLevel="0" collapsed="false">
      <c r="A307" s="10"/>
      <c r="B307" s="10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customFormat="false" ht="14.25" hidden="false" customHeight="true" outlineLevel="0" collapsed="false">
      <c r="A308" s="10"/>
      <c r="B308" s="10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customFormat="false" ht="14.25" hidden="false" customHeight="true" outlineLevel="0" collapsed="false">
      <c r="A309" s="10"/>
      <c r="B309" s="10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customFormat="false" ht="14.25" hidden="false" customHeight="true" outlineLevel="0" collapsed="false">
      <c r="A310" s="10"/>
      <c r="B310" s="10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customFormat="false" ht="14.25" hidden="false" customHeight="true" outlineLevel="0" collapsed="false">
      <c r="A311" s="10"/>
      <c r="B311" s="10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customFormat="false" ht="14.25" hidden="false" customHeight="true" outlineLevel="0" collapsed="false">
      <c r="A312" s="10"/>
      <c r="B312" s="10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customFormat="false" ht="14.25" hidden="false" customHeight="true" outlineLevel="0" collapsed="false">
      <c r="A313" s="10"/>
      <c r="B313" s="10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customFormat="false" ht="14.25" hidden="false" customHeight="true" outlineLevel="0" collapsed="false">
      <c r="A314" s="10"/>
      <c r="B314" s="10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customFormat="false" ht="14.25" hidden="false" customHeight="true" outlineLevel="0" collapsed="false">
      <c r="A315" s="10"/>
      <c r="B315" s="10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customFormat="false" ht="14.25" hidden="false" customHeight="true" outlineLevel="0" collapsed="false">
      <c r="A316" s="10"/>
      <c r="B316" s="10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customFormat="false" ht="14.25" hidden="false" customHeight="true" outlineLevel="0" collapsed="false">
      <c r="A317" s="10"/>
      <c r="B317" s="10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customFormat="false" ht="14.25" hidden="false" customHeight="true" outlineLevel="0" collapsed="false">
      <c r="A318" s="10"/>
      <c r="B318" s="10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customFormat="false" ht="14.25" hidden="false" customHeight="true" outlineLevel="0" collapsed="false">
      <c r="A319" s="10"/>
      <c r="B319" s="10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customFormat="false" ht="14.25" hidden="false" customHeight="true" outlineLevel="0" collapsed="false">
      <c r="A320" s="10"/>
      <c r="B320" s="10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customFormat="false" ht="14.25" hidden="false" customHeight="true" outlineLevel="0" collapsed="false">
      <c r="A321" s="10"/>
      <c r="B321" s="10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customFormat="false" ht="14.25" hidden="false" customHeight="true" outlineLevel="0" collapsed="false">
      <c r="A322" s="10"/>
      <c r="B322" s="10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customFormat="false" ht="14.25" hidden="false" customHeight="true" outlineLevel="0" collapsed="false">
      <c r="A323" s="10"/>
      <c r="B323" s="10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customFormat="false" ht="14.25" hidden="false" customHeight="true" outlineLevel="0" collapsed="false">
      <c r="A324" s="10"/>
      <c r="B324" s="10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customFormat="false" ht="14.25" hidden="false" customHeight="true" outlineLevel="0" collapsed="false">
      <c r="A325" s="10"/>
      <c r="B325" s="10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customFormat="false" ht="14.25" hidden="false" customHeight="true" outlineLevel="0" collapsed="false">
      <c r="A326" s="10"/>
      <c r="B326" s="10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customFormat="false" ht="14.25" hidden="false" customHeight="true" outlineLevel="0" collapsed="false">
      <c r="A327" s="10"/>
      <c r="B327" s="10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customFormat="false" ht="14.25" hidden="false" customHeight="true" outlineLevel="0" collapsed="false">
      <c r="A328" s="10"/>
      <c r="B328" s="10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customFormat="false" ht="14.25" hidden="false" customHeight="true" outlineLevel="0" collapsed="false">
      <c r="A329" s="10"/>
      <c r="B329" s="10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customFormat="false" ht="14.25" hidden="false" customHeight="true" outlineLevel="0" collapsed="false">
      <c r="A330" s="10"/>
      <c r="B330" s="10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customFormat="false" ht="14.25" hidden="false" customHeight="true" outlineLevel="0" collapsed="false">
      <c r="A331" s="10"/>
      <c r="B331" s="10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customFormat="false" ht="14.25" hidden="false" customHeight="true" outlineLevel="0" collapsed="false">
      <c r="A332" s="10"/>
      <c r="B332" s="10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customFormat="false" ht="14.25" hidden="false" customHeight="true" outlineLevel="0" collapsed="false">
      <c r="A333" s="10"/>
      <c r="B333" s="10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customFormat="false" ht="14.25" hidden="false" customHeight="true" outlineLevel="0" collapsed="false">
      <c r="A334" s="10"/>
      <c r="B334" s="10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customFormat="false" ht="14.25" hidden="false" customHeight="true" outlineLevel="0" collapsed="false">
      <c r="A335" s="10"/>
      <c r="B335" s="10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customFormat="false" ht="14.25" hidden="false" customHeight="true" outlineLevel="0" collapsed="false">
      <c r="A336" s="10"/>
      <c r="B336" s="10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customFormat="false" ht="14.25" hidden="false" customHeight="true" outlineLevel="0" collapsed="false">
      <c r="A337" s="10"/>
      <c r="B337" s="10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customFormat="false" ht="14.25" hidden="false" customHeight="true" outlineLevel="0" collapsed="false">
      <c r="A338" s="10"/>
      <c r="B338" s="10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customFormat="false" ht="14.25" hidden="false" customHeight="true" outlineLevel="0" collapsed="false">
      <c r="A339" s="10"/>
      <c r="B339" s="10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customFormat="false" ht="14.25" hidden="false" customHeight="true" outlineLevel="0" collapsed="false">
      <c r="A340" s="10"/>
      <c r="B340" s="10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customFormat="false" ht="14.25" hidden="false" customHeight="true" outlineLevel="0" collapsed="false">
      <c r="A341" s="10"/>
      <c r="B341" s="10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customFormat="false" ht="14.25" hidden="false" customHeight="true" outlineLevel="0" collapsed="false">
      <c r="A342" s="10"/>
      <c r="B342" s="10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customFormat="false" ht="14.25" hidden="false" customHeight="true" outlineLevel="0" collapsed="false">
      <c r="A343" s="10"/>
      <c r="B343" s="10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customFormat="false" ht="14.25" hidden="false" customHeight="true" outlineLevel="0" collapsed="false">
      <c r="A344" s="10"/>
      <c r="B344" s="10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customFormat="false" ht="14.25" hidden="false" customHeight="true" outlineLevel="0" collapsed="false">
      <c r="A345" s="10"/>
      <c r="B345" s="10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customFormat="false" ht="14.25" hidden="false" customHeight="true" outlineLevel="0" collapsed="false">
      <c r="A346" s="10"/>
      <c r="B346" s="10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customFormat="false" ht="14.25" hidden="false" customHeight="true" outlineLevel="0" collapsed="false">
      <c r="A347" s="10"/>
      <c r="B347" s="10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customFormat="false" ht="14.25" hidden="false" customHeight="true" outlineLevel="0" collapsed="false">
      <c r="A348" s="10"/>
      <c r="B348" s="10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customFormat="false" ht="14.25" hidden="false" customHeight="true" outlineLevel="0" collapsed="false">
      <c r="A349" s="10"/>
      <c r="B349" s="10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customFormat="false" ht="14.25" hidden="false" customHeight="true" outlineLevel="0" collapsed="false">
      <c r="A350" s="10"/>
      <c r="B350" s="10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customFormat="false" ht="14.25" hidden="false" customHeight="true" outlineLevel="0" collapsed="false">
      <c r="A351" s="10"/>
      <c r="B351" s="10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customFormat="false" ht="14.25" hidden="false" customHeight="true" outlineLevel="0" collapsed="false">
      <c r="A352" s="10"/>
      <c r="B352" s="10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customFormat="false" ht="14.25" hidden="false" customHeight="true" outlineLevel="0" collapsed="false">
      <c r="A353" s="10"/>
      <c r="B353" s="10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customFormat="false" ht="14.25" hidden="false" customHeight="true" outlineLevel="0" collapsed="false">
      <c r="A354" s="10"/>
      <c r="B354" s="10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customFormat="false" ht="14.25" hidden="false" customHeight="true" outlineLevel="0" collapsed="false">
      <c r="A355" s="10"/>
      <c r="B355" s="10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customFormat="false" ht="14.25" hidden="false" customHeight="true" outlineLevel="0" collapsed="false">
      <c r="A356" s="10"/>
      <c r="B356" s="10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customFormat="false" ht="14.25" hidden="false" customHeight="true" outlineLevel="0" collapsed="false">
      <c r="A357" s="10"/>
      <c r="B357" s="10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customFormat="false" ht="14.25" hidden="false" customHeight="true" outlineLevel="0" collapsed="false">
      <c r="A358" s="10"/>
      <c r="B358" s="10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customFormat="false" ht="14.25" hidden="false" customHeight="true" outlineLevel="0" collapsed="false">
      <c r="A359" s="10"/>
      <c r="B359" s="10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customFormat="false" ht="14.25" hidden="false" customHeight="true" outlineLevel="0" collapsed="false">
      <c r="A360" s="10"/>
      <c r="B360" s="10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customFormat="false" ht="14.25" hidden="false" customHeight="true" outlineLevel="0" collapsed="false">
      <c r="A361" s="10"/>
      <c r="B361" s="10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customFormat="false" ht="14.25" hidden="false" customHeight="true" outlineLevel="0" collapsed="false">
      <c r="A362" s="10"/>
      <c r="B362" s="10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customFormat="false" ht="14.25" hidden="false" customHeight="true" outlineLevel="0" collapsed="false">
      <c r="A363" s="10"/>
      <c r="B363" s="10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customFormat="false" ht="14.25" hidden="false" customHeight="true" outlineLevel="0" collapsed="false">
      <c r="A364" s="10"/>
      <c r="B364" s="10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customFormat="false" ht="14.25" hidden="false" customHeight="true" outlineLevel="0" collapsed="false">
      <c r="A365" s="10"/>
      <c r="B365" s="10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customFormat="false" ht="14.25" hidden="false" customHeight="true" outlineLevel="0" collapsed="false">
      <c r="A366" s="10"/>
      <c r="B366" s="10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customFormat="false" ht="14.25" hidden="false" customHeight="true" outlineLevel="0" collapsed="false">
      <c r="A367" s="10"/>
      <c r="B367" s="10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customFormat="false" ht="14.25" hidden="false" customHeight="true" outlineLevel="0" collapsed="false">
      <c r="A368" s="10"/>
      <c r="B368" s="10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customFormat="false" ht="14.25" hidden="false" customHeight="true" outlineLevel="0" collapsed="false">
      <c r="A369" s="10"/>
      <c r="B369" s="10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customFormat="false" ht="14.25" hidden="false" customHeight="true" outlineLevel="0" collapsed="false">
      <c r="A370" s="10"/>
      <c r="B370" s="10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customFormat="false" ht="14.25" hidden="false" customHeight="true" outlineLevel="0" collapsed="false">
      <c r="A371" s="10"/>
      <c r="B371" s="10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customFormat="false" ht="14.25" hidden="false" customHeight="true" outlineLevel="0" collapsed="false">
      <c r="A372" s="10"/>
      <c r="B372" s="10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customFormat="false" ht="14.25" hidden="false" customHeight="true" outlineLevel="0" collapsed="false">
      <c r="A373" s="10"/>
      <c r="B373" s="10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customFormat="false" ht="14.25" hidden="false" customHeight="true" outlineLevel="0" collapsed="false">
      <c r="A374" s="10"/>
      <c r="B374" s="10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customFormat="false" ht="14.25" hidden="false" customHeight="true" outlineLevel="0" collapsed="false">
      <c r="A375" s="10"/>
      <c r="B375" s="10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customFormat="false" ht="14.25" hidden="false" customHeight="true" outlineLevel="0" collapsed="false">
      <c r="A376" s="10"/>
      <c r="B376" s="10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customFormat="false" ht="14.25" hidden="false" customHeight="true" outlineLevel="0" collapsed="false">
      <c r="A377" s="10"/>
      <c r="B377" s="10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customFormat="false" ht="14.25" hidden="false" customHeight="true" outlineLevel="0" collapsed="false">
      <c r="A378" s="10"/>
      <c r="B378" s="10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customFormat="false" ht="14.25" hidden="false" customHeight="true" outlineLevel="0" collapsed="false">
      <c r="A379" s="10"/>
      <c r="B379" s="10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customFormat="false" ht="14.25" hidden="false" customHeight="true" outlineLevel="0" collapsed="false">
      <c r="A380" s="10"/>
      <c r="B380" s="10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customFormat="false" ht="14.25" hidden="false" customHeight="true" outlineLevel="0" collapsed="false">
      <c r="A381" s="10"/>
      <c r="B381" s="10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customFormat="false" ht="14.25" hidden="false" customHeight="true" outlineLevel="0" collapsed="false">
      <c r="A382" s="10"/>
      <c r="B382" s="10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customFormat="false" ht="14.25" hidden="false" customHeight="true" outlineLevel="0" collapsed="false">
      <c r="A383" s="10"/>
      <c r="B383" s="10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customFormat="false" ht="14.25" hidden="false" customHeight="true" outlineLevel="0" collapsed="false">
      <c r="A384" s="10"/>
      <c r="B384" s="10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customFormat="false" ht="14.25" hidden="false" customHeight="true" outlineLevel="0" collapsed="false">
      <c r="A385" s="10"/>
      <c r="B385" s="10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customFormat="false" ht="14.25" hidden="false" customHeight="true" outlineLevel="0" collapsed="false">
      <c r="A386" s="10"/>
      <c r="B386" s="10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customFormat="false" ht="14.25" hidden="false" customHeight="true" outlineLevel="0" collapsed="false">
      <c r="A387" s="10"/>
      <c r="B387" s="10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customFormat="false" ht="14.25" hidden="false" customHeight="true" outlineLevel="0" collapsed="false">
      <c r="A388" s="10"/>
      <c r="B388" s="10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customFormat="false" ht="14.25" hidden="false" customHeight="true" outlineLevel="0" collapsed="false">
      <c r="A389" s="10"/>
      <c r="B389" s="10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customFormat="false" ht="14.25" hidden="false" customHeight="true" outlineLevel="0" collapsed="false">
      <c r="A390" s="10"/>
      <c r="B390" s="10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customFormat="false" ht="14.25" hidden="false" customHeight="true" outlineLevel="0" collapsed="false">
      <c r="A391" s="10"/>
      <c r="B391" s="10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customFormat="false" ht="14.25" hidden="false" customHeight="true" outlineLevel="0" collapsed="false">
      <c r="A392" s="10"/>
      <c r="B392" s="10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customFormat="false" ht="14.25" hidden="false" customHeight="true" outlineLevel="0" collapsed="false">
      <c r="A393" s="10"/>
      <c r="B393" s="10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customFormat="false" ht="14.25" hidden="false" customHeight="true" outlineLevel="0" collapsed="false">
      <c r="A394" s="10"/>
      <c r="B394" s="10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customFormat="false" ht="14.25" hidden="false" customHeight="true" outlineLevel="0" collapsed="false">
      <c r="A395" s="10"/>
      <c r="B395" s="10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customFormat="false" ht="14.25" hidden="false" customHeight="true" outlineLevel="0" collapsed="false">
      <c r="A396" s="10"/>
      <c r="B396" s="10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customFormat="false" ht="14.25" hidden="false" customHeight="true" outlineLevel="0" collapsed="false">
      <c r="A397" s="10"/>
      <c r="B397" s="10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customFormat="false" ht="14.25" hidden="false" customHeight="true" outlineLevel="0" collapsed="false">
      <c r="A398" s="10"/>
      <c r="B398" s="10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customFormat="false" ht="14.25" hidden="false" customHeight="true" outlineLevel="0" collapsed="false">
      <c r="A399" s="10"/>
      <c r="B399" s="10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customFormat="false" ht="14.25" hidden="false" customHeight="true" outlineLevel="0" collapsed="false">
      <c r="A400" s="10"/>
      <c r="B400" s="10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customFormat="false" ht="14.25" hidden="false" customHeight="true" outlineLevel="0" collapsed="false">
      <c r="A401" s="10"/>
      <c r="B401" s="10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customFormat="false" ht="14.25" hidden="false" customHeight="true" outlineLevel="0" collapsed="false">
      <c r="A402" s="10"/>
      <c r="B402" s="10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customFormat="false" ht="14.25" hidden="false" customHeight="true" outlineLevel="0" collapsed="false">
      <c r="A403" s="10"/>
      <c r="B403" s="10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customFormat="false" ht="14.25" hidden="false" customHeight="true" outlineLevel="0" collapsed="false">
      <c r="A404" s="10"/>
      <c r="B404" s="10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customFormat="false" ht="14.25" hidden="false" customHeight="true" outlineLevel="0" collapsed="false">
      <c r="A405" s="10"/>
      <c r="B405" s="10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customFormat="false" ht="14.25" hidden="false" customHeight="true" outlineLevel="0" collapsed="false">
      <c r="A406" s="10"/>
      <c r="B406" s="10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customFormat="false" ht="14.25" hidden="false" customHeight="true" outlineLevel="0" collapsed="false">
      <c r="A407" s="10"/>
      <c r="B407" s="10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customFormat="false" ht="14.25" hidden="false" customHeight="true" outlineLevel="0" collapsed="false">
      <c r="A408" s="10"/>
      <c r="B408" s="10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customFormat="false" ht="14.25" hidden="false" customHeight="true" outlineLevel="0" collapsed="false">
      <c r="A409" s="10"/>
      <c r="B409" s="10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customFormat="false" ht="14.25" hidden="false" customHeight="true" outlineLevel="0" collapsed="false">
      <c r="A410" s="10"/>
      <c r="B410" s="10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customFormat="false" ht="14.25" hidden="false" customHeight="true" outlineLevel="0" collapsed="false">
      <c r="A411" s="10"/>
      <c r="B411" s="10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customFormat="false" ht="14.25" hidden="false" customHeight="true" outlineLevel="0" collapsed="false">
      <c r="A412" s="10"/>
      <c r="B412" s="10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customFormat="false" ht="14.25" hidden="false" customHeight="true" outlineLevel="0" collapsed="false">
      <c r="A413" s="10"/>
      <c r="B413" s="10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customFormat="false" ht="14.25" hidden="false" customHeight="true" outlineLevel="0" collapsed="false">
      <c r="A414" s="10"/>
      <c r="B414" s="10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customFormat="false" ht="14.25" hidden="false" customHeight="true" outlineLevel="0" collapsed="false">
      <c r="A415" s="10"/>
      <c r="B415" s="10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customFormat="false" ht="14.25" hidden="false" customHeight="true" outlineLevel="0" collapsed="false">
      <c r="A416" s="10"/>
      <c r="B416" s="10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customFormat="false" ht="14.25" hidden="false" customHeight="true" outlineLevel="0" collapsed="false">
      <c r="A417" s="10"/>
      <c r="B417" s="10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customFormat="false" ht="14.25" hidden="false" customHeight="true" outlineLevel="0" collapsed="false">
      <c r="A418" s="10"/>
      <c r="B418" s="10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customFormat="false" ht="14.25" hidden="false" customHeight="true" outlineLevel="0" collapsed="false">
      <c r="A419" s="10"/>
      <c r="B419" s="10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customFormat="false" ht="14.25" hidden="false" customHeight="true" outlineLevel="0" collapsed="false">
      <c r="A420" s="10"/>
      <c r="B420" s="10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customFormat="false" ht="14.25" hidden="false" customHeight="true" outlineLevel="0" collapsed="false">
      <c r="A421" s="10"/>
      <c r="B421" s="10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customFormat="false" ht="14.25" hidden="false" customHeight="true" outlineLevel="0" collapsed="false">
      <c r="A422" s="10"/>
      <c r="B422" s="10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customFormat="false" ht="14.25" hidden="false" customHeight="true" outlineLevel="0" collapsed="false">
      <c r="A423" s="10"/>
      <c r="B423" s="10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customFormat="false" ht="14.25" hidden="false" customHeight="true" outlineLevel="0" collapsed="false">
      <c r="A424" s="10"/>
      <c r="B424" s="10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customFormat="false" ht="14.25" hidden="false" customHeight="true" outlineLevel="0" collapsed="false">
      <c r="A425" s="10"/>
      <c r="B425" s="10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customFormat="false" ht="14.25" hidden="false" customHeight="true" outlineLevel="0" collapsed="false">
      <c r="A426" s="10"/>
      <c r="B426" s="10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customFormat="false" ht="14.25" hidden="false" customHeight="true" outlineLevel="0" collapsed="false">
      <c r="A427" s="10"/>
      <c r="B427" s="10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customFormat="false" ht="14.25" hidden="false" customHeight="true" outlineLevel="0" collapsed="false">
      <c r="A428" s="10"/>
      <c r="B428" s="10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customFormat="false" ht="14.25" hidden="false" customHeight="true" outlineLevel="0" collapsed="false">
      <c r="A429" s="10"/>
      <c r="B429" s="10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customFormat="false" ht="14.25" hidden="false" customHeight="true" outlineLevel="0" collapsed="false">
      <c r="A430" s="10"/>
      <c r="B430" s="10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customFormat="false" ht="14.25" hidden="false" customHeight="true" outlineLevel="0" collapsed="false">
      <c r="A431" s="10"/>
      <c r="B431" s="10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customFormat="false" ht="14.25" hidden="false" customHeight="true" outlineLevel="0" collapsed="false">
      <c r="A432" s="10"/>
      <c r="B432" s="10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customFormat="false" ht="14.25" hidden="false" customHeight="true" outlineLevel="0" collapsed="false">
      <c r="A433" s="10"/>
      <c r="B433" s="10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customFormat="false" ht="14.25" hidden="false" customHeight="true" outlineLevel="0" collapsed="false">
      <c r="A434" s="10"/>
      <c r="B434" s="10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customFormat="false" ht="14.25" hidden="false" customHeight="true" outlineLevel="0" collapsed="false">
      <c r="A435" s="10"/>
      <c r="B435" s="10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customFormat="false" ht="14.25" hidden="false" customHeight="true" outlineLevel="0" collapsed="false">
      <c r="A436" s="10"/>
      <c r="B436" s="10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customFormat="false" ht="14.25" hidden="false" customHeight="true" outlineLevel="0" collapsed="false">
      <c r="A437" s="10"/>
      <c r="B437" s="10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customFormat="false" ht="14.25" hidden="false" customHeight="true" outlineLevel="0" collapsed="false">
      <c r="A438" s="10"/>
      <c r="B438" s="10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customFormat="false" ht="14.25" hidden="false" customHeight="true" outlineLevel="0" collapsed="false">
      <c r="A439" s="10"/>
      <c r="B439" s="10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customFormat="false" ht="14.25" hidden="false" customHeight="true" outlineLevel="0" collapsed="false">
      <c r="A440" s="10"/>
      <c r="B440" s="10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customFormat="false" ht="14.25" hidden="false" customHeight="true" outlineLevel="0" collapsed="false">
      <c r="A441" s="10"/>
      <c r="B441" s="10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customFormat="false" ht="14.25" hidden="false" customHeight="true" outlineLevel="0" collapsed="false">
      <c r="A442" s="10"/>
      <c r="B442" s="10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customFormat="false" ht="14.25" hidden="false" customHeight="true" outlineLevel="0" collapsed="false">
      <c r="A443" s="10"/>
      <c r="B443" s="10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customFormat="false" ht="14.25" hidden="false" customHeight="true" outlineLevel="0" collapsed="false">
      <c r="A444" s="10"/>
      <c r="B444" s="10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customFormat="false" ht="14.25" hidden="false" customHeight="true" outlineLevel="0" collapsed="false">
      <c r="A445" s="10"/>
      <c r="B445" s="10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customFormat="false" ht="14.25" hidden="false" customHeight="true" outlineLevel="0" collapsed="false">
      <c r="A446" s="10"/>
      <c r="B446" s="10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customFormat="false" ht="14.25" hidden="false" customHeight="true" outlineLevel="0" collapsed="false">
      <c r="A447" s="10"/>
      <c r="B447" s="10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customFormat="false" ht="14.25" hidden="false" customHeight="true" outlineLevel="0" collapsed="false">
      <c r="A448" s="10"/>
      <c r="B448" s="10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customFormat="false" ht="14.25" hidden="false" customHeight="true" outlineLevel="0" collapsed="false">
      <c r="A449" s="10"/>
      <c r="B449" s="10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customFormat="false" ht="14.25" hidden="false" customHeight="true" outlineLevel="0" collapsed="false">
      <c r="A450" s="10"/>
      <c r="B450" s="10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customFormat="false" ht="14.25" hidden="false" customHeight="true" outlineLevel="0" collapsed="false">
      <c r="A451" s="10"/>
      <c r="B451" s="10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customFormat="false" ht="14.25" hidden="false" customHeight="true" outlineLevel="0" collapsed="false">
      <c r="A452" s="10"/>
      <c r="B452" s="10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customFormat="false" ht="14.25" hidden="false" customHeight="true" outlineLevel="0" collapsed="false">
      <c r="A453" s="10"/>
      <c r="B453" s="10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customFormat="false" ht="14.25" hidden="false" customHeight="true" outlineLevel="0" collapsed="false">
      <c r="A454" s="10"/>
      <c r="B454" s="10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customFormat="false" ht="14.25" hidden="false" customHeight="true" outlineLevel="0" collapsed="false">
      <c r="A455" s="10"/>
      <c r="B455" s="10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customFormat="false" ht="14.25" hidden="false" customHeight="true" outlineLevel="0" collapsed="false">
      <c r="A456" s="10"/>
      <c r="B456" s="10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customFormat="false" ht="14.25" hidden="false" customHeight="true" outlineLevel="0" collapsed="false">
      <c r="A457" s="10"/>
      <c r="B457" s="10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customFormat="false" ht="14.25" hidden="false" customHeight="true" outlineLevel="0" collapsed="false">
      <c r="A458" s="10"/>
      <c r="B458" s="10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customFormat="false" ht="14.25" hidden="false" customHeight="true" outlineLevel="0" collapsed="false">
      <c r="A459" s="10"/>
      <c r="B459" s="10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customFormat="false" ht="14.25" hidden="false" customHeight="true" outlineLevel="0" collapsed="false">
      <c r="A460" s="10"/>
      <c r="B460" s="10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customFormat="false" ht="14.25" hidden="false" customHeight="true" outlineLevel="0" collapsed="false">
      <c r="A461" s="10"/>
      <c r="B461" s="10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customFormat="false" ht="14.25" hidden="false" customHeight="true" outlineLevel="0" collapsed="false">
      <c r="A462" s="10"/>
      <c r="B462" s="10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customFormat="false" ht="14.25" hidden="false" customHeight="true" outlineLevel="0" collapsed="false">
      <c r="A463" s="10"/>
      <c r="B463" s="10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customFormat="false" ht="14.25" hidden="false" customHeight="true" outlineLevel="0" collapsed="false">
      <c r="A464" s="10"/>
      <c r="B464" s="10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customFormat="false" ht="14.25" hidden="false" customHeight="true" outlineLevel="0" collapsed="false">
      <c r="A465" s="10"/>
      <c r="B465" s="10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customFormat="false" ht="14.25" hidden="false" customHeight="true" outlineLevel="0" collapsed="false">
      <c r="A466" s="10"/>
      <c r="B466" s="10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customFormat="false" ht="14.25" hidden="false" customHeight="true" outlineLevel="0" collapsed="false">
      <c r="A467" s="10"/>
      <c r="B467" s="10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customFormat="false" ht="14.25" hidden="false" customHeight="true" outlineLevel="0" collapsed="false">
      <c r="A468" s="10"/>
      <c r="B468" s="10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customFormat="false" ht="14.25" hidden="false" customHeight="true" outlineLevel="0" collapsed="false">
      <c r="A469" s="10"/>
      <c r="B469" s="10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customFormat="false" ht="14.25" hidden="false" customHeight="true" outlineLevel="0" collapsed="false">
      <c r="A470" s="10"/>
      <c r="B470" s="10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customFormat="false" ht="14.25" hidden="false" customHeight="true" outlineLevel="0" collapsed="false">
      <c r="A471" s="10"/>
      <c r="B471" s="10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customFormat="false" ht="14.25" hidden="false" customHeight="true" outlineLevel="0" collapsed="false">
      <c r="A472" s="10"/>
      <c r="B472" s="10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customFormat="false" ht="14.25" hidden="false" customHeight="true" outlineLevel="0" collapsed="false">
      <c r="A473" s="10"/>
      <c r="B473" s="10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customFormat="false" ht="14.25" hidden="false" customHeight="true" outlineLevel="0" collapsed="false">
      <c r="A474" s="10"/>
      <c r="B474" s="10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customFormat="false" ht="14.25" hidden="false" customHeight="true" outlineLevel="0" collapsed="false">
      <c r="A475" s="10"/>
      <c r="B475" s="10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customFormat="false" ht="14.25" hidden="false" customHeight="true" outlineLevel="0" collapsed="false">
      <c r="A476" s="10"/>
      <c r="B476" s="10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customFormat="false" ht="14.25" hidden="false" customHeight="true" outlineLevel="0" collapsed="false">
      <c r="A477" s="10"/>
      <c r="B477" s="10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customFormat="false" ht="14.25" hidden="false" customHeight="true" outlineLevel="0" collapsed="false">
      <c r="A478" s="10"/>
      <c r="B478" s="10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customFormat="false" ht="14.25" hidden="false" customHeight="true" outlineLevel="0" collapsed="false">
      <c r="A479" s="10"/>
      <c r="B479" s="10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customFormat="false" ht="14.25" hidden="false" customHeight="true" outlineLevel="0" collapsed="false">
      <c r="A480" s="10"/>
      <c r="B480" s="10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customFormat="false" ht="14.25" hidden="false" customHeight="true" outlineLevel="0" collapsed="false">
      <c r="A481" s="10"/>
      <c r="B481" s="10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customFormat="false" ht="14.25" hidden="false" customHeight="true" outlineLevel="0" collapsed="false">
      <c r="A482" s="10"/>
      <c r="B482" s="10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customFormat="false" ht="14.25" hidden="false" customHeight="true" outlineLevel="0" collapsed="false">
      <c r="A483" s="10"/>
      <c r="B483" s="10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customFormat="false" ht="14.25" hidden="false" customHeight="true" outlineLevel="0" collapsed="false">
      <c r="A484" s="10"/>
      <c r="B484" s="10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customFormat="false" ht="14.25" hidden="false" customHeight="true" outlineLevel="0" collapsed="false">
      <c r="A485" s="10"/>
      <c r="B485" s="10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customFormat="false" ht="14.25" hidden="false" customHeight="true" outlineLevel="0" collapsed="false">
      <c r="A486" s="10"/>
      <c r="B486" s="10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customFormat="false" ht="14.25" hidden="false" customHeight="true" outlineLevel="0" collapsed="false">
      <c r="A487" s="10"/>
      <c r="B487" s="10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customFormat="false" ht="14.25" hidden="false" customHeight="true" outlineLevel="0" collapsed="false">
      <c r="A488" s="10"/>
      <c r="B488" s="10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customFormat="false" ht="14.25" hidden="false" customHeight="true" outlineLevel="0" collapsed="false">
      <c r="A489" s="10"/>
      <c r="B489" s="10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customFormat="false" ht="14.25" hidden="false" customHeight="true" outlineLevel="0" collapsed="false">
      <c r="A490" s="10"/>
      <c r="B490" s="10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customFormat="false" ht="14.25" hidden="false" customHeight="true" outlineLevel="0" collapsed="false">
      <c r="A491" s="10"/>
      <c r="B491" s="10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customFormat="false" ht="14.25" hidden="false" customHeight="true" outlineLevel="0" collapsed="false">
      <c r="A492" s="10"/>
      <c r="B492" s="10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customFormat="false" ht="14.25" hidden="false" customHeight="true" outlineLevel="0" collapsed="false">
      <c r="A493" s="10"/>
      <c r="B493" s="10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customFormat="false" ht="14.25" hidden="false" customHeight="true" outlineLevel="0" collapsed="false">
      <c r="A494" s="10"/>
      <c r="B494" s="10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customFormat="false" ht="14.25" hidden="false" customHeight="true" outlineLevel="0" collapsed="false">
      <c r="A495" s="10"/>
      <c r="B495" s="10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customFormat="false" ht="14.25" hidden="false" customHeight="true" outlineLevel="0" collapsed="false">
      <c r="A496" s="10"/>
      <c r="B496" s="10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customFormat="false" ht="14.25" hidden="false" customHeight="true" outlineLevel="0" collapsed="false">
      <c r="A497" s="10"/>
      <c r="B497" s="10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customFormat="false" ht="14.25" hidden="false" customHeight="true" outlineLevel="0" collapsed="false">
      <c r="A498" s="10"/>
      <c r="B498" s="10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customFormat="false" ht="14.25" hidden="false" customHeight="true" outlineLevel="0" collapsed="false">
      <c r="A499" s="10"/>
      <c r="B499" s="10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customFormat="false" ht="14.25" hidden="false" customHeight="true" outlineLevel="0" collapsed="false">
      <c r="A500" s="10"/>
      <c r="B500" s="10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customFormat="false" ht="14.25" hidden="false" customHeight="true" outlineLevel="0" collapsed="false">
      <c r="A501" s="10"/>
      <c r="B501" s="10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customFormat="false" ht="14.25" hidden="false" customHeight="true" outlineLevel="0" collapsed="false">
      <c r="A502" s="10"/>
      <c r="B502" s="10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customFormat="false" ht="14.25" hidden="false" customHeight="true" outlineLevel="0" collapsed="false">
      <c r="A503" s="10"/>
      <c r="B503" s="10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customFormat="false" ht="14.25" hidden="false" customHeight="true" outlineLevel="0" collapsed="false">
      <c r="A504" s="10"/>
      <c r="B504" s="10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customFormat="false" ht="14.25" hidden="false" customHeight="true" outlineLevel="0" collapsed="false">
      <c r="A505" s="10"/>
      <c r="B505" s="10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customFormat="false" ht="14.25" hidden="false" customHeight="true" outlineLevel="0" collapsed="false">
      <c r="A506" s="10"/>
      <c r="B506" s="10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customFormat="false" ht="14.25" hidden="false" customHeight="true" outlineLevel="0" collapsed="false">
      <c r="A507" s="10"/>
      <c r="B507" s="10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customFormat="false" ht="14.25" hidden="false" customHeight="true" outlineLevel="0" collapsed="false">
      <c r="A508" s="10"/>
      <c r="B508" s="10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customFormat="false" ht="14.25" hidden="false" customHeight="true" outlineLevel="0" collapsed="false">
      <c r="A509" s="10"/>
      <c r="B509" s="10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customFormat="false" ht="14.25" hidden="false" customHeight="true" outlineLevel="0" collapsed="false">
      <c r="A510" s="10"/>
      <c r="B510" s="10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customFormat="false" ht="14.25" hidden="false" customHeight="true" outlineLevel="0" collapsed="false">
      <c r="A511" s="10"/>
      <c r="B511" s="10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customFormat="false" ht="14.25" hidden="false" customHeight="true" outlineLevel="0" collapsed="false">
      <c r="A512" s="10"/>
      <c r="B512" s="10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customFormat="false" ht="14.25" hidden="false" customHeight="true" outlineLevel="0" collapsed="false">
      <c r="A513" s="10"/>
      <c r="B513" s="10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customFormat="false" ht="14.25" hidden="false" customHeight="true" outlineLevel="0" collapsed="false">
      <c r="A514" s="10"/>
      <c r="B514" s="10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customFormat="false" ht="14.25" hidden="false" customHeight="true" outlineLevel="0" collapsed="false">
      <c r="A515" s="10"/>
      <c r="B515" s="10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customFormat="false" ht="14.25" hidden="false" customHeight="true" outlineLevel="0" collapsed="false">
      <c r="A516" s="10"/>
      <c r="B516" s="10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customFormat="false" ht="14.25" hidden="false" customHeight="true" outlineLevel="0" collapsed="false">
      <c r="A517" s="10"/>
      <c r="B517" s="10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customFormat="false" ht="14.25" hidden="false" customHeight="true" outlineLevel="0" collapsed="false">
      <c r="A518" s="10"/>
      <c r="B518" s="10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customFormat="false" ht="14.25" hidden="false" customHeight="true" outlineLevel="0" collapsed="false">
      <c r="A519" s="10"/>
      <c r="B519" s="10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customFormat="false" ht="14.25" hidden="false" customHeight="true" outlineLevel="0" collapsed="false">
      <c r="A520" s="10"/>
      <c r="B520" s="10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customFormat="false" ht="14.25" hidden="false" customHeight="true" outlineLevel="0" collapsed="false">
      <c r="A521" s="10"/>
      <c r="B521" s="10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customFormat="false" ht="14.25" hidden="false" customHeight="true" outlineLevel="0" collapsed="false">
      <c r="A522" s="10"/>
      <c r="B522" s="10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customFormat="false" ht="14.25" hidden="false" customHeight="true" outlineLevel="0" collapsed="false">
      <c r="A523" s="10"/>
      <c r="B523" s="10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customFormat="false" ht="14.25" hidden="false" customHeight="true" outlineLevel="0" collapsed="false">
      <c r="A524" s="10"/>
      <c r="B524" s="10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customFormat="false" ht="14.25" hidden="false" customHeight="true" outlineLevel="0" collapsed="false">
      <c r="A525" s="10"/>
      <c r="B525" s="10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customFormat="false" ht="14.25" hidden="false" customHeight="true" outlineLevel="0" collapsed="false">
      <c r="A526" s="10"/>
      <c r="B526" s="10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customFormat="false" ht="14.25" hidden="false" customHeight="true" outlineLevel="0" collapsed="false">
      <c r="A527" s="10"/>
      <c r="B527" s="10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customFormat="false" ht="14.25" hidden="false" customHeight="true" outlineLevel="0" collapsed="false">
      <c r="A528" s="10"/>
      <c r="B528" s="10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customFormat="false" ht="14.25" hidden="false" customHeight="true" outlineLevel="0" collapsed="false">
      <c r="A529" s="10"/>
      <c r="B529" s="10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customFormat="false" ht="14.25" hidden="false" customHeight="true" outlineLevel="0" collapsed="false">
      <c r="A530" s="10"/>
      <c r="B530" s="10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customFormat="false" ht="14.25" hidden="false" customHeight="true" outlineLevel="0" collapsed="false">
      <c r="A531" s="10"/>
      <c r="B531" s="10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customFormat="false" ht="14.25" hidden="false" customHeight="true" outlineLevel="0" collapsed="false">
      <c r="A532" s="10"/>
      <c r="B532" s="10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customFormat="false" ht="14.25" hidden="false" customHeight="true" outlineLevel="0" collapsed="false">
      <c r="A533" s="10"/>
      <c r="B533" s="10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customFormat="false" ht="14.25" hidden="false" customHeight="true" outlineLevel="0" collapsed="false">
      <c r="A534" s="10"/>
      <c r="B534" s="10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customFormat="false" ht="14.25" hidden="false" customHeight="true" outlineLevel="0" collapsed="false">
      <c r="A535" s="10"/>
      <c r="B535" s="10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customFormat="false" ht="14.25" hidden="false" customHeight="true" outlineLevel="0" collapsed="false">
      <c r="A536" s="10"/>
      <c r="B536" s="10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customFormat="false" ht="14.25" hidden="false" customHeight="true" outlineLevel="0" collapsed="false">
      <c r="A537" s="10"/>
      <c r="B537" s="10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customFormat="false" ht="14.25" hidden="false" customHeight="true" outlineLevel="0" collapsed="false">
      <c r="A538" s="10"/>
      <c r="B538" s="10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customFormat="false" ht="14.25" hidden="false" customHeight="true" outlineLevel="0" collapsed="false">
      <c r="A539" s="10"/>
      <c r="B539" s="10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customFormat="false" ht="14.25" hidden="false" customHeight="true" outlineLevel="0" collapsed="false">
      <c r="A540" s="10"/>
      <c r="B540" s="10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customFormat="false" ht="14.25" hidden="false" customHeight="true" outlineLevel="0" collapsed="false">
      <c r="A541" s="10"/>
      <c r="B541" s="10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customFormat="false" ht="14.25" hidden="false" customHeight="true" outlineLevel="0" collapsed="false">
      <c r="A542" s="10"/>
      <c r="B542" s="10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customFormat="false" ht="14.25" hidden="false" customHeight="true" outlineLevel="0" collapsed="false">
      <c r="A543" s="10"/>
      <c r="B543" s="10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customFormat="false" ht="14.25" hidden="false" customHeight="true" outlineLevel="0" collapsed="false">
      <c r="A544" s="10"/>
      <c r="B544" s="10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customFormat="false" ht="14.25" hidden="false" customHeight="true" outlineLevel="0" collapsed="false">
      <c r="A545" s="10"/>
      <c r="B545" s="10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customFormat="false" ht="14.25" hidden="false" customHeight="true" outlineLevel="0" collapsed="false">
      <c r="A546" s="10"/>
      <c r="B546" s="10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customFormat="false" ht="14.25" hidden="false" customHeight="true" outlineLevel="0" collapsed="false">
      <c r="A547" s="10"/>
      <c r="B547" s="10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customFormat="false" ht="14.25" hidden="false" customHeight="true" outlineLevel="0" collapsed="false">
      <c r="A548" s="10"/>
      <c r="B548" s="10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customFormat="false" ht="14.25" hidden="false" customHeight="true" outlineLevel="0" collapsed="false">
      <c r="A549" s="10"/>
      <c r="B549" s="10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customFormat="false" ht="14.25" hidden="false" customHeight="true" outlineLevel="0" collapsed="false">
      <c r="A550" s="10"/>
      <c r="B550" s="10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customFormat="false" ht="14.25" hidden="false" customHeight="true" outlineLevel="0" collapsed="false">
      <c r="A551" s="10"/>
      <c r="B551" s="10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customFormat="false" ht="14.25" hidden="false" customHeight="true" outlineLevel="0" collapsed="false">
      <c r="A552" s="10"/>
      <c r="B552" s="10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customFormat="false" ht="14.25" hidden="false" customHeight="true" outlineLevel="0" collapsed="false">
      <c r="A553" s="10"/>
      <c r="B553" s="10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customFormat="false" ht="14.25" hidden="false" customHeight="true" outlineLevel="0" collapsed="false">
      <c r="A554" s="10"/>
      <c r="B554" s="10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customFormat="false" ht="14.25" hidden="false" customHeight="true" outlineLevel="0" collapsed="false">
      <c r="A555" s="10"/>
      <c r="B555" s="10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customFormat="false" ht="14.25" hidden="false" customHeight="true" outlineLevel="0" collapsed="false">
      <c r="A556" s="10"/>
      <c r="B556" s="10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customFormat="false" ht="14.25" hidden="false" customHeight="true" outlineLevel="0" collapsed="false">
      <c r="A557" s="10"/>
      <c r="B557" s="10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customFormat="false" ht="14.25" hidden="false" customHeight="true" outlineLevel="0" collapsed="false">
      <c r="A558" s="10"/>
      <c r="B558" s="10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customFormat="false" ht="14.25" hidden="false" customHeight="true" outlineLevel="0" collapsed="false">
      <c r="A559" s="10"/>
      <c r="B559" s="10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customFormat="false" ht="14.25" hidden="false" customHeight="true" outlineLevel="0" collapsed="false">
      <c r="A560" s="10"/>
      <c r="B560" s="10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customFormat="false" ht="14.25" hidden="false" customHeight="true" outlineLevel="0" collapsed="false">
      <c r="A561" s="10"/>
      <c r="B561" s="10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customFormat="false" ht="14.25" hidden="false" customHeight="true" outlineLevel="0" collapsed="false">
      <c r="A562" s="10"/>
      <c r="B562" s="10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customFormat="false" ht="14.25" hidden="false" customHeight="true" outlineLevel="0" collapsed="false">
      <c r="A563" s="10"/>
      <c r="B563" s="10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customFormat="false" ht="14.25" hidden="false" customHeight="true" outlineLevel="0" collapsed="false">
      <c r="A564" s="10"/>
      <c r="B564" s="10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customFormat="false" ht="14.25" hidden="false" customHeight="true" outlineLevel="0" collapsed="false">
      <c r="A565" s="10"/>
      <c r="B565" s="10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customFormat="false" ht="14.25" hidden="false" customHeight="true" outlineLevel="0" collapsed="false">
      <c r="A566" s="10"/>
      <c r="B566" s="10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customFormat="false" ht="14.25" hidden="false" customHeight="true" outlineLevel="0" collapsed="false">
      <c r="A567" s="10"/>
      <c r="B567" s="10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customFormat="false" ht="14.25" hidden="false" customHeight="true" outlineLevel="0" collapsed="false">
      <c r="A568" s="10"/>
      <c r="B568" s="10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customFormat="false" ht="14.25" hidden="false" customHeight="true" outlineLevel="0" collapsed="false">
      <c r="A569" s="10"/>
      <c r="B569" s="10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customFormat="false" ht="14.25" hidden="false" customHeight="true" outlineLevel="0" collapsed="false">
      <c r="A570" s="10"/>
      <c r="B570" s="10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customFormat="false" ht="14.25" hidden="false" customHeight="true" outlineLevel="0" collapsed="false">
      <c r="A571" s="10"/>
      <c r="B571" s="10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customFormat="false" ht="14.25" hidden="false" customHeight="true" outlineLevel="0" collapsed="false">
      <c r="A572" s="10"/>
      <c r="B572" s="10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customFormat="false" ht="14.25" hidden="false" customHeight="true" outlineLevel="0" collapsed="false">
      <c r="A573" s="10"/>
      <c r="B573" s="10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customFormat="false" ht="14.25" hidden="false" customHeight="true" outlineLevel="0" collapsed="false">
      <c r="A574" s="10"/>
      <c r="B574" s="10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customFormat="false" ht="14.25" hidden="false" customHeight="true" outlineLevel="0" collapsed="false">
      <c r="A575" s="10"/>
      <c r="B575" s="10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customFormat="false" ht="14.25" hidden="false" customHeight="true" outlineLevel="0" collapsed="false">
      <c r="A576" s="10"/>
      <c r="B576" s="10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customFormat="false" ht="14.25" hidden="false" customHeight="true" outlineLevel="0" collapsed="false">
      <c r="A577" s="10"/>
      <c r="B577" s="10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customFormat="false" ht="14.25" hidden="false" customHeight="true" outlineLevel="0" collapsed="false">
      <c r="A578" s="10"/>
      <c r="B578" s="10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customFormat="false" ht="14.25" hidden="false" customHeight="true" outlineLevel="0" collapsed="false">
      <c r="A579" s="10"/>
      <c r="B579" s="10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customFormat="false" ht="14.25" hidden="false" customHeight="true" outlineLevel="0" collapsed="false">
      <c r="A580" s="10"/>
      <c r="B580" s="10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customFormat="false" ht="14.25" hidden="false" customHeight="true" outlineLevel="0" collapsed="false">
      <c r="A581" s="10"/>
      <c r="B581" s="10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customFormat="false" ht="14.25" hidden="false" customHeight="true" outlineLevel="0" collapsed="false">
      <c r="A582" s="10"/>
      <c r="B582" s="10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customFormat="false" ht="14.25" hidden="false" customHeight="true" outlineLevel="0" collapsed="false">
      <c r="A583" s="10"/>
      <c r="B583" s="10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customFormat="false" ht="14.25" hidden="false" customHeight="true" outlineLevel="0" collapsed="false">
      <c r="A584" s="10"/>
      <c r="B584" s="10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customFormat="false" ht="14.25" hidden="false" customHeight="true" outlineLevel="0" collapsed="false">
      <c r="A585" s="10"/>
      <c r="B585" s="10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customFormat="false" ht="14.25" hidden="false" customHeight="true" outlineLevel="0" collapsed="false">
      <c r="A586" s="10"/>
      <c r="B586" s="10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customFormat="false" ht="14.25" hidden="false" customHeight="true" outlineLevel="0" collapsed="false">
      <c r="A587" s="10"/>
      <c r="B587" s="10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customFormat="false" ht="14.25" hidden="false" customHeight="true" outlineLevel="0" collapsed="false">
      <c r="A588" s="10"/>
      <c r="B588" s="10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customFormat="false" ht="14.25" hidden="false" customHeight="true" outlineLevel="0" collapsed="false">
      <c r="A589" s="10"/>
      <c r="B589" s="10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customFormat="false" ht="14.25" hidden="false" customHeight="true" outlineLevel="0" collapsed="false">
      <c r="A590" s="10"/>
      <c r="B590" s="10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customFormat="false" ht="14.25" hidden="false" customHeight="true" outlineLevel="0" collapsed="false">
      <c r="A591" s="10"/>
      <c r="B591" s="10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customFormat="false" ht="14.25" hidden="false" customHeight="true" outlineLevel="0" collapsed="false">
      <c r="A592" s="10"/>
      <c r="B592" s="10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customFormat="false" ht="14.25" hidden="false" customHeight="true" outlineLevel="0" collapsed="false">
      <c r="A593" s="10"/>
      <c r="B593" s="10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customFormat="false" ht="14.25" hidden="false" customHeight="true" outlineLevel="0" collapsed="false">
      <c r="A594" s="10"/>
      <c r="B594" s="10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customFormat="false" ht="14.25" hidden="false" customHeight="true" outlineLevel="0" collapsed="false">
      <c r="A595" s="10"/>
      <c r="B595" s="10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customFormat="false" ht="14.25" hidden="false" customHeight="true" outlineLevel="0" collapsed="false">
      <c r="A596" s="10"/>
      <c r="B596" s="10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customFormat="false" ht="14.25" hidden="false" customHeight="true" outlineLevel="0" collapsed="false">
      <c r="A597" s="10"/>
      <c r="B597" s="10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customFormat="false" ht="14.25" hidden="false" customHeight="true" outlineLevel="0" collapsed="false">
      <c r="A598" s="10"/>
      <c r="B598" s="10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customFormat="false" ht="14.25" hidden="false" customHeight="true" outlineLevel="0" collapsed="false">
      <c r="A599" s="10"/>
      <c r="B599" s="10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customFormat="false" ht="14.25" hidden="false" customHeight="true" outlineLevel="0" collapsed="false">
      <c r="A600" s="10"/>
      <c r="B600" s="10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customFormat="false" ht="14.25" hidden="false" customHeight="true" outlineLevel="0" collapsed="false">
      <c r="A601" s="10"/>
      <c r="B601" s="10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customFormat="false" ht="14.25" hidden="false" customHeight="true" outlineLevel="0" collapsed="false">
      <c r="A602" s="10"/>
      <c r="B602" s="10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customFormat="false" ht="14.25" hidden="false" customHeight="true" outlineLevel="0" collapsed="false">
      <c r="A603" s="10"/>
      <c r="B603" s="10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customFormat="false" ht="14.25" hidden="false" customHeight="true" outlineLevel="0" collapsed="false">
      <c r="A604" s="10"/>
      <c r="B604" s="10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customFormat="false" ht="14.25" hidden="false" customHeight="true" outlineLevel="0" collapsed="false">
      <c r="A605" s="10"/>
      <c r="B605" s="10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customFormat="false" ht="14.25" hidden="false" customHeight="true" outlineLevel="0" collapsed="false">
      <c r="A606" s="10"/>
      <c r="B606" s="10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customFormat="false" ht="14.25" hidden="false" customHeight="true" outlineLevel="0" collapsed="false">
      <c r="A607" s="10"/>
      <c r="B607" s="10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customFormat="false" ht="14.25" hidden="false" customHeight="true" outlineLevel="0" collapsed="false">
      <c r="A608" s="10"/>
      <c r="B608" s="10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customFormat="false" ht="14.25" hidden="false" customHeight="true" outlineLevel="0" collapsed="false">
      <c r="A609" s="10"/>
      <c r="B609" s="10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customFormat="false" ht="14.25" hidden="false" customHeight="true" outlineLevel="0" collapsed="false">
      <c r="A610" s="10"/>
      <c r="B610" s="10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customFormat="false" ht="14.25" hidden="false" customHeight="true" outlineLevel="0" collapsed="false">
      <c r="A611" s="10"/>
      <c r="B611" s="10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customFormat="false" ht="14.25" hidden="false" customHeight="true" outlineLevel="0" collapsed="false">
      <c r="A612" s="10"/>
      <c r="B612" s="10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customFormat="false" ht="14.25" hidden="false" customHeight="true" outlineLevel="0" collapsed="false">
      <c r="A613" s="10"/>
      <c r="B613" s="10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customFormat="false" ht="14.25" hidden="false" customHeight="true" outlineLevel="0" collapsed="false">
      <c r="A614" s="10"/>
      <c r="B614" s="10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customFormat="false" ht="14.25" hidden="false" customHeight="true" outlineLevel="0" collapsed="false">
      <c r="A615" s="10"/>
      <c r="B615" s="10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customFormat="false" ht="14.25" hidden="false" customHeight="true" outlineLevel="0" collapsed="false">
      <c r="A616" s="10"/>
      <c r="B616" s="10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customFormat="false" ht="14.25" hidden="false" customHeight="true" outlineLevel="0" collapsed="false">
      <c r="A617" s="10"/>
      <c r="B617" s="10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customFormat="false" ht="14.25" hidden="false" customHeight="true" outlineLevel="0" collapsed="false">
      <c r="A618" s="10"/>
      <c r="B618" s="10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customFormat="false" ht="14.25" hidden="false" customHeight="true" outlineLevel="0" collapsed="false">
      <c r="A619" s="10"/>
      <c r="B619" s="10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customFormat="false" ht="14.25" hidden="false" customHeight="true" outlineLevel="0" collapsed="false">
      <c r="A620" s="10"/>
      <c r="B620" s="10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customFormat="false" ht="14.25" hidden="false" customHeight="true" outlineLevel="0" collapsed="false">
      <c r="A621" s="10"/>
      <c r="B621" s="10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customFormat="false" ht="14.25" hidden="false" customHeight="true" outlineLevel="0" collapsed="false">
      <c r="A622" s="10"/>
      <c r="B622" s="10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customFormat="false" ht="14.25" hidden="false" customHeight="true" outlineLevel="0" collapsed="false">
      <c r="A623" s="10"/>
      <c r="B623" s="10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customFormat="false" ht="14.25" hidden="false" customHeight="true" outlineLevel="0" collapsed="false">
      <c r="A624" s="10"/>
      <c r="B624" s="10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customFormat="false" ht="14.25" hidden="false" customHeight="true" outlineLevel="0" collapsed="false">
      <c r="A625" s="10"/>
      <c r="B625" s="10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customFormat="false" ht="14.25" hidden="false" customHeight="true" outlineLevel="0" collapsed="false">
      <c r="A626" s="10"/>
      <c r="B626" s="10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customFormat="false" ht="14.25" hidden="false" customHeight="true" outlineLevel="0" collapsed="false">
      <c r="A627" s="10"/>
      <c r="B627" s="10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customFormat="false" ht="14.25" hidden="false" customHeight="true" outlineLevel="0" collapsed="false">
      <c r="A628" s="10"/>
      <c r="B628" s="10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customFormat="false" ht="14.25" hidden="false" customHeight="true" outlineLevel="0" collapsed="false">
      <c r="A629" s="10"/>
      <c r="B629" s="10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customFormat="false" ht="14.25" hidden="false" customHeight="true" outlineLevel="0" collapsed="false">
      <c r="A630" s="10"/>
      <c r="B630" s="10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customFormat="false" ht="14.25" hidden="false" customHeight="true" outlineLevel="0" collapsed="false">
      <c r="A631" s="10"/>
      <c r="B631" s="10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customFormat="false" ht="14.25" hidden="false" customHeight="true" outlineLevel="0" collapsed="false">
      <c r="A632" s="10"/>
      <c r="B632" s="10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customFormat="false" ht="14.25" hidden="false" customHeight="true" outlineLevel="0" collapsed="false">
      <c r="A633" s="10"/>
      <c r="B633" s="10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customFormat="false" ht="14.25" hidden="false" customHeight="true" outlineLevel="0" collapsed="false">
      <c r="A634" s="10"/>
      <c r="B634" s="10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customFormat="false" ht="14.25" hidden="false" customHeight="true" outlineLevel="0" collapsed="false">
      <c r="A635" s="10"/>
      <c r="B635" s="10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customFormat="false" ht="14.25" hidden="false" customHeight="true" outlineLevel="0" collapsed="false">
      <c r="A636" s="10"/>
      <c r="B636" s="10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customFormat="false" ht="14.25" hidden="false" customHeight="true" outlineLevel="0" collapsed="false">
      <c r="A637" s="10"/>
      <c r="B637" s="10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customFormat="false" ht="14.25" hidden="false" customHeight="true" outlineLevel="0" collapsed="false">
      <c r="A638" s="10"/>
      <c r="B638" s="10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customFormat="false" ht="14.25" hidden="false" customHeight="true" outlineLevel="0" collapsed="false">
      <c r="A639" s="10"/>
      <c r="B639" s="10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customFormat="false" ht="14.25" hidden="false" customHeight="true" outlineLevel="0" collapsed="false">
      <c r="A640" s="10"/>
      <c r="B640" s="10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customFormat="false" ht="14.25" hidden="false" customHeight="true" outlineLevel="0" collapsed="false">
      <c r="A641" s="10"/>
      <c r="B641" s="10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customFormat="false" ht="14.25" hidden="false" customHeight="true" outlineLevel="0" collapsed="false">
      <c r="A642" s="10"/>
      <c r="B642" s="10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customFormat="false" ht="14.25" hidden="false" customHeight="true" outlineLevel="0" collapsed="false">
      <c r="A643" s="10"/>
      <c r="B643" s="10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customFormat="false" ht="14.25" hidden="false" customHeight="true" outlineLevel="0" collapsed="false">
      <c r="A644" s="10"/>
      <c r="B644" s="10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customFormat="false" ht="14.25" hidden="false" customHeight="true" outlineLevel="0" collapsed="false">
      <c r="A645" s="10"/>
      <c r="B645" s="10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customFormat="false" ht="14.25" hidden="false" customHeight="true" outlineLevel="0" collapsed="false">
      <c r="A646" s="10"/>
      <c r="B646" s="10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customFormat="false" ht="14.25" hidden="false" customHeight="true" outlineLevel="0" collapsed="false">
      <c r="A647" s="10"/>
      <c r="B647" s="10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customFormat="false" ht="14.25" hidden="false" customHeight="true" outlineLevel="0" collapsed="false">
      <c r="A648" s="10"/>
      <c r="B648" s="10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customFormat="false" ht="14.25" hidden="false" customHeight="true" outlineLevel="0" collapsed="false">
      <c r="A649" s="10"/>
      <c r="B649" s="10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customFormat="false" ht="14.25" hidden="false" customHeight="true" outlineLevel="0" collapsed="false">
      <c r="A650" s="10"/>
      <c r="B650" s="10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customFormat="false" ht="14.25" hidden="false" customHeight="true" outlineLevel="0" collapsed="false">
      <c r="A651" s="10"/>
      <c r="B651" s="10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customFormat="false" ht="14.25" hidden="false" customHeight="true" outlineLevel="0" collapsed="false">
      <c r="A652" s="10"/>
      <c r="B652" s="10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customFormat="false" ht="14.25" hidden="false" customHeight="true" outlineLevel="0" collapsed="false">
      <c r="A653" s="10"/>
      <c r="B653" s="10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customFormat="false" ht="14.25" hidden="false" customHeight="true" outlineLevel="0" collapsed="false">
      <c r="A654" s="10"/>
      <c r="B654" s="10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customFormat="false" ht="14.25" hidden="false" customHeight="true" outlineLevel="0" collapsed="false">
      <c r="A655" s="10"/>
      <c r="B655" s="10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customFormat="false" ht="14.25" hidden="false" customHeight="true" outlineLevel="0" collapsed="false">
      <c r="A656" s="10"/>
      <c r="B656" s="10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customFormat="false" ht="14.25" hidden="false" customHeight="true" outlineLevel="0" collapsed="false">
      <c r="A657" s="10"/>
      <c r="B657" s="10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customFormat="false" ht="14.25" hidden="false" customHeight="true" outlineLevel="0" collapsed="false">
      <c r="A658" s="10"/>
      <c r="B658" s="10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customFormat="false" ht="14.25" hidden="false" customHeight="true" outlineLevel="0" collapsed="false">
      <c r="A659" s="10"/>
      <c r="B659" s="10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customFormat="false" ht="14.25" hidden="false" customHeight="true" outlineLevel="0" collapsed="false">
      <c r="A660" s="10"/>
      <c r="B660" s="10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customFormat="false" ht="14.25" hidden="false" customHeight="true" outlineLevel="0" collapsed="false">
      <c r="A661" s="10"/>
      <c r="B661" s="10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customFormat="false" ht="14.25" hidden="false" customHeight="true" outlineLevel="0" collapsed="false">
      <c r="A662" s="10"/>
      <c r="B662" s="10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customFormat="false" ht="14.25" hidden="false" customHeight="true" outlineLevel="0" collapsed="false">
      <c r="A663" s="10"/>
      <c r="B663" s="10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customFormat="false" ht="14.25" hidden="false" customHeight="true" outlineLevel="0" collapsed="false">
      <c r="A664" s="10"/>
      <c r="B664" s="10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customFormat="false" ht="14.25" hidden="false" customHeight="true" outlineLevel="0" collapsed="false">
      <c r="A665" s="10"/>
      <c r="B665" s="10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customFormat="false" ht="14.25" hidden="false" customHeight="true" outlineLevel="0" collapsed="false">
      <c r="A666" s="10"/>
      <c r="B666" s="10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customFormat="false" ht="14.25" hidden="false" customHeight="true" outlineLevel="0" collapsed="false">
      <c r="A667" s="10"/>
      <c r="B667" s="10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customFormat="false" ht="14.25" hidden="false" customHeight="true" outlineLevel="0" collapsed="false">
      <c r="A668" s="10"/>
      <c r="B668" s="10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customFormat="false" ht="14.25" hidden="false" customHeight="true" outlineLevel="0" collapsed="false">
      <c r="A669" s="10"/>
      <c r="B669" s="10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customFormat="false" ht="14.25" hidden="false" customHeight="true" outlineLevel="0" collapsed="false">
      <c r="A670" s="10"/>
      <c r="B670" s="10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customFormat="false" ht="14.25" hidden="false" customHeight="true" outlineLevel="0" collapsed="false">
      <c r="A671" s="10"/>
      <c r="B671" s="10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customFormat="false" ht="14.25" hidden="false" customHeight="true" outlineLevel="0" collapsed="false">
      <c r="A672" s="10"/>
      <c r="B672" s="10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customFormat="false" ht="14.25" hidden="false" customHeight="true" outlineLevel="0" collapsed="false">
      <c r="A673" s="10"/>
      <c r="B673" s="10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customFormat="false" ht="14.25" hidden="false" customHeight="true" outlineLevel="0" collapsed="false">
      <c r="A674" s="10"/>
      <c r="B674" s="10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customFormat="false" ht="14.25" hidden="false" customHeight="true" outlineLevel="0" collapsed="false">
      <c r="A675" s="10"/>
      <c r="B675" s="10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customFormat="false" ht="14.25" hidden="false" customHeight="true" outlineLevel="0" collapsed="false">
      <c r="A676" s="10"/>
      <c r="B676" s="10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customFormat="false" ht="14.25" hidden="false" customHeight="true" outlineLevel="0" collapsed="false">
      <c r="A677" s="10"/>
      <c r="B677" s="10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customFormat="false" ht="14.25" hidden="false" customHeight="true" outlineLevel="0" collapsed="false">
      <c r="A678" s="10"/>
      <c r="B678" s="10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customFormat="false" ht="14.25" hidden="false" customHeight="true" outlineLevel="0" collapsed="false">
      <c r="A679" s="10"/>
      <c r="B679" s="10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customFormat="false" ht="14.25" hidden="false" customHeight="true" outlineLevel="0" collapsed="false">
      <c r="A680" s="10"/>
      <c r="B680" s="10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customFormat="false" ht="14.25" hidden="false" customHeight="true" outlineLevel="0" collapsed="false">
      <c r="A681" s="10"/>
      <c r="B681" s="10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customFormat="false" ht="14.25" hidden="false" customHeight="true" outlineLevel="0" collapsed="false">
      <c r="A682" s="10"/>
      <c r="B682" s="10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customFormat="false" ht="14.25" hidden="false" customHeight="true" outlineLevel="0" collapsed="false">
      <c r="A683" s="10"/>
      <c r="B683" s="10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customFormat="false" ht="14.25" hidden="false" customHeight="true" outlineLevel="0" collapsed="false">
      <c r="A684" s="10"/>
      <c r="B684" s="10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customFormat="false" ht="14.25" hidden="false" customHeight="true" outlineLevel="0" collapsed="false">
      <c r="A685" s="10"/>
      <c r="B685" s="10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customFormat="false" ht="14.25" hidden="false" customHeight="true" outlineLevel="0" collapsed="false">
      <c r="A686" s="10"/>
      <c r="B686" s="10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customFormat="false" ht="14.25" hidden="false" customHeight="true" outlineLevel="0" collapsed="false">
      <c r="A687" s="10"/>
      <c r="B687" s="10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customFormat="false" ht="14.25" hidden="false" customHeight="true" outlineLevel="0" collapsed="false">
      <c r="A688" s="10"/>
      <c r="B688" s="10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customFormat="false" ht="14.25" hidden="false" customHeight="true" outlineLevel="0" collapsed="false">
      <c r="A689" s="10"/>
      <c r="B689" s="10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customFormat="false" ht="14.25" hidden="false" customHeight="true" outlineLevel="0" collapsed="false">
      <c r="A690" s="10"/>
      <c r="B690" s="10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customFormat="false" ht="14.25" hidden="false" customHeight="true" outlineLevel="0" collapsed="false">
      <c r="A691" s="10"/>
      <c r="B691" s="10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customFormat="false" ht="14.25" hidden="false" customHeight="true" outlineLevel="0" collapsed="false">
      <c r="A692" s="10"/>
      <c r="B692" s="10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customFormat="false" ht="14.25" hidden="false" customHeight="true" outlineLevel="0" collapsed="false">
      <c r="A693" s="10"/>
      <c r="B693" s="10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customFormat="false" ht="14.25" hidden="false" customHeight="true" outlineLevel="0" collapsed="false">
      <c r="A694" s="10"/>
      <c r="B694" s="10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customFormat="false" ht="14.25" hidden="false" customHeight="true" outlineLevel="0" collapsed="false">
      <c r="A695" s="10"/>
      <c r="B695" s="10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customFormat="false" ht="14.25" hidden="false" customHeight="true" outlineLevel="0" collapsed="false">
      <c r="A696" s="10"/>
      <c r="B696" s="10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customFormat="false" ht="14.25" hidden="false" customHeight="true" outlineLevel="0" collapsed="false">
      <c r="A697" s="10"/>
      <c r="B697" s="10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customFormat="false" ht="14.25" hidden="false" customHeight="true" outlineLevel="0" collapsed="false">
      <c r="A698" s="10"/>
      <c r="B698" s="10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customFormat="false" ht="14.25" hidden="false" customHeight="true" outlineLevel="0" collapsed="false">
      <c r="A699" s="10"/>
      <c r="B699" s="10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customFormat="false" ht="14.25" hidden="false" customHeight="true" outlineLevel="0" collapsed="false">
      <c r="A700" s="10"/>
      <c r="B700" s="10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customFormat="false" ht="14.25" hidden="false" customHeight="true" outlineLevel="0" collapsed="false">
      <c r="A701" s="10"/>
      <c r="B701" s="10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customFormat="false" ht="14.25" hidden="false" customHeight="true" outlineLevel="0" collapsed="false">
      <c r="A702" s="10"/>
      <c r="B702" s="10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customFormat="false" ht="14.25" hidden="false" customHeight="true" outlineLevel="0" collapsed="false">
      <c r="A703" s="10"/>
      <c r="B703" s="10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customFormat="false" ht="14.25" hidden="false" customHeight="true" outlineLevel="0" collapsed="false">
      <c r="A704" s="10"/>
      <c r="B704" s="10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customFormat="false" ht="14.25" hidden="false" customHeight="true" outlineLevel="0" collapsed="false">
      <c r="A705" s="10"/>
      <c r="B705" s="10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customFormat="false" ht="14.25" hidden="false" customHeight="true" outlineLevel="0" collapsed="false">
      <c r="A706" s="10"/>
      <c r="B706" s="10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customFormat="false" ht="14.25" hidden="false" customHeight="true" outlineLevel="0" collapsed="false">
      <c r="A707" s="10"/>
      <c r="B707" s="10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customFormat="false" ht="14.25" hidden="false" customHeight="true" outlineLevel="0" collapsed="false">
      <c r="A708" s="10"/>
      <c r="B708" s="10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customFormat="false" ht="14.25" hidden="false" customHeight="true" outlineLevel="0" collapsed="false">
      <c r="A709" s="10"/>
      <c r="B709" s="10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customFormat="false" ht="14.25" hidden="false" customHeight="true" outlineLevel="0" collapsed="false">
      <c r="A710" s="10"/>
      <c r="B710" s="10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customFormat="false" ht="14.25" hidden="false" customHeight="true" outlineLevel="0" collapsed="false">
      <c r="A711" s="10"/>
      <c r="B711" s="10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customFormat="false" ht="14.25" hidden="false" customHeight="true" outlineLevel="0" collapsed="false">
      <c r="A712" s="10"/>
      <c r="B712" s="10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customFormat="false" ht="14.25" hidden="false" customHeight="true" outlineLevel="0" collapsed="false">
      <c r="A713" s="10"/>
      <c r="B713" s="10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customFormat="false" ht="14.25" hidden="false" customHeight="true" outlineLevel="0" collapsed="false">
      <c r="A714" s="10"/>
      <c r="B714" s="10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customFormat="false" ht="14.25" hidden="false" customHeight="true" outlineLevel="0" collapsed="false">
      <c r="A715" s="10"/>
      <c r="B715" s="10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customFormat="false" ht="14.25" hidden="false" customHeight="true" outlineLevel="0" collapsed="false">
      <c r="A716" s="10"/>
      <c r="B716" s="10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customFormat="false" ht="14.25" hidden="false" customHeight="true" outlineLevel="0" collapsed="false">
      <c r="A717" s="10"/>
      <c r="B717" s="10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customFormat="false" ht="14.25" hidden="false" customHeight="true" outlineLevel="0" collapsed="false">
      <c r="A718" s="10"/>
      <c r="B718" s="10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customFormat="false" ht="14.25" hidden="false" customHeight="true" outlineLevel="0" collapsed="false">
      <c r="A719" s="10"/>
      <c r="B719" s="10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customFormat="false" ht="14.25" hidden="false" customHeight="true" outlineLevel="0" collapsed="false">
      <c r="A720" s="10"/>
      <c r="B720" s="10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customFormat="false" ht="14.25" hidden="false" customHeight="true" outlineLevel="0" collapsed="false">
      <c r="A721" s="10"/>
      <c r="B721" s="10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customFormat="false" ht="14.25" hidden="false" customHeight="true" outlineLevel="0" collapsed="false">
      <c r="A722" s="10"/>
      <c r="B722" s="10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customFormat="false" ht="14.25" hidden="false" customHeight="true" outlineLevel="0" collapsed="false">
      <c r="A723" s="10"/>
      <c r="B723" s="10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customFormat="false" ht="14.25" hidden="false" customHeight="true" outlineLevel="0" collapsed="false">
      <c r="A724" s="10"/>
      <c r="B724" s="10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customFormat="false" ht="14.25" hidden="false" customHeight="true" outlineLevel="0" collapsed="false">
      <c r="A725" s="10"/>
      <c r="B725" s="10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customFormat="false" ht="14.25" hidden="false" customHeight="true" outlineLevel="0" collapsed="false">
      <c r="A726" s="10"/>
      <c r="B726" s="10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customFormat="false" ht="14.25" hidden="false" customHeight="true" outlineLevel="0" collapsed="false">
      <c r="A727" s="10"/>
      <c r="B727" s="10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customFormat="false" ht="14.25" hidden="false" customHeight="true" outlineLevel="0" collapsed="false">
      <c r="A728" s="10"/>
      <c r="B728" s="10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customFormat="false" ht="14.25" hidden="false" customHeight="true" outlineLevel="0" collapsed="false">
      <c r="A729" s="10"/>
      <c r="B729" s="10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customFormat="false" ht="14.25" hidden="false" customHeight="true" outlineLevel="0" collapsed="false">
      <c r="A730" s="10"/>
      <c r="B730" s="10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customFormat="false" ht="14.25" hidden="false" customHeight="true" outlineLevel="0" collapsed="false">
      <c r="A731" s="10"/>
      <c r="B731" s="10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customFormat="false" ht="14.25" hidden="false" customHeight="true" outlineLevel="0" collapsed="false">
      <c r="A732" s="10"/>
      <c r="B732" s="10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customFormat="false" ht="14.25" hidden="false" customHeight="true" outlineLevel="0" collapsed="false">
      <c r="A733" s="10"/>
      <c r="B733" s="10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customFormat="false" ht="14.25" hidden="false" customHeight="true" outlineLevel="0" collapsed="false">
      <c r="A734" s="10"/>
      <c r="B734" s="10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customFormat="false" ht="14.25" hidden="false" customHeight="true" outlineLevel="0" collapsed="false">
      <c r="A735" s="10"/>
      <c r="B735" s="10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customFormat="false" ht="14.25" hidden="false" customHeight="true" outlineLevel="0" collapsed="false">
      <c r="A736" s="10"/>
      <c r="B736" s="10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customFormat="false" ht="14.25" hidden="false" customHeight="true" outlineLevel="0" collapsed="false">
      <c r="A737" s="10"/>
      <c r="B737" s="10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customFormat="false" ht="14.25" hidden="false" customHeight="true" outlineLevel="0" collapsed="false">
      <c r="A738" s="10"/>
      <c r="B738" s="10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customFormat="false" ht="14.25" hidden="false" customHeight="true" outlineLevel="0" collapsed="false">
      <c r="A739" s="10"/>
      <c r="B739" s="10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customFormat="false" ht="14.25" hidden="false" customHeight="true" outlineLevel="0" collapsed="false">
      <c r="A740" s="10"/>
      <c r="B740" s="10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customFormat="false" ht="14.25" hidden="false" customHeight="true" outlineLevel="0" collapsed="false">
      <c r="A741" s="10"/>
      <c r="B741" s="10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customFormat="false" ht="14.25" hidden="false" customHeight="true" outlineLevel="0" collapsed="false">
      <c r="A742" s="10"/>
      <c r="B742" s="10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customFormat="false" ht="14.25" hidden="false" customHeight="true" outlineLevel="0" collapsed="false">
      <c r="A743" s="10"/>
      <c r="B743" s="10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customFormat="false" ht="14.25" hidden="false" customHeight="true" outlineLevel="0" collapsed="false">
      <c r="A744" s="10"/>
      <c r="B744" s="10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customFormat="false" ht="14.25" hidden="false" customHeight="true" outlineLevel="0" collapsed="false">
      <c r="A745" s="10"/>
      <c r="B745" s="10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customFormat="false" ht="14.25" hidden="false" customHeight="true" outlineLevel="0" collapsed="false">
      <c r="A746" s="10"/>
      <c r="B746" s="10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customFormat="false" ht="14.25" hidden="false" customHeight="true" outlineLevel="0" collapsed="false">
      <c r="A747" s="10"/>
      <c r="B747" s="10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customFormat="false" ht="14.25" hidden="false" customHeight="true" outlineLevel="0" collapsed="false">
      <c r="A748" s="10"/>
      <c r="B748" s="10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customFormat="false" ht="14.25" hidden="false" customHeight="true" outlineLevel="0" collapsed="false">
      <c r="A749" s="10"/>
      <c r="B749" s="10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customFormat="false" ht="14.25" hidden="false" customHeight="true" outlineLevel="0" collapsed="false">
      <c r="A750" s="10"/>
      <c r="B750" s="10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customFormat="false" ht="14.25" hidden="false" customHeight="true" outlineLevel="0" collapsed="false">
      <c r="A751" s="10"/>
      <c r="B751" s="10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customFormat="false" ht="14.25" hidden="false" customHeight="true" outlineLevel="0" collapsed="false">
      <c r="A752" s="10"/>
      <c r="B752" s="10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customFormat="false" ht="14.25" hidden="false" customHeight="true" outlineLevel="0" collapsed="false">
      <c r="A753" s="10"/>
      <c r="B753" s="10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customFormat="false" ht="14.25" hidden="false" customHeight="true" outlineLevel="0" collapsed="false">
      <c r="A754" s="10"/>
      <c r="B754" s="10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customFormat="false" ht="14.25" hidden="false" customHeight="true" outlineLevel="0" collapsed="false">
      <c r="A755" s="10"/>
      <c r="B755" s="10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customFormat="false" ht="14.25" hidden="false" customHeight="true" outlineLevel="0" collapsed="false">
      <c r="A756" s="10"/>
      <c r="B756" s="10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customFormat="false" ht="14.25" hidden="false" customHeight="true" outlineLevel="0" collapsed="false">
      <c r="A757" s="10"/>
      <c r="B757" s="10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customFormat="false" ht="14.25" hidden="false" customHeight="true" outlineLevel="0" collapsed="false">
      <c r="A758" s="10"/>
      <c r="B758" s="10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customFormat="false" ht="14.25" hidden="false" customHeight="true" outlineLevel="0" collapsed="false">
      <c r="A759" s="10"/>
      <c r="B759" s="10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customFormat="false" ht="14.25" hidden="false" customHeight="true" outlineLevel="0" collapsed="false">
      <c r="A760" s="10"/>
      <c r="B760" s="10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customFormat="false" ht="14.25" hidden="false" customHeight="true" outlineLevel="0" collapsed="false">
      <c r="A761" s="10"/>
      <c r="B761" s="10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customFormat="false" ht="14.25" hidden="false" customHeight="true" outlineLevel="0" collapsed="false">
      <c r="A762" s="10"/>
      <c r="B762" s="10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customFormat="false" ht="14.25" hidden="false" customHeight="true" outlineLevel="0" collapsed="false">
      <c r="A763" s="10"/>
      <c r="B763" s="10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customFormat="false" ht="14.25" hidden="false" customHeight="true" outlineLevel="0" collapsed="false">
      <c r="A764" s="10"/>
      <c r="B764" s="10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customFormat="false" ht="14.25" hidden="false" customHeight="true" outlineLevel="0" collapsed="false">
      <c r="A765" s="10"/>
      <c r="B765" s="10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customFormat="false" ht="14.25" hidden="false" customHeight="true" outlineLevel="0" collapsed="false">
      <c r="A766" s="10"/>
      <c r="B766" s="10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customFormat="false" ht="14.25" hidden="false" customHeight="true" outlineLevel="0" collapsed="false">
      <c r="A767" s="10"/>
      <c r="B767" s="10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customFormat="false" ht="14.25" hidden="false" customHeight="true" outlineLevel="0" collapsed="false">
      <c r="A768" s="10"/>
      <c r="B768" s="10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customFormat="false" ht="14.25" hidden="false" customHeight="true" outlineLevel="0" collapsed="false">
      <c r="A769" s="10"/>
      <c r="B769" s="10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customFormat="false" ht="14.25" hidden="false" customHeight="true" outlineLevel="0" collapsed="false">
      <c r="A770" s="10"/>
      <c r="B770" s="10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customFormat="false" ht="14.25" hidden="false" customHeight="true" outlineLevel="0" collapsed="false">
      <c r="A771" s="10"/>
      <c r="B771" s="10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customFormat="false" ht="14.25" hidden="false" customHeight="true" outlineLevel="0" collapsed="false">
      <c r="A772" s="10"/>
      <c r="B772" s="10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customFormat="false" ht="14.25" hidden="false" customHeight="true" outlineLevel="0" collapsed="false">
      <c r="A773" s="10"/>
      <c r="B773" s="10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customFormat="false" ht="14.25" hidden="false" customHeight="true" outlineLevel="0" collapsed="false">
      <c r="A774" s="10"/>
      <c r="B774" s="10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customFormat="false" ht="14.25" hidden="false" customHeight="true" outlineLevel="0" collapsed="false">
      <c r="A775" s="10"/>
      <c r="B775" s="10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customFormat="false" ht="14.25" hidden="false" customHeight="true" outlineLevel="0" collapsed="false">
      <c r="A776" s="10"/>
      <c r="B776" s="10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customFormat="false" ht="14.25" hidden="false" customHeight="true" outlineLevel="0" collapsed="false">
      <c r="A777" s="10"/>
      <c r="B777" s="10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customFormat="false" ht="14.25" hidden="false" customHeight="true" outlineLevel="0" collapsed="false">
      <c r="A778" s="10"/>
      <c r="B778" s="10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customFormat="false" ht="14.25" hidden="false" customHeight="true" outlineLevel="0" collapsed="false">
      <c r="A779" s="10"/>
      <c r="B779" s="10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customFormat="false" ht="14.25" hidden="false" customHeight="true" outlineLevel="0" collapsed="false">
      <c r="A780" s="10"/>
      <c r="B780" s="10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customFormat="false" ht="14.25" hidden="false" customHeight="true" outlineLevel="0" collapsed="false">
      <c r="A781" s="10"/>
      <c r="B781" s="10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customFormat="false" ht="14.25" hidden="false" customHeight="true" outlineLevel="0" collapsed="false">
      <c r="A782" s="10"/>
      <c r="B782" s="10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customFormat="false" ht="14.25" hidden="false" customHeight="true" outlineLevel="0" collapsed="false">
      <c r="A783" s="10"/>
      <c r="B783" s="10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customFormat="false" ht="14.25" hidden="false" customHeight="true" outlineLevel="0" collapsed="false">
      <c r="A784" s="10"/>
      <c r="B784" s="10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customFormat="false" ht="14.25" hidden="false" customHeight="true" outlineLevel="0" collapsed="false">
      <c r="A785" s="10"/>
      <c r="B785" s="10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customFormat="false" ht="14.25" hidden="false" customHeight="true" outlineLevel="0" collapsed="false">
      <c r="A786" s="10"/>
      <c r="B786" s="10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customFormat="false" ht="14.25" hidden="false" customHeight="true" outlineLevel="0" collapsed="false">
      <c r="A787" s="10"/>
      <c r="B787" s="10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customFormat="false" ht="14.25" hidden="false" customHeight="true" outlineLevel="0" collapsed="false">
      <c r="A788" s="10"/>
      <c r="B788" s="10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customFormat="false" ht="14.25" hidden="false" customHeight="true" outlineLevel="0" collapsed="false">
      <c r="A789" s="10"/>
      <c r="B789" s="10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customFormat="false" ht="14.25" hidden="false" customHeight="true" outlineLevel="0" collapsed="false">
      <c r="A790" s="10"/>
      <c r="B790" s="10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customFormat="false" ht="14.25" hidden="false" customHeight="true" outlineLevel="0" collapsed="false">
      <c r="A791" s="10"/>
      <c r="B791" s="10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customFormat="false" ht="14.25" hidden="false" customHeight="true" outlineLevel="0" collapsed="false">
      <c r="A792" s="10"/>
      <c r="B792" s="10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customFormat="false" ht="14.25" hidden="false" customHeight="true" outlineLevel="0" collapsed="false">
      <c r="A793" s="10"/>
      <c r="B793" s="10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customFormat="false" ht="14.25" hidden="false" customHeight="true" outlineLevel="0" collapsed="false">
      <c r="A794" s="10"/>
      <c r="B794" s="10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customFormat="false" ht="14.25" hidden="false" customHeight="true" outlineLevel="0" collapsed="false">
      <c r="A795" s="10"/>
      <c r="B795" s="10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customFormat="false" ht="14.25" hidden="false" customHeight="true" outlineLevel="0" collapsed="false">
      <c r="A796" s="10"/>
      <c r="B796" s="10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customFormat="false" ht="14.25" hidden="false" customHeight="true" outlineLevel="0" collapsed="false">
      <c r="A797" s="10"/>
      <c r="B797" s="10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customFormat="false" ht="14.25" hidden="false" customHeight="true" outlineLevel="0" collapsed="false">
      <c r="A798" s="10"/>
      <c r="B798" s="10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customFormat="false" ht="14.25" hidden="false" customHeight="true" outlineLevel="0" collapsed="false">
      <c r="A799" s="10"/>
      <c r="B799" s="10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customFormat="false" ht="14.25" hidden="false" customHeight="true" outlineLevel="0" collapsed="false">
      <c r="A800" s="10"/>
      <c r="B800" s="10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customFormat="false" ht="14.25" hidden="false" customHeight="true" outlineLevel="0" collapsed="false">
      <c r="A801" s="10"/>
      <c r="B801" s="10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customFormat="false" ht="14.25" hidden="false" customHeight="true" outlineLevel="0" collapsed="false">
      <c r="A802" s="10"/>
      <c r="B802" s="10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customFormat="false" ht="14.25" hidden="false" customHeight="true" outlineLevel="0" collapsed="false">
      <c r="A803" s="10"/>
      <c r="B803" s="10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customFormat="false" ht="14.25" hidden="false" customHeight="true" outlineLevel="0" collapsed="false">
      <c r="A804" s="10"/>
      <c r="B804" s="10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customFormat="false" ht="14.25" hidden="false" customHeight="true" outlineLevel="0" collapsed="false">
      <c r="A805" s="10"/>
      <c r="B805" s="10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customFormat="false" ht="14.25" hidden="false" customHeight="true" outlineLevel="0" collapsed="false">
      <c r="A806" s="10"/>
      <c r="B806" s="10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customFormat="false" ht="14.25" hidden="false" customHeight="true" outlineLevel="0" collapsed="false">
      <c r="A807" s="10"/>
      <c r="B807" s="10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customFormat="false" ht="14.25" hidden="false" customHeight="true" outlineLevel="0" collapsed="false">
      <c r="A808" s="10"/>
      <c r="B808" s="10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customFormat="false" ht="14.25" hidden="false" customHeight="true" outlineLevel="0" collapsed="false">
      <c r="A809" s="10"/>
      <c r="B809" s="10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customFormat="false" ht="14.25" hidden="false" customHeight="true" outlineLevel="0" collapsed="false">
      <c r="A810" s="10"/>
      <c r="B810" s="10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customFormat="false" ht="14.25" hidden="false" customHeight="true" outlineLevel="0" collapsed="false">
      <c r="A811" s="10"/>
      <c r="B811" s="10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customFormat="false" ht="14.25" hidden="false" customHeight="true" outlineLevel="0" collapsed="false">
      <c r="A812" s="10"/>
      <c r="B812" s="10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customFormat="false" ht="14.25" hidden="false" customHeight="true" outlineLevel="0" collapsed="false">
      <c r="A813" s="10"/>
      <c r="B813" s="10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customFormat="false" ht="14.25" hidden="false" customHeight="true" outlineLevel="0" collapsed="false">
      <c r="A814" s="10"/>
      <c r="B814" s="10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customFormat="false" ht="14.25" hidden="false" customHeight="true" outlineLevel="0" collapsed="false">
      <c r="A815" s="10"/>
      <c r="B815" s="10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customFormat="false" ht="14.25" hidden="false" customHeight="true" outlineLevel="0" collapsed="false">
      <c r="A816" s="10"/>
      <c r="B816" s="10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customFormat="false" ht="14.25" hidden="false" customHeight="true" outlineLevel="0" collapsed="false">
      <c r="A817" s="10"/>
      <c r="B817" s="10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customFormat="false" ht="14.25" hidden="false" customHeight="true" outlineLevel="0" collapsed="false">
      <c r="A818" s="10"/>
      <c r="B818" s="10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customFormat="false" ht="14.25" hidden="false" customHeight="true" outlineLevel="0" collapsed="false">
      <c r="A819" s="10"/>
      <c r="B819" s="10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customFormat="false" ht="14.25" hidden="false" customHeight="true" outlineLevel="0" collapsed="false">
      <c r="A820" s="10"/>
      <c r="B820" s="10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customFormat="false" ht="14.25" hidden="false" customHeight="true" outlineLevel="0" collapsed="false">
      <c r="A821" s="10"/>
      <c r="B821" s="10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customFormat="false" ht="14.25" hidden="false" customHeight="true" outlineLevel="0" collapsed="false">
      <c r="A822" s="10"/>
      <c r="B822" s="10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customFormat="false" ht="14.25" hidden="false" customHeight="true" outlineLevel="0" collapsed="false">
      <c r="A823" s="10"/>
      <c r="B823" s="10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customFormat="false" ht="14.25" hidden="false" customHeight="true" outlineLevel="0" collapsed="false">
      <c r="A824" s="10"/>
      <c r="B824" s="10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customFormat="false" ht="14.25" hidden="false" customHeight="true" outlineLevel="0" collapsed="false">
      <c r="A825" s="10"/>
      <c r="B825" s="10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customFormat="false" ht="14.25" hidden="false" customHeight="true" outlineLevel="0" collapsed="false">
      <c r="A826" s="10"/>
      <c r="B826" s="10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customFormat="false" ht="14.25" hidden="false" customHeight="true" outlineLevel="0" collapsed="false">
      <c r="A827" s="10"/>
      <c r="B827" s="10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customFormat="false" ht="14.25" hidden="false" customHeight="true" outlineLevel="0" collapsed="false">
      <c r="A828" s="10"/>
      <c r="B828" s="10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customFormat="false" ht="14.25" hidden="false" customHeight="true" outlineLevel="0" collapsed="false">
      <c r="A829" s="10"/>
      <c r="B829" s="10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customFormat="false" ht="14.25" hidden="false" customHeight="true" outlineLevel="0" collapsed="false">
      <c r="A830" s="10"/>
      <c r="B830" s="10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customFormat="false" ht="14.25" hidden="false" customHeight="true" outlineLevel="0" collapsed="false">
      <c r="A831" s="10"/>
      <c r="B831" s="10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customFormat="false" ht="14.25" hidden="false" customHeight="true" outlineLevel="0" collapsed="false">
      <c r="A832" s="10"/>
      <c r="B832" s="10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customFormat="false" ht="14.25" hidden="false" customHeight="true" outlineLevel="0" collapsed="false">
      <c r="A833" s="10"/>
      <c r="B833" s="10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customFormat="false" ht="14.25" hidden="false" customHeight="true" outlineLevel="0" collapsed="false">
      <c r="A834" s="10"/>
      <c r="B834" s="10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customFormat="false" ht="14.25" hidden="false" customHeight="true" outlineLevel="0" collapsed="false">
      <c r="A835" s="10"/>
      <c r="B835" s="10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customFormat="false" ht="14.25" hidden="false" customHeight="true" outlineLevel="0" collapsed="false">
      <c r="A836" s="10"/>
      <c r="B836" s="10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customFormat="false" ht="14.25" hidden="false" customHeight="true" outlineLevel="0" collapsed="false">
      <c r="A837" s="10"/>
      <c r="B837" s="10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customFormat="false" ht="14.25" hidden="false" customHeight="true" outlineLevel="0" collapsed="false">
      <c r="A838" s="10"/>
      <c r="B838" s="10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customFormat="false" ht="14.25" hidden="false" customHeight="true" outlineLevel="0" collapsed="false">
      <c r="A839" s="10"/>
      <c r="B839" s="10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customFormat="false" ht="14.25" hidden="false" customHeight="true" outlineLevel="0" collapsed="false">
      <c r="A840" s="10"/>
      <c r="B840" s="10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customFormat="false" ht="14.25" hidden="false" customHeight="true" outlineLevel="0" collapsed="false">
      <c r="A841" s="10"/>
      <c r="B841" s="10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customFormat="false" ht="14.25" hidden="false" customHeight="true" outlineLevel="0" collapsed="false">
      <c r="A842" s="10"/>
      <c r="B842" s="10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customFormat="false" ht="14.25" hidden="false" customHeight="true" outlineLevel="0" collapsed="false">
      <c r="A843" s="10"/>
      <c r="B843" s="10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customFormat="false" ht="14.25" hidden="false" customHeight="true" outlineLevel="0" collapsed="false">
      <c r="A844" s="10"/>
      <c r="B844" s="10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customFormat="false" ht="14.25" hidden="false" customHeight="true" outlineLevel="0" collapsed="false">
      <c r="A845" s="10"/>
      <c r="B845" s="10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customFormat="false" ht="14.25" hidden="false" customHeight="true" outlineLevel="0" collapsed="false">
      <c r="A846" s="10"/>
      <c r="B846" s="10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customFormat="false" ht="14.25" hidden="false" customHeight="true" outlineLevel="0" collapsed="false">
      <c r="A847" s="10"/>
      <c r="B847" s="10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customFormat="false" ht="14.25" hidden="false" customHeight="true" outlineLevel="0" collapsed="false">
      <c r="A848" s="10"/>
      <c r="B848" s="10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customFormat="false" ht="14.25" hidden="false" customHeight="true" outlineLevel="0" collapsed="false">
      <c r="A849" s="10"/>
      <c r="B849" s="10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customFormat="false" ht="14.25" hidden="false" customHeight="true" outlineLevel="0" collapsed="false">
      <c r="A850" s="10"/>
      <c r="B850" s="10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customFormat="false" ht="14.25" hidden="false" customHeight="true" outlineLevel="0" collapsed="false">
      <c r="A851" s="10"/>
      <c r="B851" s="10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customFormat="false" ht="14.25" hidden="false" customHeight="true" outlineLevel="0" collapsed="false">
      <c r="A852" s="10"/>
      <c r="B852" s="10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customFormat="false" ht="14.25" hidden="false" customHeight="true" outlineLevel="0" collapsed="false">
      <c r="A853" s="10"/>
      <c r="B853" s="10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customFormat="false" ht="14.25" hidden="false" customHeight="true" outlineLevel="0" collapsed="false">
      <c r="A854" s="10"/>
      <c r="B854" s="10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customFormat="false" ht="14.25" hidden="false" customHeight="true" outlineLevel="0" collapsed="false">
      <c r="A855" s="10"/>
      <c r="B855" s="10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customFormat="false" ht="14.25" hidden="false" customHeight="true" outlineLevel="0" collapsed="false">
      <c r="A856" s="10"/>
      <c r="B856" s="10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customFormat="false" ht="14.25" hidden="false" customHeight="true" outlineLevel="0" collapsed="false">
      <c r="A857" s="10"/>
      <c r="B857" s="10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customFormat="false" ht="14.25" hidden="false" customHeight="true" outlineLevel="0" collapsed="false">
      <c r="A858" s="10"/>
      <c r="B858" s="10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customFormat="false" ht="14.25" hidden="false" customHeight="true" outlineLevel="0" collapsed="false">
      <c r="A859" s="10"/>
      <c r="B859" s="10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customFormat="false" ht="14.25" hidden="false" customHeight="true" outlineLevel="0" collapsed="false">
      <c r="A860" s="10"/>
      <c r="B860" s="10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customFormat="false" ht="14.25" hidden="false" customHeight="true" outlineLevel="0" collapsed="false">
      <c r="A861" s="10"/>
      <c r="B861" s="10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customFormat="false" ht="14.25" hidden="false" customHeight="true" outlineLevel="0" collapsed="false">
      <c r="A862" s="10"/>
      <c r="B862" s="10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customFormat="false" ht="14.25" hidden="false" customHeight="true" outlineLevel="0" collapsed="false">
      <c r="A863" s="10"/>
      <c r="B863" s="10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customFormat="false" ht="14.25" hidden="false" customHeight="true" outlineLevel="0" collapsed="false">
      <c r="A864" s="10"/>
      <c r="B864" s="10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customFormat="false" ht="14.25" hidden="false" customHeight="true" outlineLevel="0" collapsed="false">
      <c r="A865" s="10"/>
      <c r="B865" s="10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customFormat="false" ht="14.25" hidden="false" customHeight="true" outlineLevel="0" collapsed="false">
      <c r="A866" s="10"/>
      <c r="B866" s="10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customFormat="false" ht="14.25" hidden="false" customHeight="true" outlineLevel="0" collapsed="false">
      <c r="A867" s="10"/>
      <c r="B867" s="10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customFormat="false" ht="14.25" hidden="false" customHeight="true" outlineLevel="0" collapsed="false">
      <c r="A868" s="10"/>
      <c r="B868" s="10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customFormat="false" ht="14.25" hidden="false" customHeight="true" outlineLevel="0" collapsed="false">
      <c r="A869" s="10"/>
      <c r="B869" s="10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customFormat="false" ht="14.25" hidden="false" customHeight="true" outlineLevel="0" collapsed="false">
      <c r="A870" s="10"/>
      <c r="B870" s="10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customFormat="false" ht="14.25" hidden="false" customHeight="true" outlineLevel="0" collapsed="false">
      <c r="A871" s="10"/>
      <c r="B871" s="10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customFormat="false" ht="14.25" hidden="false" customHeight="true" outlineLevel="0" collapsed="false">
      <c r="A872" s="10"/>
      <c r="B872" s="10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customFormat="false" ht="14.25" hidden="false" customHeight="true" outlineLevel="0" collapsed="false">
      <c r="A873" s="10"/>
      <c r="B873" s="10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customFormat="false" ht="14.25" hidden="false" customHeight="true" outlineLevel="0" collapsed="false">
      <c r="A874" s="10"/>
      <c r="B874" s="10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customFormat="false" ht="14.25" hidden="false" customHeight="true" outlineLevel="0" collapsed="false">
      <c r="A875" s="10"/>
      <c r="B875" s="10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customFormat="false" ht="14.25" hidden="false" customHeight="true" outlineLevel="0" collapsed="false">
      <c r="A876" s="10"/>
      <c r="B876" s="10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customFormat="false" ht="14.25" hidden="false" customHeight="true" outlineLevel="0" collapsed="false">
      <c r="A877" s="10"/>
      <c r="B877" s="10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customFormat="false" ht="14.25" hidden="false" customHeight="true" outlineLevel="0" collapsed="false">
      <c r="A878" s="10"/>
      <c r="B878" s="10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customFormat="false" ht="14.25" hidden="false" customHeight="true" outlineLevel="0" collapsed="false">
      <c r="A879" s="10"/>
      <c r="B879" s="10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customFormat="false" ht="14.25" hidden="false" customHeight="true" outlineLevel="0" collapsed="false">
      <c r="A880" s="10"/>
      <c r="B880" s="10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customFormat="false" ht="14.25" hidden="false" customHeight="true" outlineLevel="0" collapsed="false">
      <c r="A881" s="10"/>
      <c r="B881" s="10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customFormat="false" ht="14.25" hidden="false" customHeight="true" outlineLevel="0" collapsed="false">
      <c r="A882" s="10"/>
      <c r="B882" s="10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customFormat="false" ht="14.25" hidden="false" customHeight="true" outlineLevel="0" collapsed="false">
      <c r="A883" s="10"/>
      <c r="B883" s="10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customFormat="false" ht="14.25" hidden="false" customHeight="true" outlineLevel="0" collapsed="false">
      <c r="A884" s="10"/>
      <c r="B884" s="10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customFormat="false" ht="14.25" hidden="false" customHeight="true" outlineLevel="0" collapsed="false">
      <c r="A885" s="10"/>
      <c r="B885" s="10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customFormat="false" ht="14.25" hidden="false" customHeight="true" outlineLevel="0" collapsed="false">
      <c r="A886" s="10"/>
      <c r="B886" s="10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customFormat="false" ht="14.25" hidden="false" customHeight="true" outlineLevel="0" collapsed="false">
      <c r="A887" s="10"/>
      <c r="B887" s="10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customFormat="false" ht="14.25" hidden="false" customHeight="true" outlineLevel="0" collapsed="false">
      <c r="A888" s="10"/>
      <c r="B888" s="10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customFormat="false" ht="14.25" hidden="false" customHeight="true" outlineLevel="0" collapsed="false">
      <c r="A889" s="10"/>
      <c r="B889" s="10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customFormat="false" ht="14.25" hidden="false" customHeight="true" outlineLevel="0" collapsed="false">
      <c r="A890" s="10"/>
      <c r="B890" s="10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customFormat="false" ht="14.25" hidden="false" customHeight="true" outlineLevel="0" collapsed="false">
      <c r="A891" s="10"/>
      <c r="B891" s="10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customFormat="false" ht="14.25" hidden="false" customHeight="true" outlineLevel="0" collapsed="false">
      <c r="A892" s="10"/>
      <c r="B892" s="10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customFormat="false" ht="14.25" hidden="false" customHeight="true" outlineLevel="0" collapsed="false">
      <c r="A893" s="10"/>
      <c r="B893" s="10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customFormat="false" ht="14.25" hidden="false" customHeight="true" outlineLevel="0" collapsed="false">
      <c r="A894" s="10"/>
      <c r="B894" s="10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customFormat="false" ht="14.25" hidden="false" customHeight="true" outlineLevel="0" collapsed="false">
      <c r="A895" s="10"/>
      <c r="B895" s="10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customFormat="false" ht="14.25" hidden="false" customHeight="true" outlineLevel="0" collapsed="false">
      <c r="A896" s="10"/>
      <c r="B896" s="10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customFormat="false" ht="14.25" hidden="false" customHeight="true" outlineLevel="0" collapsed="false">
      <c r="A897" s="10"/>
      <c r="B897" s="10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customFormat="false" ht="14.25" hidden="false" customHeight="true" outlineLevel="0" collapsed="false">
      <c r="A898" s="10"/>
      <c r="B898" s="10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customFormat="false" ht="14.25" hidden="false" customHeight="true" outlineLevel="0" collapsed="false">
      <c r="A899" s="10"/>
      <c r="B899" s="10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customFormat="false" ht="14.25" hidden="false" customHeight="true" outlineLevel="0" collapsed="false">
      <c r="A900" s="10"/>
      <c r="B900" s="10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customFormat="false" ht="14.25" hidden="false" customHeight="true" outlineLevel="0" collapsed="false">
      <c r="A901" s="10"/>
      <c r="B901" s="10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customFormat="false" ht="14.25" hidden="false" customHeight="true" outlineLevel="0" collapsed="false">
      <c r="A902" s="10"/>
      <c r="B902" s="10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customFormat="false" ht="14.25" hidden="false" customHeight="true" outlineLevel="0" collapsed="false">
      <c r="A903" s="10"/>
      <c r="B903" s="10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customFormat="false" ht="14.25" hidden="false" customHeight="true" outlineLevel="0" collapsed="false">
      <c r="A904" s="10"/>
      <c r="B904" s="10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customFormat="false" ht="14.25" hidden="false" customHeight="true" outlineLevel="0" collapsed="false">
      <c r="A905" s="10"/>
      <c r="B905" s="10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customFormat="false" ht="14.25" hidden="false" customHeight="true" outlineLevel="0" collapsed="false">
      <c r="A906" s="10"/>
      <c r="B906" s="10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customFormat="false" ht="14.25" hidden="false" customHeight="true" outlineLevel="0" collapsed="false">
      <c r="A907" s="10"/>
      <c r="B907" s="10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customFormat="false" ht="14.25" hidden="false" customHeight="true" outlineLevel="0" collapsed="false">
      <c r="A908" s="10"/>
      <c r="B908" s="10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customFormat="false" ht="14.25" hidden="false" customHeight="true" outlineLevel="0" collapsed="false">
      <c r="A909" s="10"/>
      <c r="B909" s="10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customFormat="false" ht="14.25" hidden="false" customHeight="true" outlineLevel="0" collapsed="false">
      <c r="A910" s="10"/>
      <c r="B910" s="10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customFormat="false" ht="14.25" hidden="false" customHeight="true" outlineLevel="0" collapsed="false">
      <c r="A911" s="10"/>
      <c r="B911" s="10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customFormat="false" ht="14.25" hidden="false" customHeight="true" outlineLevel="0" collapsed="false">
      <c r="A912" s="10"/>
      <c r="B912" s="10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customFormat="false" ht="14.25" hidden="false" customHeight="true" outlineLevel="0" collapsed="false">
      <c r="A913" s="10"/>
      <c r="B913" s="10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customFormat="false" ht="14.25" hidden="false" customHeight="true" outlineLevel="0" collapsed="false">
      <c r="A914" s="10"/>
      <c r="B914" s="10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customFormat="false" ht="14.25" hidden="false" customHeight="true" outlineLevel="0" collapsed="false">
      <c r="A915" s="10"/>
      <c r="B915" s="10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customFormat="false" ht="14.25" hidden="false" customHeight="true" outlineLevel="0" collapsed="false">
      <c r="A916" s="10"/>
      <c r="B916" s="10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customFormat="false" ht="14.25" hidden="false" customHeight="true" outlineLevel="0" collapsed="false">
      <c r="A917" s="10"/>
      <c r="B917" s="10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customFormat="false" ht="14.25" hidden="false" customHeight="true" outlineLevel="0" collapsed="false">
      <c r="A918" s="10"/>
      <c r="B918" s="10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customFormat="false" ht="14.25" hidden="false" customHeight="true" outlineLevel="0" collapsed="false">
      <c r="A919" s="10"/>
      <c r="B919" s="10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customFormat="false" ht="14.25" hidden="false" customHeight="true" outlineLevel="0" collapsed="false">
      <c r="A920" s="10"/>
      <c r="B920" s="10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customFormat="false" ht="14.25" hidden="false" customHeight="true" outlineLevel="0" collapsed="false">
      <c r="A921" s="10"/>
      <c r="B921" s="10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customFormat="false" ht="14.25" hidden="false" customHeight="true" outlineLevel="0" collapsed="false">
      <c r="A922" s="10"/>
      <c r="B922" s="10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customFormat="false" ht="14.25" hidden="false" customHeight="true" outlineLevel="0" collapsed="false">
      <c r="A923" s="10"/>
      <c r="B923" s="10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customFormat="false" ht="14.25" hidden="false" customHeight="true" outlineLevel="0" collapsed="false">
      <c r="A924" s="10"/>
      <c r="B924" s="10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customFormat="false" ht="14.25" hidden="false" customHeight="true" outlineLevel="0" collapsed="false">
      <c r="A925" s="10"/>
      <c r="B925" s="10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customFormat="false" ht="14.25" hidden="false" customHeight="true" outlineLevel="0" collapsed="false">
      <c r="A926" s="10"/>
      <c r="B926" s="10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customFormat="false" ht="14.25" hidden="false" customHeight="true" outlineLevel="0" collapsed="false">
      <c r="A927" s="10"/>
      <c r="B927" s="10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customFormat="false" ht="14.25" hidden="false" customHeight="true" outlineLevel="0" collapsed="false">
      <c r="A928" s="10"/>
      <c r="B928" s="10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customFormat="false" ht="14.25" hidden="false" customHeight="true" outlineLevel="0" collapsed="false">
      <c r="A929" s="10"/>
      <c r="B929" s="10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customFormat="false" ht="14.25" hidden="false" customHeight="true" outlineLevel="0" collapsed="false">
      <c r="A930" s="10"/>
      <c r="B930" s="10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customFormat="false" ht="14.25" hidden="false" customHeight="true" outlineLevel="0" collapsed="false">
      <c r="A931" s="10"/>
      <c r="B931" s="10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customFormat="false" ht="14.25" hidden="false" customHeight="true" outlineLevel="0" collapsed="false">
      <c r="A932" s="10"/>
      <c r="B932" s="10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customFormat="false" ht="14.25" hidden="false" customHeight="true" outlineLevel="0" collapsed="false">
      <c r="A933" s="10"/>
      <c r="B933" s="10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customFormat="false" ht="14.25" hidden="false" customHeight="true" outlineLevel="0" collapsed="false">
      <c r="A934" s="10"/>
      <c r="B934" s="10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customFormat="false" ht="14.25" hidden="false" customHeight="true" outlineLevel="0" collapsed="false">
      <c r="A935" s="10"/>
      <c r="B935" s="10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customFormat="false" ht="14.25" hidden="false" customHeight="true" outlineLevel="0" collapsed="false">
      <c r="A936" s="10"/>
      <c r="B936" s="10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customFormat="false" ht="14.25" hidden="false" customHeight="true" outlineLevel="0" collapsed="false">
      <c r="A937" s="10"/>
      <c r="B937" s="10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customFormat="false" ht="14.25" hidden="false" customHeight="true" outlineLevel="0" collapsed="false">
      <c r="A938" s="10"/>
      <c r="B938" s="10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customFormat="false" ht="14.25" hidden="false" customHeight="true" outlineLevel="0" collapsed="false">
      <c r="A939" s="10"/>
      <c r="B939" s="10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customFormat="false" ht="14.25" hidden="false" customHeight="true" outlineLevel="0" collapsed="false">
      <c r="A940" s="10"/>
      <c r="B940" s="10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customFormat="false" ht="14.25" hidden="false" customHeight="true" outlineLevel="0" collapsed="false">
      <c r="A941" s="10"/>
      <c r="B941" s="10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customFormat="false" ht="14.25" hidden="false" customHeight="true" outlineLevel="0" collapsed="false">
      <c r="A942" s="10"/>
      <c r="B942" s="10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customFormat="false" ht="14.25" hidden="false" customHeight="true" outlineLevel="0" collapsed="false">
      <c r="A943" s="10"/>
      <c r="B943" s="10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customFormat="false" ht="14.25" hidden="false" customHeight="true" outlineLevel="0" collapsed="false">
      <c r="A944" s="10"/>
      <c r="B944" s="10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customFormat="false" ht="14.25" hidden="false" customHeight="true" outlineLevel="0" collapsed="false">
      <c r="A945" s="10"/>
      <c r="B945" s="10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customFormat="false" ht="14.25" hidden="false" customHeight="true" outlineLevel="0" collapsed="false">
      <c r="A946" s="10"/>
      <c r="B946" s="10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customFormat="false" ht="14.25" hidden="false" customHeight="true" outlineLevel="0" collapsed="false">
      <c r="A947" s="10"/>
      <c r="B947" s="10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customFormat="false" ht="14.25" hidden="false" customHeight="true" outlineLevel="0" collapsed="false">
      <c r="A948" s="10"/>
      <c r="B948" s="10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customFormat="false" ht="14.25" hidden="false" customHeight="true" outlineLevel="0" collapsed="false">
      <c r="A949" s="10"/>
      <c r="B949" s="10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customFormat="false" ht="14.25" hidden="false" customHeight="true" outlineLevel="0" collapsed="false">
      <c r="A950" s="10"/>
      <c r="B950" s="10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customFormat="false" ht="14.25" hidden="false" customHeight="true" outlineLevel="0" collapsed="false">
      <c r="A951" s="10"/>
      <c r="B951" s="10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customFormat="false" ht="14.25" hidden="false" customHeight="true" outlineLevel="0" collapsed="false">
      <c r="A952" s="10"/>
      <c r="B952" s="10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customFormat="false" ht="14.25" hidden="false" customHeight="true" outlineLevel="0" collapsed="false">
      <c r="A953" s="10"/>
      <c r="B953" s="10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customFormat="false" ht="14.25" hidden="false" customHeight="true" outlineLevel="0" collapsed="false">
      <c r="A954" s="10"/>
      <c r="B954" s="10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customFormat="false" ht="14.25" hidden="false" customHeight="true" outlineLevel="0" collapsed="false">
      <c r="A955" s="10"/>
      <c r="B955" s="10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customFormat="false" ht="14.25" hidden="false" customHeight="true" outlineLevel="0" collapsed="false">
      <c r="A956" s="10"/>
      <c r="B956" s="10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customFormat="false" ht="14.25" hidden="false" customHeight="true" outlineLevel="0" collapsed="false">
      <c r="A957" s="10"/>
      <c r="B957" s="10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customFormat="false" ht="14.25" hidden="false" customHeight="true" outlineLevel="0" collapsed="false">
      <c r="A958" s="10"/>
      <c r="B958" s="10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customFormat="false" ht="14.25" hidden="false" customHeight="true" outlineLevel="0" collapsed="false">
      <c r="A959" s="10"/>
      <c r="B959" s="10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customFormat="false" ht="14.25" hidden="false" customHeight="true" outlineLevel="0" collapsed="false">
      <c r="A960" s="10"/>
      <c r="B960" s="10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customFormat="false" ht="14.25" hidden="false" customHeight="true" outlineLevel="0" collapsed="false">
      <c r="A961" s="10"/>
      <c r="B961" s="10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customFormat="false" ht="14.25" hidden="false" customHeight="true" outlineLevel="0" collapsed="false">
      <c r="A962" s="10"/>
      <c r="B962" s="10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customFormat="false" ht="14.25" hidden="false" customHeight="true" outlineLevel="0" collapsed="false">
      <c r="A963" s="10"/>
      <c r="B963" s="10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customFormat="false" ht="14.25" hidden="false" customHeight="true" outlineLevel="0" collapsed="false">
      <c r="A964" s="10"/>
      <c r="B964" s="10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customFormat="false" ht="14.25" hidden="false" customHeight="true" outlineLevel="0" collapsed="false">
      <c r="A965" s="10"/>
      <c r="B965" s="10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customFormat="false" ht="14.25" hidden="false" customHeight="true" outlineLevel="0" collapsed="false">
      <c r="A966" s="10"/>
      <c r="B966" s="10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customFormat="false" ht="14.25" hidden="false" customHeight="true" outlineLevel="0" collapsed="false">
      <c r="A967" s="10"/>
      <c r="B967" s="10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customFormat="false" ht="14.25" hidden="false" customHeight="true" outlineLevel="0" collapsed="false">
      <c r="A968" s="10"/>
      <c r="B968" s="10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customFormat="false" ht="14.25" hidden="false" customHeight="true" outlineLevel="0" collapsed="false">
      <c r="A969" s="10"/>
      <c r="B969" s="10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customFormat="false" ht="14.25" hidden="false" customHeight="true" outlineLevel="0" collapsed="false">
      <c r="A970" s="10"/>
      <c r="B970" s="10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customFormat="false" ht="14.25" hidden="false" customHeight="true" outlineLevel="0" collapsed="false">
      <c r="A971" s="10"/>
      <c r="B971" s="10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customFormat="false" ht="14.25" hidden="false" customHeight="true" outlineLevel="0" collapsed="false">
      <c r="A972" s="10"/>
      <c r="B972" s="10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customFormat="false" ht="14.25" hidden="false" customHeight="true" outlineLevel="0" collapsed="false">
      <c r="A973" s="10"/>
      <c r="B973" s="10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customFormat="false" ht="14.25" hidden="false" customHeight="true" outlineLevel="0" collapsed="false">
      <c r="A974" s="10"/>
      <c r="B974" s="10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customFormat="false" ht="14.25" hidden="false" customHeight="true" outlineLevel="0" collapsed="false">
      <c r="A975" s="10"/>
      <c r="B975" s="10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customFormat="false" ht="14.25" hidden="false" customHeight="true" outlineLevel="0" collapsed="false">
      <c r="A976" s="10"/>
      <c r="B976" s="10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customFormat="false" ht="14.25" hidden="false" customHeight="true" outlineLevel="0" collapsed="false">
      <c r="A977" s="10"/>
      <c r="B977" s="10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customFormat="false" ht="14.25" hidden="false" customHeight="true" outlineLevel="0" collapsed="false">
      <c r="A978" s="10"/>
      <c r="B978" s="10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customFormat="false" ht="14.25" hidden="false" customHeight="true" outlineLevel="0" collapsed="false">
      <c r="A979" s="10"/>
      <c r="B979" s="10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customFormat="false" ht="14.25" hidden="false" customHeight="true" outlineLevel="0" collapsed="false">
      <c r="A980" s="10"/>
      <c r="B980" s="10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customFormat="false" ht="14.25" hidden="false" customHeight="true" outlineLevel="0" collapsed="false">
      <c r="A981" s="10"/>
      <c r="B981" s="10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customFormat="false" ht="14.25" hidden="false" customHeight="true" outlineLevel="0" collapsed="false">
      <c r="A982" s="10"/>
      <c r="B982" s="10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customFormat="false" ht="14.25" hidden="false" customHeight="true" outlineLevel="0" collapsed="false">
      <c r="A983" s="10"/>
      <c r="B983" s="10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customFormat="false" ht="14.25" hidden="false" customHeight="true" outlineLevel="0" collapsed="false">
      <c r="A984" s="10"/>
      <c r="B984" s="10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customFormat="false" ht="14.25" hidden="false" customHeight="true" outlineLevel="0" collapsed="false">
      <c r="A985" s="10"/>
      <c r="B985" s="10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customFormat="false" ht="14.25" hidden="false" customHeight="true" outlineLevel="0" collapsed="false">
      <c r="A986" s="10"/>
      <c r="B986" s="10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customFormat="false" ht="14.25" hidden="false" customHeight="true" outlineLevel="0" collapsed="false">
      <c r="A987" s="10"/>
      <c r="B987" s="10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customFormat="false" ht="14.25" hidden="false" customHeight="true" outlineLevel="0" collapsed="false">
      <c r="A988" s="10"/>
      <c r="B988" s="10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customFormat="false" ht="14.25" hidden="false" customHeight="true" outlineLevel="0" collapsed="false">
      <c r="A989" s="10"/>
      <c r="B989" s="10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customFormat="false" ht="14.25" hidden="false" customHeight="true" outlineLevel="0" collapsed="false">
      <c r="A990" s="10"/>
      <c r="B990" s="10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customFormat="false" ht="14.25" hidden="false" customHeight="true" outlineLevel="0" collapsed="false">
      <c r="A991" s="10"/>
      <c r="B991" s="10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customFormat="false" ht="14.25" hidden="false" customHeight="true" outlineLevel="0" collapsed="false">
      <c r="A992" s="10"/>
      <c r="B992" s="10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customFormat="false" ht="14.25" hidden="false" customHeight="true" outlineLevel="0" collapsed="false">
      <c r="A993" s="10"/>
      <c r="B993" s="10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customFormat="false" ht="14.25" hidden="false" customHeight="true" outlineLevel="0" collapsed="false">
      <c r="A994" s="10"/>
      <c r="B994" s="10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customFormat="false" ht="14.25" hidden="false" customHeight="true" outlineLevel="0" collapsed="false">
      <c r="A995" s="10"/>
      <c r="B995" s="10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customFormat="false" ht="14.25" hidden="false" customHeight="true" outlineLevel="0" collapsed="false">
      <c r="A996" s="10"/>
      <c r="B996" s="10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customFormat="false" ht="14.25" hidden="false" customHeight="true" outlineLevel="0" collapsed="false">
      <c r="A997" s="10"/>
      <c r="B997" s="10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customFormat="false" ht="14.25" hidden="false" customHeight="true" outlineLevel="0" collapsed="false">
      <c r="A998" s="10"/>
      <c r="B998" s="10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customFormat="false" ht="14.25" hidden="false" customHeight="true" outlineLevel="0" collapsed="false">
      <c r="A999" s="10"/>
      <c r="B999" s="10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customFormat="false" ht="14.25" hidden="false" customHeight="true" outlineLevel="0" collapsed="false">
      <c r="A1000" s="10"/>
      <c r="B1000" s="10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">
    <mergeCell ref="C38:D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4.3359375" defaultRowHeight="14.25" zeroHeight="false" outlineLevelRow="0" outlineLevelCol="0"/>
  <cols>
    <col collapsed="false" customWidth="true" hidden="false" outlineLevel="0" max="1" min="1" style="1" width="19.78"/>
    <col collapsed="false" customWidth="true" hidden="true" outlineLevel="0" max="2" min="2" style="1" width="16.33"/>
    <col collapsed="false" customWidth="true" hidden="false" outlineLevel="0" max="3" min="3" style="1" width="15.56"/>
    <col collapsed="false" customWidth="true" hidden="false" outlineLevel="0" max="4" min="4" style="1" width="21.33"/>
    <col collapsed="false" customWidth="true" hidden="false" outlineLevel="0" max="26" min="5" style="1" width="8.77"/>
    <col collapsed="false" customWidth="false" hidden="false" outlineLevel="0" max="16384" min="27" style="1" width="14.33"/>
  </cols>
  <sheetData>
    <row r="1" customFormat="false" ht="14.25" hidden="false" customHeight="true" outlineLevel="0" collapsed="false">
      <c r="A1" s="35"/>
      <c r="B1" s="36"/>
      <c r="C1" s="36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customFormat="false" ht="14.25" hidden="false" customHeight="true" outlineLevel="0" collapsed="false">
      <c r="A2" s="35"/>
      <c r="B2" s="36"/>
      <c r="C2" s="36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35.25" hidden="false" customHeight="true" outlineLevel="0" collapsed="false">
      <c r="A3" s="37" t="s">
        <v>31</v>
      </c>
      <c r="B3" s="38" t="s">
        <v>54</v>
      </c>
      <c r="C3" s="38" t="s">
        <v>55</v>
      </c>
      <c r="D3" s="39" t="s">
        <v>56</v>
      </c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customFormat="false" ht="28.5" hidden="false" customHeight="true" outlineLevel="0" collapsed="false">
      <c r="A4" s="26" t="s">
        <v>57</v>
      </c>
      <c r="B4" s="40"/>
      <c r="C4" s="40" t="n">
        <v>0.19</v>
      </c>
      <c r="D4" s="41" t="s">
        <v>58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customFormat="false" ht="14.25" hidden="false" customHeight="true" outlineLevel="0" collapsed="false">
      <c r="A5" s="27"/>
      <c r="B5" s="40"/>
      <c r="C5" s="40"/>
      <c r="D5" s="41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customFormat="false" ht="14.25" hidden="false" customHeight="true" outlineLevel="0" collapsed="false">
      <c r="A6" s="27"/>
      <c r="B6" s="40"/>
      <c r="C6" s="40"/>
      <c r="D6" s="4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4.25" hidden="false" customHeight="true" outlineLevel="0" collapsed="false">
      <c r="A7" s="27"/>
      <c r="B7" s="40"/>
      <c r="C7" s="40"/>
      <c r="D7" s="41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4.25" hidden="false" customHeight="true" outlineLevel="0" collapsed="false">
      <c r="A8" s="27"/>
      <c r="B8" s="40"/>
      <c r="C8" s="40"/>
      <c r="D8" s="41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4.25" hidden="false" customHeight="true" outlineLevel="0" collapsed="false">
      <c r="A9" s="37"/>
      <c r="B9" s="42"/>
      <c r="C9" s="38" t="s">
        <v>59</v>
      </c>
      <c r="D9" s="39" t="n">
        <f aca="false">1/C4</f>
        <v>5.26315789473684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14.25" hidden="false" customHeight="true" outlineLevel="0" collapsed="false">
      <c r="A10" s="35"/>
      <c r="B10" s="36"/>
      <c r="C10" s="36"/>
      <c r="D10" s="35" t="s">
        <v>60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4.25" hidden="false" customHeight="true" outlineLevel="0" collapsed="false">
      <c r="A11" s="35"/>
      <c r="B11" s="36"/>
      <c r="C11" s="36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14.25" hidden="false" customHeight="true" outlineLevel="0" collapsed="false">
      <c r="A12" s="43" t="s">
        <v>61</v>
      </c>
      <c r="B12" s="36"/>
      <c r="C12" s="36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14.25" hidden="false" customHeight="true" outlineLevel="0" collapsed="false">
      <c r="A13" s="44" t="s">
        <v>62</v>
      </c>
      <c r="B13" s="36"/>
      <c r="C13" s="36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14.25" hidden="false" customHeight="true" outlineLevel="0" collapsed="false">
      <c r="A14" s="44" t="s">
        <v>63</v>
      </c>
      <c r="B14" s="36"/>
      <c r="C14" s="36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4.25" hidden="false" customHeight="true" outlineLevel="0" collapsed="false">
      <c r="A15" s="35"/>
      <c r="B15" s="36"/>
      <c r="C15" s="36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4.25" hidden="false" customHeight="true" outlineLevel="0" collapsed="false">
      <c r="A16" s="35"/>
      <c r="B16" s="36"/>
      <c r="C16" s="36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4.25" hidden="false" customHeight="true" outlineLevel="0" collapsed="false">
      <c r="A17" s="35"/>
      <c r="B17" s="36"/>
      <c r="C17" s="36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4.25" hidden="false" customHeight="true" outlineLevel="0" collapsed="false">
      <c r="A18" s="35"/>
      <c r="B18" s="36"/>
      <c r="C18" s="36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4.25" hidden="false" customHeight="true" outlineLevel="0" collapsed="false">
      <c r="A19" s="35"/>
      <c r="B19" s="36"/>
      <c r="C19" s="36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4.25" hidden="false" customHeight="true" outlineLevel="0" collapsed="false">
      <c r="A20" s="35"/>
      <c r="B20" s="36"/>
      <c r="C20" s="36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4.25" hidden="false" customHeight="true" outlineLevel="0" collapsed="false">
      <c r="A21" s="35"/>
      <c r="B21" s="36"/>
      <c r="C21" s="36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4.25" hidden="false" customHeight="true" outlineLevel="0" collapsed="false">
      <c r="A22" s="35"/>
      <c r="B22" s="36"/>
      <c r="C22" s="36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4.25" hidden="false" customHeight="true" outlineLevel="0" collapsed="false">
      <c r="A23" s="35"/>
      <c r="B23" s="36"/>
      <c r="C23" s="36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4.25" hidden="false" customHeight="true" outlineLevel="0" collapsed="false">
      <c r="A24" s="35"/>
      <c r="B24" s="36"/>
      <c r="C24" s="36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4.25" hidden="false" customHeight="true" outlineLevel="0" collapsed="false">
      <c r="A25" s="35"/>
      <c r="B25" s="36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4.25" hidden="false" customHeight="true" outlineLevel="0" collapsed="false">
      <c r="A26" s="35"/>
      <c r="B26" s="36"/>
      <c r="C26" s="36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4.25" hidden="false" customHeight="true" outlineLevel="0" collapsed="false">
      <c r="A27" s="35"/>
      <c r="B27" s="36"/>
      <c r="C27" s="36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4.25" hidden="false" customHeight="true" outlineLevel="0" collapsed="false">
      <c r="A28" s="35"/>
      <c r="B28" s="36"/>
      <c r="C28" s="36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4.25" hidden="false" customHeight="true" outlineLevel="0" collapsed="false">
      <c r="A29" s="35"/>
      <c r="B29" s="36"/>
      <c r="C29" s="36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4.25" hidden="false" customHeight="true" outlineLevel="0" collapsed="false">
      <c r="A30" s="35"/>
      <c r="B30" s="36"/>
      <c r="C30" s="36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4.25" hidden="false" customHeight="true" outlineLevel="0" collapsed="false">
      <c r="A31" s="35"/>
      <c r="B31" s="36"/>
      <c r="C31" s="36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4.25" hidden="false" customHeight="true" outlineLevel="0" collapsed="false">
      <c r="A32" s="35"/>
      <c r="B32" s="36"/>
      <c r="C32" s="3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4.25" hidden="false" customHeight="true" outlineLevel="0" collapsed="false">
      <c r="A33" s="35"/>
      <c r="B33" s="36"/>
      <c r="C33" s="36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4.25" hidden="false" customHeight="true" outlineLevel="0" collapsed="false">
      <c r="A34" s="35"/>
      <c r="B34" s="36"/>
      <c r="C34" s="36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4.25" hidden="false" customHeight="true" outlineLevel="0" collapsed="false">
      <c r="A35" s="35"/>
      <c r="B35" s="36"/>
      <c r="C35" s="36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4.25" hidden="false" customHeight="true" outlineLevel="0" collapsed="false">
      <c r="A36" s="35"/>
      <c r="B36" s="36"/>
      <c r="C36" s="36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4.25" hidden="false" customHeight="true" outlineLevel="0" collapsed="false">
      <c r="A37" s="35"/>
      <c r="B37" s="36"/>
      <c r="C37" s="36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4.25" hidden="false" customHeight="true" outlineLevel="0" collapsed="false">
      <c r="A38" s="35"/>
      <c r="B38" s="36"/>
      <c r="C38" s="36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4.25" hidden="false" customHeight="true" outlineLevel="0" collapsed="false">
      <c r="A39" s="35"/>
      <c r="B39" s="36"/>
      <c r="C39" s="36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4.25" hidden="false" customHeight="true" outlineLevel="0" collapsed="false">
      <c r="A40" s="35"/>
      <c r="B40" s="36"/>
      <c r="C40" s="36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4.25" hidden="false" customHeight="true" outlineLevel="0" collapsed="false">
      <c r="A41" s="35"/>
      <c r="B41" s="36"/>
      <c r="C41" s="36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4.25" hidden="false" customHeight="true" outlineLevel="0" collapsed="false">
      <c r="A42" s="35"/>
      <c r="B42" s="36"/>
      <c r="C42" s="36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4.25" hidden="false" customHeight="true" outlineLevel="0" collapsed="false">
      <c r="A43" s="35"/>
      <c r="B43" s="36"/>
      <c r="C43" s="36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4.25" hidden="false" customHeight="true" outlineLevel="0" collapsed="false">
      <c r="A44" s="35"/>
      <c r="B44" s="36"/>
      <c r="C44" s="36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4.25" hidden="false" customHeight="true" outlineLevel="0" collapsed="false">
      <c r="A45" s="35"/>
      <c r="B45" s="36"/>
      <c r="C45" s="36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4.25" hidden="false" customHeight="true" outlineLevel="0" collapsed="false">
      <c r="A46" s="35"/>
      <c r="B46" s="36"/>
      <c r="C46" s="36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4.25" hidden="false" customHeight="true" outlineLevel="0" collapsed="false">
      <c r="A47" s="35"/>
      <c r="B47" s="36"/>
      <c r="C47" s="36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4.25" hidden="false" customHeight="true" outlineLevel="0" collapsed="false">
      <c r="A48" s="35"/>
      <c r="B48" s="36"/>
      <c r="C48" s="36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4.25" hidden="false" customHeight="true" outlineLevel="0" collapsed="false">
      <c r="A49" s="35"/>
      <c r="B49" s="36"/>
      <c r="C49" s="36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4.25" hidden="false" customHeight="true" outlineLevel="0" collapsed="false">
      <c r="A50" s="35"/>
      <c r="B50" s="36"/>
      <c r="C50" s="36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4.25" hidden="false" customHeight="true" outlineLevel="0" collapsed="false">
      <c r="A51" s="35"/>
      <c r="B51" s="36"/>
      <c r="C51" s="36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4.25" hidden="false" customHeight="true" outlineLevel="0" collapsed="false">
      <c r="A52" s="35"/>
      <c r="B52" s="36"/>
      <c r="C52" s="36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4.25" hidden="false" customHeight="true" outlineLevel="0" collapsed="false">
      <c r="A53" s="35"/>
      <c r="B53" s="36"/>
      <c r="C53" s="36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4.25" hidden="false" customHeight="true" outlineLevel="0" collapsed="false">
      <c r="A54" s="35"/>
      <c r="B54" s="36"/>
      <c r="C54" s="36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4.25" hidden="false" customHeight="true" outlineLevel="0" collapsed="false">
      <c r="A55" s="35"/>
      <c r="B55" s="36"/>
      <c r="C55" s="36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4.25" hidden="false" customHeight="true" outlineLevel="0" collapsed="false">
      <c r="A56" s="35"/>
      <c r="B56" s="36"/>
      <c r="C56" s="36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4.25" hidden="false" customHeight="true" outlineLevel="0" collapsed="false">
      <c r="A57" s="35"/>
      <c r="B57" s="36"/>
      <c r="C57" s="36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4.25" hidden="false" customHeight="true" outlineLevel="0" collapsed="false">
      <c r="A58" s="35"/>
      <c r="B58" s="36"/>
      <c r="C58" s="36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4.25" hidden="false" customHeight="true" outlineLevel="0" collapsed="false">
      <c r="A59" s="35"/>
      <c r="B59" s="36"/>
      <c r="C59" s="36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4.25" hidden="false" customHeight="true" outlineLevel="0" collapsed="false">
      <c r="A60" s="35"/>
      <c r="B60" s="36"/>
      <c r="C60" s="36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4.25" hidden="false" customHeight="true" outlineLevel="0" collapsed="false">
      <c r="A61" s="35"/>
      <c r="B61" s="36"/>
      <c r="C61" s="36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4.25" hidden="false" customHeight="true" outlineLevel="0" collapsed="false">
      <c r="A62" s="35"/>
      <c r="B62" s="36"/>
      <c r="C62" s="36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4.25" hidden="false" customHeight="true" outlineLevel="0" collapsed="false">
      <c r="A63" s="35"/>
      <c r="B63" s="36"/>
      <c r="C63" s="36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4.25" hidden="false" customHeight="true" outlineLevel="0" collapsed="false">
      <c r="A64" s="35"/>
      <c r="B64" s="36"/>
      <c r="C64" s="36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4.25" hidden="false" customHeight="true" outlineLevel="0" collapsed="false">
      <c r="A65" s="35"/>
      <c r="B65" s="36"/>
      <c r="C65" s="36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4.25" hidden="false" customHeight="true" outlineLevel="0" collapsed="false">
      <c r="A66" s="35"/>
      <c r="B66" s="36"/>
      <c r="C66" s="36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4.25" hidden="false" customHeight="true" outlineLevel="0" collapsed="false">
      <c r="A67" s="35"/>
      <c r="B67" s="36"/>
      <c r="C67" s="36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4.25" hidden="false" customHeight="true" outlineLevel="0" collapsed="false">
      <c r="A68" s="35"/>
      <c r="B68" s="36"/>
      <c r="C68" s="36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4.25" hidden="false" customHeight="true" outlineLevel="0" collapsed="false">
      <c r="A69" s="35"/>
      <c r="B69" s="36"/>
      <c r="C69" s="36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4.25" hidden="false" customHeight="true" outlineLevel="0" collapsed="false">
      <c r="A70" s="35"/>
      <c r="B70" s="36"/>
      <c r="C70" s="36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4.25" hidden="false" customHeight="true" outlineLevel="0" collapsed="false">
      <c r="A71" s="35"/>
      <c r="B71" s="36"/>
      <c r="C71" s="36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4.25" hidden="false" customHeight="true" outlineLevel="0" collapsed="false">
      <c r="A72" s="35"/>
      <c r="B72" s="36"/>
      <c r="C72" s="36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4.25" hidden="false" customHeight="true" outlineLevel="0" collapsed="false">
      <c r="A73" s="35"/>
      <c r="B73" s="36"/>
      <c r="C73" s="36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4.25" hidden="false" customHeight="true" outlineLevel="0" collapsed="false">
      <c r="A74" s="35"/>
      <c r="B74" s="36"/>
      <c r="C74" s="36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4.25" hidden="false" customHeight="true" outlineLevel="0" collapsed="false">
      <c r="A75" s="35"/>
      <c r="B75" s="36"/>
      <c r="C75" s="36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4.25" hidden="false" customHeight="true" outlineLevel="0" collapsed="false">
      <c r="A76" s="35"/>
      <c r="B76" s="36"/>
      <c r="C76" s="36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4.25" hidden="false" customHeight="true" outlineLevel="0" collapsed="false">
      <c r="A77" s="35"/>
      <c r="B77" s="36"/>
      <c r="C77" s="36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4.25" hidden="false" customHeight="true" outlineLevel="0" collapsed="false">
      <c r="A78" s="35"/>
      <c r="B78" s="36"/>
      <c r="C78" s="36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4.25" hidden="false" customHeight="true" outlineLevel="0" collapsed="false">
      <c r="A79" s="35"/>
      <c r="B79" s="36"/>
      <c r="C79" s="36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4.25" hidden="false" customHeight="true" outlineLevel="0" collapsed="false">
      <c r="A80" s="35"/>
      <c r="B80" s="36"/>
      <c r="C80" s="36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4.25" hidden="false" customHeight="true" outlineLevel="0" collapsed="false">
      <c r="A81" s="35"/>
      <c r="B81" s="36"/>
      <c r="C81" s="36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4.25" hidden="false" customHeight="true" outlineLevel="0" collapsed="false">
      <c r="A82" s="35"/>
      <c r="B82" s="36"/>
      <c r="C82" s="36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4.25" hidden="false" customHeight="true" outlineLevel="0" collapsed="false">
      <c r="A83" s="35"/>
      <c r="B83" s="36"/>
      <c r="C83" s="36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4.25" hidden="false" customHeight="true" outlineLevel="0" collapsed="false">
      <c r="A84" s="35"/>
      <c r="B84" s="36"/>
      <c r="C84" s="36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4.25" hidden="false" customHeight="true" outlineLevel="0" collapsed="false">
      <c r="A85" s="35"/>
      <c r="B85" s="36"/>
      <c r="C85" s="36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4.25" hidden="false" customHeight="true" outlineLevel="0" collapsed="false">
      <c r="A86" s="35"/>
      <c r="B86" s="36"/>
      <c r="C86" s="36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4.25" hidden="false" customHeight="true" outlineLevel="0" collapsed="false">
      <c r="A87" s="35"/>
      <c r="B87" s="36"/>
      <c r="C87" s="36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4.25" hidden="false" customHeight="true" outlineLevel="0" collapsed="false">
      <c r="A88" s="35"/>
      <c r="B88" s="36"/>
      <c r="C88" s="36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4.25" hidden="false" customHeight="true" outlineLevel="0" collapsed="false">
      <c r="A89" s="35"/>
      <c r="B89" s="36"/>
      <c r="C89" s="36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4.25" hidden="false" customHeight="true" outlineLevel="0" collapsed="false">
      <c r="A90" s="35"/>
      <c r="B90" s="36"/>
      <c r="C90" s="36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4.25" hidden="false" customHeight="true" outlineLevel="0" collapsed="false">
      <c r="A91" s="35"/>
      <c r="B91" s="36"/>
      <c r="C91" s="36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4.25" hidden="false" customHeight="true" outlineLevel="0" collapsed="false">
      <c r="A92" s="35"/>
      <c r="B92" s="36"/>
      <c r="C92" s="36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4.25" hidden="false" customHeight="true" outlineLevel="0" collapsed="false">
      <c r="A93" s="35"/>
      <c r="B93" s="36"/>
      <c r="C93" s="36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4.25" hidden="false" customHeight="true" outlineLevel="0" collapsed="false">
      <c r="A94" s="35"/>
      <c r="B94" s="36"/>
      <c r="C94" s="36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4.25" hidden="false" customHeight="true" outlineLevel="0" collapsed="false">
      <c r="A95" s="35"/>
      <c r="B95" s="36"/>
      <c r="C95" s="36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4.25" hidden="false" customHeight="true" outlineLevel="0" collapsed="false">
      <c r="A96" s="35"/>
      <c r="B96" s="36"/>
      <c r="C96" s="36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4.25" hidden="false" customHeight="true" outlineLevel="0" collapsed="false">
      <c r="A97" s="35"/>
      <c r="B97" s="36"/>
      <c r="C97" s="36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4.25" hidden="false" customHeight="true" outlineLevel="0" collapsed="false">
      <c r="A98" s="35"/>
      <c r="B98" s="36"/>
      <c r="C98" s="36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4.25" hidden="false" customHeight="true" outlineLevel="0" collapsed="false">
      <c r="A99" s="35"/>
      <c r="B99" s="36"/>
      <c r="C99" s="36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4.25" hidden="false" customHeight="true" outlineLevel="0" collapsed="false">
      <c r="A100" s="35"/>
      <c r="B100" s="36"/>
      <c r="C100" s="36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4.25" hidden="false" customHeight="true" outlineLevel="0" collapsed="false">
      <c r="A101" s="35"/>
      <c r="B101" s="36"/>
      <c r="C101" s="36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4.25" hidden="false" customHeight="true" outlineLevel="0" collapsed="false">
      <c r="A102" s="35"/>
      <c r="B102" s="36"/>
      <c r="C102" s="36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4.25" hidden="false" customHeight="true" outlineLevel="0" collapsed="false">
      <c r="A103" s="35"/>
      <c r="B103" s="36"/>
      <c r="C103" s="36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4.25" hidden="false" customHeight="true" outlineLevel="0" collapsed="false">
      <c r="A104" s="35"/>
      <c r="B104" s="36"/>
      <c r="C104" s="36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4.25" hidden="false" customHeight="true" outlineLevel="0" collapsed="false">
      <c r="A105" s="35"/>
      <c r="B105" s="36"/>
      <c r="C105" s="36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4.25" hidden="false" customHeight="true" outlineLevel="0" collapsed="false">
      <c r="A106" s="35"/>
      <c r="B106" s="36"/>
      <c r="C106" s="36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4.25" hidden="false" customHeight="true" outlineLevel="0" collapsed="false">
      <c r="A107" s="35"/>
      <c r="B107" s="36"/>
      <c r="C107" s="36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4.25" hidden="false" customHeight="true" outlineLevel="0" collapsed="false">
      <c r="A108" s="35"/>
      <c r="B108" s="36"/>
      <c r="C108" s="36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4.25" hidden="false" customHeight="true" outlineLevel="0" collapsed="false">
      <c r="A109" s="35"/>
      <c r="B109" s="36"/>
      <c r="C109" s="36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4.25" hidden="false" customHeight="true" outlineLevel="0" collapsed="false">
      <c r="A110" s="35"/>
      <c r="B110" s="36"/>
      <c r="C110" s="36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4.25" hidden="false" customHeight="true" outlineLevel="0" collapsed="false">
      <c r="A111" s="35"/>
      <c r="B111" s="36"/>
      <c r="C111" s="36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4.25" hidden="false" customHeight="true" outlineLevel="0" collapsed="false">
      <c r="A112" s="35"/>
      <c r="B112" s="36"/>
      <c r="C112" s="36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4.25" hidden="false" customHeight="true" outlineLevel="0" collapsed="false">
      <c r="A113" s="35"/>
      <c r="B113" s="36"/>
      <c r="C113" s="36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4.25" hidden="false" customHeight="true" outlineLevel="0" collapsed="false">
      <c r="A114" s="35"/>
      <c r="B114" s="36"/>
      <c r="C114" s="36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4.25" hidden="false" customHeight="true" outlineLevel="0" collapsed="false">
      <c r="A115" s="35"/>
      <c r="B115" s="36"/>
      <c r="C115" s="36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4.25" hidden="false" customHeight="true" outlineLevel="0" collapsed="false">
      <c r="A116" s="35"/>
      <c r="B116" s="36"/>
      <c r="C116" s="36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4.25" hidden="false" customHeight="true" outlineLevel="0" collapsed="false">
      <c r="A117" s="35"/>
      <c r="B117" s="36"/>
      <c r="C117" s="36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4.25" hidden="false" customHeight="true" outlineLevel="0" collapsed="false">
      <c r="A118" s="35"/>
      <c r="B118" s="36"/>
      <c r="C118" s="36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4.25" hidden="false" customHeight="true" outlineLevel="0" collapsed="false">
      <c r="A119" s="35"/>
      <c r="B119" s="36"/>
      <c r="C119" s="36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4.25" hidden="false" customHeight="true" outlineLevel="0" collapsed="false">
      <c r="A120" s="35"/>
      <c r="B120" s="36"/>
      <c r="C120" s="36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4.25" hidden="false" customHeight="true" outlineLevel="0" collapsed="false">
      <c r="A121" s="35"/>
      <c r="B121" s="36"/>
      <c r="C121" s="36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4.25" hidden="false" customHeight="true" outlineLevel="0" collapsed="false">
      <c r="A122" s="35"/>
      <c r="B122" s="36"/>
      <c r="C122" s="36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4.25" hidden="false" customHeight="true" outlineLevel="0" collapsed="false">
      <c r="A123" s="35"/>
      <c r="B123" s="36"/>
      <c r="C123" s="36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4.25" hidden="false" customHeight="true" outlineLevel="0" collapsed="false">
      <c r="A124" s="35"/>
      <c r="B124" s="36"/>
      <c r="C124" s="36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4.25" hidden="false" customHeight="true" outlineLevel="0" collapsed="false">
      <c r="A125" s="35"/>
      <c r="B125" s="36"/>
      <c r="C125" s="36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4.25" hidden="false" customHeight="true" outlineLevel="0" collapsed="false">
      <c r="A126" s="35"/>
      <c r="B126" s="36"/>
      <c r="C126" s="36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4.25" hidden="false" customHeight="true" outlineLevel="0" collapsed="false">
      <c r="A127" s="35"/>
      <c r="B127" s="36"/>
      <c r="C127" s="36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4.25" hidden="false" customHeight="true" outlineLevel="0" collapsed="false">
      <c r="A128" s="35"/>
      <c r="B128" s="36"/>
      <c r="C128" s="36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4.25" hidden="false" customHeight="true" outlineLevel="0" collapsed="false">
      <c r="A129" s="35"/>
      <c r="B129" s="36"/>
      <c r="C129" s="36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4.25" hidden="false" customHeight="true" outlineLevel="0" collapsed="false">
      <c r="A130" s="35"/>
      <c r="B130" s="36"/>
      <c r="C130" s="36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4.25" hidden="false" customHeight="true" outlineLevel="0" collapsed="false">
      <c r="A131" s="35"/>
      <c r="B131" s="36"/>
      <c r="C131" s="36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4.25" hidden="false" customHeight="true" outlineLevel="0" collapsed="false">
      <c r="A132" s="35"/>
      <c r="B132" s="36"/>
      <c r="C132" s="36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4.25" hidden="false" customHeight="true" outlineLevel="0" collapsed="false">
      <c r="A133" s="35"/>
      <c r="B133" s="36"/>
      <c r="C133" s="36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4.25" hidden="false" customHeight="true" outlineLevel="0" collapsed="false">
      <c r="A134" s="35"/>
      <c r="B134" s="36"/>
      <c r="C134" s="36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4.25" hidden="false" customHeight="true" outlineLevel="0" collapsed="false">
      <c r="A135" s="35"/>
      <c r="B135" s="36"/>
      <c r="C135" s="36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4.25" hidden="false" customHeight="true" outlineLevel="0" collapsed="false">
      <c r="A136" s="35"/>
      <c r="B136" s="36"/>
      <c r="C136" s="36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4.25" hidden="false" customHeight="true" outlineLevel="0" collapsed="false">
      <c r="A137" s="35"/>
      <c r="B137" s="36"/>
      <c r="C137" s="36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4.25" hidden="false" customHeight="true" outlineLevel="0" collapsed="false">
      <c r="A138" s="35"/>
      <c r="B138" s="36"/>
      <c r="C138" s="36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4.25" hidden="false" customHeight="true" outlineLevel="0" collapsed="false">
      <c r="A139" s="35"/>
      <c r="B139" s="36"/>
      <c r="C139" s="36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4.25" hidden="false" customHeight="true" outlineLevel="0" collapsed="false">
      <c r="A140" s="35"/>
      <c r="B140" s="36"/>
      <c r="C140" s="36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4.25" hidden="false" customHeight="true" outlineLevel="0" collapsed="false">
      <c r="A141" s="35"/>
      <c r="B141" s="36"/>
      <c r="C141" s="36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4.25" hidden="false" customHeight="true" outlineLevel="0" collapsed="false">
      <c r="A142" s="35"/>
      <c r="B142" s="36"/>
      <c r="C142" s="36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4.25" hidden="false" customHeight="true" outlineLevel="0" collapsed="false">
      <c r="A143" s="35"/>
      <c r="B143" s="36"/>
      <c r="C143" s="36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4.25" hidden="false" customHeight="true" outlineLevel="0" collapsed="false">
      <c r="A144" s="35"/>
      <c r="B144" s="36"/>
      <c r="C144" s="36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4.25" hidden="false" customHeight="true" outlineLevel="0" collapsed="false">
      <c r="A145" s="35"/>
      <c r="B145" s="36"/>
      <c r="C145" s="36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4.25" hidden="false" customHeight="true" outlineLevel="0" collapsed="false">
      <c r="A146" s="35"/>
      <c r="B146" s="36"/>
      <c r="C146" s="36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4.25" hidden="false" customHeight="true" outlineLevel="0" collapsed="false">
      <c r="A147" s="35"/>
      <c r="B147" s="36"/>
      <c r="C147" s="36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4.25" hidden="false" customHeight="true" outlineLevel="0" collapsed="false">
      <c r="A148" s="35"/>
      <c r="B148" s="36"/>
      <c r="C148" s="36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4.25" hidden="false" customHeight="true" outlineLevel="0" collapsed="false">
      <c r="A149" s="35"/>
      <c r="B149" s="36"/>
      <c r="C149" s="36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4.25" hidden="false" customHeight="true" outlineLevel="0" collapsed="false">
      <c r="A150" s="35"/>
      <c r="B150" s="36"/>
      <c r="C150" s="36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4.25" hidden="false" customHeight="true" outlineLevel="0" collapsed="false">
      <c r="A151" s="35"/>
      <c r="B151" s="36"/>
      <c r="C151" s="36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4.25" hidden="false" customHeight="true" outlineLevel="0" collapsed="false">
      <c r="A152" s="35"/>
      <c r="B152" s="36"/>
      <c r="C152" s="36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4.25" hidden="false" customHeight="true" outlineLevel="0" collapsed="false">
      <c r="A153" s="35"/>
      <c r="B153" s="36"/>
      <c r="C153" s="36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4.25" hidden="false" customHeight="true" outlineLevel="0" collapsed="false">
      <c r="A154" s="35"/>
      <c r="B154" s="36"/>
      <c r="C154" s="36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4.25" hidden="false" customHeight="true" outlineLevel="0" collapsed="false">
      <c r="A155" s="35"/>
      <c r="B155" s="36"/>
      <c r="C155" s="36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4.25" hidden="false" customHeight="true" outlineLevel="0" collapsed="false">
      <c r="A156" s="35"/>
      <c r="B156" s="36"/>
      <c r="C156" s="36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4.25" hidden="false" customHeight="true" outlineLevel="0" collapsed="false">
      <c r="A157" s="35"/>
      <c r="B157" s="36"/>
      <c r="C157" s="36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4.25" hidden="false" customHeight="true" outlineLevel="0" collapsed="false">
      <c r="A158" s="35"/>
      <c r="B158" s="36"/>
      <c r="C158" s="36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4.25" hidden="false" customHeight="true" outlineLevel="0" collapsed="false">
      <c r="A159" s="35"/>
      <c r="B159" s="36"/>
      <c r="C159" s="36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4.25" hidden="false" customHeight="true" outlineLevel="0" collapsed="false">
      <c r="A160" s="35"/>
      <c r="B160" s="36"/>
      <c r="C160" s="36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4.25" hidden="false" customHeight="true" outlineLevel="0" collapsed="false">
      <c r="A161" s="35"/>
      <c r="B161" s="36"/>
      <c r="C161" s="36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4.25" hidden="false" customHeight="true" outlineLevel="0" collapsed="false">
      <c r="A162" s="35"/>
      <c r="B162" s="36"/>
      <c r="C162" s="36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4.25" hidden="false" customHeight="true" outlineLevel="0" collapsed="false">
      <c r="A163" s="35"/>
      <c r="B163" s="36"/>
      <c r="C163" s="36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4.25" hidden="false" customHeight="true" outlineLevel="0" collapsed="false">
      <c r="A164" s="35"/>
      <c r="B164" s="36"/>
      <c r="C164" s="36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4.25" hidden="false" customHeight="true" outlineLevel="0" collapsed="false">
      <c r="A165" s="35"/>
      <c r="B165" s="36"/>
      <c r="C165" s="36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4.25" hidden="false" customHeight="true" outlineLevel="0" collapsed="false">
      <c r="A166" s="35"/>
      <c r="B166" s="36"/>
      <c r="C166" s="36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4.25" hidden="false" customHeight="true" outlineLevel="0" collapsed="false">
      <c r="A167" s="35"/>
      <c r="B167" s="36"/>
      <c r="C167" s="36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4.25" hidden="false" customHeight="true" outlineLevel="0" collapsed="false">
      <c r="A168" s="35"/>
      <c r="B168" s="36"/>
      <c r="C168" s="36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4.25" hidden="false" customHeight="true" outlineLevel="0" collapsed="false">
      <c r="A169" s="35"/>
      <c r="B169" s="36"/>
      <c r="C169" s="36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4.25" hidden="false" customHeight="true" outlineLevel="0" collapsed="false">
      <c r="A170" s="35"/>
      <c r="B170" s="36"/>
      <c r="C170" s="36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4.25" hidden="false" customHeight="true" outlineLevel="0" collapsed="false">
      <c r="A171" s="35"/>
      <c r="B171" s="36"/>
      <c r="C171" s="36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4.25" hidden="false" customHeight="true" outlineLevel="0" collapsed="false">
      <c r="A172" s="35"/>
      <c r="B172" s="36"/>
      <c r="C172" s="36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4.25" hidden="false" customHeight="true" outlineLevel="0" collapsed="false">
      <c r="A173" s="35"/>
      <c r="B173" s="36"/>
      <c r="C173" s="36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4.25" hidden="false" customHeight="true" outlineLevel="0" collapsed="false">
      <c r="A174" s="35"/>
      <c r="B174" s="36"/>
      <c r="C174" s="36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4.25" hidden="false" customHeight="true" outlineLevel="0" collapsed="false">
      <c r="A175" s="35"/>
      <c r="B175" s="36"/>
      <c r="C175" s="36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4.25" hidden="false" customHeight="true" outlineLevel="0" collapsed="false">
      <c r="A176" s="35"/>
      <c r="B176" s="36"/>
      <c r="C176" s="36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4.25" hidden="false" customHeight="true" outlineLevel="0" collapsed="false">
      <c r="A177" s="35"/>
      <c r="B177" s="36"/>
      <c r="C177" s="36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4.25" hidden="false" customHeight="true" outlineLevel="0" collapsed="false">
      <c r="A178" s="35"/>
      <c r="B178" s="36"/>
      <c r="C178" s="36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4.25" hidden="false" customHeight="true" outlineLevel="0" collapsed="false">
      <c r="A179" s="35"/>
      <c r="B179" s="36"/>
      <c r="C179" s="36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4.25" hidden="false" customHeight="true" outlineLevel="0" collapsed="false">
      <c r="A180" s="35"/>
      <c r="B180" s="36"/>
      <c r="C180" s="36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4.25" hidden="false" customHeight="true" outlineLevel="0" collapsed="false">
      <c r="A181" s="35"/>
      <c r="B181" s="36"/>
      <c r="C181" s="36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4.25" hidden="false" customHeight="true" outlineLevel="0" collapsed="false">
      <c r="A182" s="35"/>
      <c r="B182" s="36"/>
      <c r="C182" s="36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4.25" hidden="false" customHeight="true" outlineLevel="0" collapsed="false">
      <c r="A183" s="35"/>
      <c r="B183" s="36"/>
      <c r="C183" s="36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4.25" hidden="false" customHeight="true" outlineLevel="0" collapsed="false">
      <c r="A184" s="35"/>
      <c r="B184" s="36"/>
      <c r="C184" s="36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4.25" hidden="false" customHeight="true" outlineLevel="0" collapsed="false">
      <c r="A185" s="35"/>
      <c r="B185" s="36"/>
      <c r="C185" s="36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4.25" hidden="false" customHeight="true" outlineLevel="0" collapsed="false">
      <c r="A186" s="35"/>
      <c r="B186" s="36"/>
      <c r="C186" s="36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4.25" hidden="false" customHeight="true" outlineLevel="0" collapsed="false">
      <c r="A187" s="35"/>
      <c r="B187" s="36"/>
      <c r="C187" s="36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4.25" hidden="false" customHeight="true" outlineLevel="0" collapsed="false">
      <c r="A188" s="35"/>
      <c r="B188" s="36"/>
      <c r="C188" s="36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4.25" hidden="false" customHeight="true" outlineLevel="0" collapsed="false">
      <c r="A189" s="35"/>
      <c r="B189" s="36"/>
      <c r="C189" s="36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4.25" hidden="false" customHeight="true" outlineLevel="0" collapsed="false">
      <c r="A190" s="35"/>
      <c r="B190" s="36"/>
      <c r="C190" s="36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4.25" hidden="false" customHeight="true" outlineLevel="0" collapsed="false">
      <c r="A191" s="35"/>
      <c r="B191" s="36"/>
      <c r="C191" s="36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4.25" hidden="false" customHeight="true" outlineLevel="0" collapsed="false">
      <c r="A192" s="35"/>
      <c r="B192" s="36"/>
      <c r="C192" s="36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4.25" hidden="false" customHeight="true" outlineLevel="0" collapsed="false">
      <c r="A193" s="35"/>
      <c r="B193" s="36"/>
      <c r="C193" s="36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4.25" hidden="false" customHeight="true" outlineLevel="0" collapsed="false">
      <c r="A194" s="35"/>
      <c r="B194" s="36"/>
      <c r="C194" s="36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4.25" hidden="false" customHeight="true" outlineLevel="0" collapsed="false">
      <c r="A195" s="35"/>
      <c r="B195" s="36"/>
      <c r="C195" s="36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4.25" hidden="false" customHeight="true" outlineLevel="0" collapsed="false">
      <c r="A196" s="35"/>
      <c r="B196" s="36"/>
      <c r="C196" s="36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4.25" hidden="false" customHeight="true" outlineLevel="0" collapsed="false">
      <c r="A197" s="35"/>
      <c r="B197" s="36"/>
      <c r="C197" s="36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4.25" hidden="false" customHeight="true" outlineLevel="0" collapsed="false">
      <c r="A198" s="35"/>
      <c r="B198" s="36"/>
      <c r="C198" s="36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4.25" hidden="false" customHeight="true" outlineLevel="0" collapsed="false">
      <c r="A199" s="35"/>
      <c r="B199" s="36"/>
      <c r="C199" s="36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4.25" hidden="false" customHeight="true" outlineLevel="0" collapsed="false">
      <c r="A200" s="35"/>
      <c r="B200" s="36"/>
      <c r="C200" s="36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4.25" hidden="false" customHeight="true" outlineLevel="0" collapsed="false">
      <c r="A201" s="35"/>
      <c r="B201" s="36"/>
      <c r="C201" s="36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4.25" hidden="false" customHeight="true" outlineLevel="0" collapsed="false">
      <c r="A202" s="35"/>
      <c r="B202" s="36"/>
      <c r="C202" s="36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4.25" hidden="false" customHeight="true" outlineLevel="0" collapsed="false">
      <c r="A203" s="35"/>
      <c r="B203" s="36"/>
      <c r="C203" s="36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4.25" hidden="false" customHeight="true" outlineLevel="0" collapsed="false">
      <c r="A204" s="35"/>
      <c r="B204" s="36"/>
      <c r="C204" s="36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4.25" hidden="false" customHeight="true" outlineLevel="0" collapsed="false">
      <c r="A205" s="35"/>
      <c r="B205" s="36"/>
      <c r="C205" s="36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4.25" hidden="false" customHeight="true" outlineLevel="0" collapsed="false">
      <c r="A206" s="35"/>
      <c r="B206" s="36"/>
      <c r="C206" s="36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4.25" hidden="false" customHeight="true" outlineLevel="0" collapsed="false">
      <c r="A207" s="35"/>
      <c r="B207" s="36"/>
      <c r="C207" s="36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4.25" hidden="false" customHeight="true" outlineLevel="0" collapsed="false">
      <c r="A208" s="35"/>
      <c r="B208" s="36"/>
      <c r="C208" s="36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4.25" hidden="false" customHeight="true" outlineLevel="0" collapsed="false">
      <c r="A209" s="35"/>
      <c r="B209" s="36"/>
      <c r="C209" s="36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4.25" hidden="false" customHeight="true" outlineLevel="0" collapsed="false">
      <c r="A210" s="35"/>
      <c r="B210" s="36"/>
      <c r="C210" s="36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4.25" hidden="false" customHeight="true" outlineLevel="0" collapsed="false">
      <c r="A211" s="35"/>
      <c r="B211" s="36"/>
      <c r="C211" s="36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4.25" hidden="false" customHeight="true" outlineLevel="0" collapsed="false">
      <c r="A212" s="35"/>
      <c r="B212" s="36"/>
      <c r="C212" s="36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4.25" hidden="false" customHeight="true" outlineLevel="0" collapsed="false">
      <c r="A213" s="35"/>
      <c r="B213" s="36"/>
      <c r="C213" s="36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4.25" hidden="false" customHeight="true" outlineLevel="0" collapsed="false">
      <c r="A214" s="35"/>
      <c r="B214" s="36"/>
      <c r="C214" s="36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4.25" hidden="false" customHeight="true" outlineLevel="0" collapsed="false">
      <c r="A215" s="35"/>
      <c r="B215" s="36"/>
      <c r="C215" s="36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4.25" hidden="false" customHeight="true" outlineLevel="0" collapsed="false">
      <c r="A216" s="35"/>
      <c r="B216" s="36"/>
      <c r="C216" s="36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4.25" hidden="false" customHeight="true" outlineLevel="0" collapsed="false">
      <c r="A217" s="35"/>
      <c r="B217" s="36"/>
      <c r="C217" s="36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4.25" hidden="false" customHeight="true" outlineLevel="0" collapsed="false">
      <c r="A218" s="35"/>
      <c r="B218" s="36"/>
      <c r="C218" s="36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4.25" hidden="false" customHeight="true" outlineLevel="0" collapsed="false">
      <c r="A219" s="35"/>
      <c r="B219" s="36"/>
      <c r="C219" s="36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4.25" hidden="false" customHeight="true" outlineLevel="0" collapsed="false">
      <c r="A220" s="35"/>
      <c r="B220" s="36"/>
      <c r="C220" s="36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4.25" hidden="false" customHeight="true" outlineLevel="0" collapsed="false">
      <c r="A221" s="35"/>
      <c r="B221" s="36"/>
      <c r="C221" s="36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customFormat="false" ht="14.25" hidden="false" customHeight="true" outlineLevel="0" collapsed="false">
      <c r="A222" s="35"/>
      <c r="B222" s="36"/>
      <c r="C222" s="36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customFormat="false" ht="14.25" hidden="false" customHeight="true" outlineLevel="0" collapsed="false">
      <c r="A223" s="35"/>
      <c r="B223" s="36"/>
      <c r="C223" s="36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customFormat="false" ht="14.25" hidden="false" customHeight="true" outlineLevel="0" collapsed="false">
      <c r="A224" s="35"/>
      <c r="B224" s="36"/>
      <c r="C224" s="36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customFormat="false" ht="14.25" hidden="false" customHeight="true" outlineLevel="0" collapsed="false">
      <c r="A225" s="35"/>
      <c r="B225" s="36"/>
      <c r="C225" s="36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customFormat="false" ht="14.25" hidden="false" customHeight="true" outlineLevel="0" collapsed="false">
      <c r="A226" s="35"/>
      <c r="B226" s="36"/>
      <c r="C226" s="36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customFormat="false" ht="14.25" hidden="false" customHeight="true" outlineLevel="0" collapsed="false">
      <c r="A227" s="35"/>
      <c r="B227" s="36"/>
      <c r="C227" s="36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customFormat="false" ht="14.25" hidden="false" customHeight="true" outlineLevel="0" collapsed="false">
      <c r="A228" s="35"/>
      <c r="B228" s="36"/>
      <c r="C228" s="36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customFormat="false" ht="14.25" hidden="false" customHeight="true" outlineLevel="0" collapsed="false">
      <c r="A229" s="35"/>
      <c r="B229" s="36"/>
      <c r="C229" s="36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customFormat="false" ht="14.25" hidden="false" customHeight="true" outlineLevel="0" collapsed="false">
      <c r="A230" s="35"/>
      <c r="B230" s="36"/>
      <c r="C230" s="36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customFormat="false" ht="14.25" hidden="false" customHeight="true" outlineLevel="0" collapsed="false">
      <c r="A231" s="35"/>
      <c r="B231" s="36"/>
      <c r="C231" s="36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customFormat="false" ht="14.25" hidden="false" customHeight="true" outlineLevel="0" collapsed="false">
      <c r="A232" s="35"/>
      <c r="B232" s="36"/>
      <c r="C232" s="36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customFormat="false" ht="14.25" hidden="false" customHeight="true" outlineLevel="0" collapsed="false">
      <c r="A233" s="35"/>
      <c r="B233" s="36"/>
      <c r="C233" s="36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customFormat="false" ht="14.25" hidden="false" customHeight="true" outlineLevel="0" collapsed="false">
      <c r="A234" s="35"/>
      <c r="B234" s="36"/>
      <c r="C234" s="36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customFormat="false" ht="14.25" hidden="false" customHeight="true" outlineLevel="0" collapsed="false">
      <c r="A235" s="35"/>
      <c r="B235" s="36"/>
      <c r="C235" s="36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customFormat="false" ht="14.25" hidden="false" customHeight="true" outlineLevel="0" collapsed="false">
      <c r="A236" s="35"/>
      <c r="B236" s="36"/>
      <c r="C236" s="36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customFormat="false" ht="14.25" hidden="false" customHeight="true" outlineLevel="0" collapsed="false">
      <c r="A237" s="35"/>
      <c r="B237" s="36"/>
      <c r="C237" s="36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customFormat="false" ht="14.25" hidden="false" customHeight="true" outlineLevel="0" collapsed="false">
      <c r="A238" s="35"/>
      <c r="B238" s="36"/>
      <c r="C238" s="36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customFormat="false" ht="14.25" hidden="false" customHeight="true" outlineLevel="0" collapsed="false">
      <c r="A239" s="35"/>
      <c r="B239" s="36"/>
      <c r="C239" s="36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customFormat="false" ht="14.25" hidden="false" customHeight="true" outlineLevel="0" collapsed="false">
      <c r="A240" s="35"/>
      <c r="B240" s="36"/>
      <c r="C240" s="36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customFormat="false" ht="14.25" hidden="false" customHeight="true" outlineLevel="0" collapsed="false">
      <c r="A241" s="35"/>
      <c r="B241" s="36"/>
      <c r="C241" s="36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customFormat="false" ht="14.25" hidden="false" customHeight="true" outlineLevel="0" collapsed="false">
      <c r="A242" s="35"/>
      <c r="B242" s="36"/>
      <c r="C242" s="36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customFormat="false" ht="14.25" hidden="false" customHeight="true" outlineLevel="0" collapsed="false">
      <c r="A243" s="35"/>
      <c r="B243" s="36"/>
      <c r="C243" s="36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customFormat="false" ht="14.25" hidden="false" customHeight="true" outlineLevel="0" collapsed="false">
      <c r="A244" s="35"/>
      <c r="B244" s="36"/>
      <c r="C244" s="36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customFormat="false" ht="14.25" hidden="false" customHeight="true" outlineLevel="0" collapsed="false">
      <c r="A245" s="35"/>
      <c r="B245" s="36"/>
      <c r="C245" s="36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customFormat="false" ht="14.25" hidden="false" customHeight="true" outlineLevel="0" collapsed="false">
      <c r="A246" s="35"/>
      <c r="B246" s="36"/>
      <c r="C246" s="36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customFormat="false" ht="14.25" hidden="false" customHeight="true" outlineLevel="0" collapsed="false">
      <c r="A247" s="35"/>
      <c r="B247" s="36"/>
      <c r="C247" s="36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customFormat="false" ht="14.25" hidden="false" customHeight="true" outlineLevel="0" collapsed="false">
      <c r="A248" s="35"/>
      <c r="B248" s="36"/>
      <c r="C248" s="36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customFormat="false" ht="14.25" hidden="false" customHeight="true" outlineLevel="0" collapsed="false">
      <c r="A249" s="35"/>
      <c r="B249" s="36"/>
      <c r="C249" s="36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customFormat="false" ht="14.25" hidden="false" customHeight="true" outlineLevel="0" collapsed="false">
      <c r="A250" s="35"/>
      <c r="B250" s="36"/>
      <c r="C250" s="36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customFormat="false" ht="14.25" hidden="false" customHeight="true" outlineLevel="0" collapsed="false">
      <c r="A251" s="35"/>
      <c r="B251" s="36"/>
      <c r="C251" s="36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customFormat="false" ht="14.25" hidden="false" customHeight="true" outlineLevel="0" collapsed="false">
      <c r="A252" s="35"/>
      <c r="B252" s="36"/>
      <c r="C252" s="36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customFormat="false" ht="14.25" hidden="false" customHeight="true" outlineLevel="0" collapsed="false">
      <c r="A253" s="35"/>
      <c r="B253" s="36"/>
      <c r="C253" s="36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customFormat="false" ht="14.25" hidden="false" customHeight="true" outlineLevel="0" collapsed="false">
      <c r="A254" s="35"/>
      <c r="B254" s="36"/>
      <c r="C254" s="36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customFormat="false" ht="14.25" hidden="false" customHeight="true" outlineLevel="0" collapsed="false">
      <c r="A255" s="35"/>
      <c r="B255" s="36"/>
      <c r="C255" s="36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customFormat="false" ht="14.25" hidden="false" customHeight="true" outlineLevel="0" collapsed="false">
      <c r="A256" s="35"/>
      <c r="B256" s="36"/>
      <c r="C256" s="36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customFormat="false" ht="14.25" hidden="false" customHeight="true" outlineLevel="0" collapsed="false">
      <c r="A257" s="35"/>
      <c r="B257" s="36"/>
      <c r="C257" s="36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customFormat="false" ht="14.25" hidden="false" customHeight="true" outlineLevel="0" collapsed="false">
      <c r="A258" s="35"/>
      <c r="B258" s="36"/>
      <c r="C258" s="36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customFormat="false" ht="14.25" hidden="false" customHeight="true" outlineLevel="0" collapsed="false">
      <c r="A259" s="35"/>
      <c r="B259" s="36"/>
      <c r="C259" s="36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customFormat="false" ht="14.25" hidden="false" customHeight="true" outlineLevel="0" collapsed="false">
      <c r="A260" s="35"/>
      <c r="B260" s="36"/>
      <c r="C260" s="36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customFormat="false" ht="14.25" hidden="false" customHeight="true" outlineLevel="0" collapsed="false">
      <c r="A261" s="35"/>
      <c r="B261" s="36"/>
      <c r="C261" s="36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customFormat="false" ht="14.25" hidden="false" customHeight="true" outlineLevel="0" collapsed="false">
      <c r="A262" s="35"/>
      <c r="B262" s="36"/>
      <c r="C262" s="36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customFormat="false" ht="14.25" hidden="false" customHeight="true" outlineLevel="0" collapsed="false">
      <c r="A263" s="35"/>
      <c r="B263" s="36"/>
      <c r="C263" s="36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customFormat="false" ht="14.25" hidden="false" customHeight="true" outlineLevel="0" collapsed="false">
      <c r="A264" s="35"/>
      <c r="B264" s="36"/>
      <c r="C264" s="36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customFormat="false" ht="14.25" hidden="false" customHeight="true" outlineLevel="0" collapsed="false">
      <c r="A265" s="35"/>
      <c r="B265" s="36"/>
      <c r="C265" s="36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customFormat="false" ht="14.25" hidden="false" customHeight="true" outlineLevel="0" collapsed="false">
      <c r="A266" s="35"/>
      <c r="B266" s="36"/>
      <c r="C266" s="36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customFormat="false" ht="14.25" hidden="false" customHeight="true" outlineLevel="0" collapsed="false">
      <c r="A267" s="35"/>
      <c r="B267" s="36"/>
      <c r="C267" s="36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customFormat="false" ht="14.25" hidden="false" customHeight="true" outlineLevel="0" collapsed="false">
      <c r="A268" s="35"/>
      <c r="B268" s="36"/>
      <c r="C268" s="36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customFormat="false" ht="14.25" hidden="false" customHeight="true" outlineLevel="0" collapsed="false">
      <c r="A269" s="35"/>
      <c r="B269" s="36"/>
      <c r="C269" s="36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customFormat="false" ht="14.25" hidden="false" customHeight="true" outlineLevel="0" collapsed="false">
      <c r="A270" s="35"/>
      <c r="B270" s="36"/>
      <c r="C270" s="36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customFormat="false" ht="14.25" hidden="false" customHeight="true" outlineLevel="0" collapsed="false">
      <c r="A271" s="35"/>
      <c r="B271" s="36"/>
      <c r="C271" s="36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customFormat="false" ht="14.25" hidden="false" customHeight="true" outlineLevel="0" collapsed="false">
      <c r="A272" s="35"/>
      <c r="B272" s="36"/>
      <c r="C272" s="36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customFormat="false" ht="14.25" hidden="false" customHeight="true" outlineLevel="0" collapsed="false">
      <c r="A273" s="35"/>
      <c r="B273" s="36"/>
      <c r="C273" s="36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customFormat="false" ht="14.25" hidden="false" customHeight="true" outlineLevel="0" collapsed="false">
      <c r="A274" s="35"/>
      <c r="B274" s="36"/>
      <c r="C274" s="36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customFormat="false" ht="14.25" hidden="false" customHeight="true" outlineLevel="0" collapsed="false">
      <c r="A275" s="35"/>
      <c r="B275" s="36"/>
      <c r="C275" s="36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customFormat="false" ht="14.25" hidden="false" customHeight="true" outlineLevel="0" collapsed="false">
      <c r="A276" s="35"/>
      <c r="B276" s="36"/>
      <c r="C276" s="36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customFormat="false" ht="14.25" hidden="false" customHeight="true" outlineLevel="0" collapsed="false">
      <c r="A277" s="35"/>
      <c r="B277" s="36"/>
      <c r="C277" s="36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customFormat="false" ht="14.25" hidden="false" customHeight="true" outlineLevel="0" collapsed="false">
      <c r="A278" s="35"/>
      <c r="B278" s="36"/>
      <c r="C278" s="36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customFormat="false" ht="14.25" hidden="false" customHeight="true" outlineLevel="0" collapsed="false">
      <c r="A279" s="35"/>
      <c r="B279" s="36"/>
      <c r="C279" s="36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customFormat="false" ht="14.25" hidden="false" customHeight="true" outlineLevel="0" collapsed="false">
      <c r="A280" s="35"/>
      <c r="B280" s="36"/>
      <c r="C280" s="36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customFormat="false" ht="14.25" hidden="false" customHeight="true" outlineLevel="0" collapsed="false">
      <c r="A281" s="35"/>
      <c r="B281" s="36"/>
      <c r="C281" s="36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customFormat="false" ht="14.25" hidden="false" customHeight="true" outlineLevel="0" collapsed="false">
      <c r="A282" s="35"/>
      <c r="B282" s="36"/>
      <c r="C282" s="36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customFormat="false" ht="14.25" hidden="false" customHeight="true" outlineLevel="0" collapsed="false">
      <c r="A283" s="35"/>
      <c r="B283" s="36"/>
      <c r="C283" s="36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customFormat="false" ht="14.25" hidden="false" customHeight="true" outlineLevel="0" collapsed="false">
      <c r="A284" s="35"/>
      <c r="B284" s="36"/>
      <c r="C284" s="36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customFormat="false" ht="14.25" hidden="false" customHeight="true" outlineLevel="0" collapsed="false">
      <c r="A285" s="35"/>
      <c r="B285" s="36"/>
      <c r="C285" s="36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customFormat="false" ht="14.25" hidden="false" customHeight="true" outlineLevel="0" collapsed="false">
      <c r="A286" s="35"/>
      <c r="B286" s="36"/>
      <c r="C286" s="36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customFormat="false" ht="14.25" hidden="false" customHeight="true" outlineLevel="0" collapsed="false">
      <c r="A287" s="35"/>
      <c r="B287" s="36"/>
      <c r="C287" s="36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customFormat="false" ht="14.25" hidden="false" customHeight="true" outlineLevel="0" collapsed="false">
      <c r="A288" s="35"/>
      <c r="B288" s="36"/>
      <c r="C288" s="36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customFormat="false" ht="14.25" hidden="false" customHeight="true" outlineLevel="0" collapsed="false">
      <c r="A289" s="35"/>
      <c r="B289" s="36"/>
      <c r="C289" s="36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customFormat="false" ht="14.25" hidden="false" customHeight="true" outlineLevel="0" collapsed="false">
      <c r="A290" s="35"/>
      <c r="B290" s="36"/>
      <c r="C290" s="36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customFormat="false" ht="14.25" hidden="false" customHeight="true" outlineLevel="0" collapsed="false">
      <c r="A291" s="35"/>
      <c r="B291" s="36"/>
      <c r="C291" s="36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customFormat="false" ht="14.25" hidden="false" customHeight="true" outlineLevel="0" collapsed="false">
      <c r="A292" s="35"/>
      <c r="B292" s="36"/>
      <c r="C292" s="36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customFormat="false" ht="14.25" hidden="false" customHeight="true" outlineLevel="0" collapsed="false">
      <c r="A293" s="35"/>
      <c r="B293" s="36"/>
      <c r="C293" s="36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customFormat="false" ht="14.25" hidden="false" customHeight="true" outlineLevel="0" collapsed="false">
      <c r="A294" s="35"/>
      <c r="B294" s="36"/>
      <c r="C294" s="36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customFormat="false" ht="14.25" hidden="false" customHeight="true" outlineLevel="0" collapsed="false">
      <c r="A295" s="35"/>
      <c r="B295" s="36"/>
      <c r="C295" s="36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customFormat="false" ht="14.25" hidden="false" customHeight="true" outlineLevel="0" collapsed="false">
      <c r="A296" s="35"/>
      <c r="B296" s="36"/>
      <c r="C296" s="36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customFormat="false" ht="14.25" hidden="false" customHeight="true" outlineLevel="0" collapsed="false">
      <c r="A297" s="35"/>
      <c r="B297" s="36"/>
      <c r="C297" s="36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customFormat="false" ht="14.25" hidden="false" customHeight="true" outlineLevel="0" collapsed="false">
      <c r="A298" s="35"/>
      <c r="B298" s="36"/>
      <c r="C298" s="36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customFormat="false" ht="14.25" hidden="false" customHeight="true" outlineLevel="0" collapsed="false">
      <c r="A299" s="35"/>
      <c r="B299" s="36"/>
      <c r="C299" s="36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customFormat="false" ht="14.25" hidden="false" customHeight="true" outlineLevel="0" collapsed="false">
      <c r="A300" s="35"/>
      <c r="B300" s="36"/>
      <c r="C300" s="36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customFormat="false" ht="14.25" hidden="false" customHeight="true" outlineLevel="0" collapsed="false">
      <c r="A301" s="35"/>
      <c r="B301" s="36"/>
      <c r="C301" s="36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customFormat="false" ht="14.25" hidden="false" customHeight="true" outlineLevel="0" collapsed="false">
      <c r="A302" s="35"/>
      <c r="B302" s="36"/>
      <c r="C302" s="36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customFormat="false" ht="14.25" hidden="false" customHeight="true" outlineLevel="0" collapsed="false">
      <c r="A303" s="35"/>
      <c r="B303" s="36"/>
      <c r="C303" s="36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customFormat="false" ht="14.25" hidden="false" customHeight="true" outlineLevel="0" collapsed="false">
      <c r="A304" s="35"/>
      <c r="B304" s="36"/>
      <c r="C304" s="36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customFormat="false" ht="14.25" hidden="false" customHeight="true" outlineLevel="0" collapsed="false">
      <c r="A305" s="35"/>
      <c r="B305" s="36"/>
      <c r="C305" s="36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customFormat="false" ht="14.25" hidden="false" customHeight="true" outlineLevel="0" collapsed="false">
      <c r="A306" s="35"/>
      <c r="B306" s="36"/>
      <c r="C306" s="36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customFormat="false" ht="14.25" hidden="false" customHeight="true" outlineLevel="0" collapsed="false">
      <c r="A307" s="35"/>
      <c r="B307" s="36"/>
      <c r="C307" s="36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customFormat="false" ht="14.25" hidden="false" customHeight="true" outlineLevel="0" collapsed="false">
      <c r="A308" s="35"/>
      <c r="B308" s="36"/>
      <c r="C308" s="36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customFormat="false" ht="14.25" hidden="false" customHeight="true" outlineLevel="0" collapsed="false">
      <c r="A309" s="35"/>
      <c r="B309" s="36"/>
      <c r="C309" s="36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customFormat="false" ht="14.25" hidden="false" customHeight="true" outlineLevel="0" collapsed="false">
      <c r="A310" s="35"/>
      <c r="B310" s="36"/>
      <c r="C310" s="36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customFormat="false" ht="14.25" hidden="false" customHeight="true" outlineLevel="0" collapsed="false">
      <c r="A311" s="35"/>
      <c r="B311" s="36"/>
      <c r="C311" s="36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customFormat="false" ht="14.25" hidden="false" customHeight="true" outlineLevel="0" collapsed="false">
      <c r="A312" s="35"/>
      <c r="B312" s="36"/>
      <c r="C312" s="36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customFormat="false" ht="14.25" hidden="false" customHeight="true" outlineLevel="0" collapsed="false">
      <c r="A313" s="35"/>
      <c r="B313" s="36"/>
      <c r="C313" s="36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customFormat="false" ht="14.25" hidden="false" customHeight="true" outlineLevel="0" collapsed="false">
      <c r="A314" s="35"/>
      <c r="B314" s="36"/>
      <c r="C314" s="36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customFormat="false" ht="14.25" hidden="false" customHeight="true" outlineLevel="0" collapsed="false">
      <c r="A315" s="35"/>
      <c r="B315" s="36"/>
      <c r="C315" s="36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customFormat="false" ht="14.25" hidden="false" customHeight="true" outlineLevel="0" collapsed="false">
      <c r="A316" s="35"/>
      <c r="B316" s="36"/>
      <c r="C316" s="36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customFormat="false" ht="14.25" hidden="false" customHeight="true" outlineLevel="0" collapsed="false">
      <c r="A317" s="35"/>
      <c r="B317" s="36"/>
      <c r="C317" s="36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customFormat="false" ht="14.25" hidden="false" customHeight="true" outlineLevel="0" collapsed="false">
      <c r="A318" s="35"/>
      <c r="B318" s="36"/>
      <c r="C318" s="36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customFormat="false" ht="14.25" hidden="false" customHeight="true" outlineLevel="0" collapsed="false">
      <c r="A319" s="35"/>
      <c r="B319" s="36"/>
      <c r="C319" s="36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customFormat="false" ht="14.25" hidden="false" customHeight="true" outlineLevel="0" collapsed="false">
      <c r="A320" s="35"/>
      <c r="B320" s="36"/>
      <c r="C320" s="36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customFormat="false" ht="14.25" hidden="false" customHeight="true" outlineLevel="0" collapsed="false">
      <c r="A321" s="35"/>
      <c r="B321" s="36"/>
      <c r="C321" s="36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customFormat="false" ht="14.25" hidden="false" customHeight="true" outlineLevel="0" collapsed="false">
      <c r="A322" s="35"/>
      <c r="B322" s="36"/>
      <c r="C322" s="36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customFormat="false" ht="14.25" hidden="false" customHeight="true" outlineLevel="0" collapsed="false">
      <c r="A323" s="35"/>
      <c r="B323" s="36"/>
      <c r="C323" s="36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customFormat="false" ht="14.25" hidden="false" customHeight="true" outlineLevel="0" collapsed="false">
      <c r="A324" s="35"/>
      <c r="B324" s="36"/>
      <c r="C324" s="36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customFormat="false" ht="14.25" hidden="false" customHeight="true" outlineLevel="0" collapsed="false">
      <c r="A325" s="35"/>
      <c r="B325" s="36"/>
      <c r="C325" s="36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customFormat="false" ht="14.25" hidden="false" customHeight="true" outlineLevel="0" collapsed="false">
      <c r="A326" s="35"/>
      <c r="B326" s="36"/>
      <c r="C326" s="36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customFormat="false" ht="14.25" hidden="false" customHeight="true" outlineLevel="0" collapsed="false">
      <c r="A327" s="35"/>
      <c r="B327" s="36"/>
      <c r="C327" s="36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customFormat="false" ht="14.25" hidden="false" customHeight="true" outlineLevel="0" collapsed="false">
      <c r="A328" s="35"/>
      <c r="B328" s="36"/>
      <c r="C328" s="36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customFormat="false" ht="14.25" hidden="false" customHeight="true" outlineLevel="0" collapsed="false">
      <c r="A329" s="35"/>
      <c r="B329" s="36"/>
      <c r="C329" s="36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customFormat="false" ht="14.25" hidden="false" customHeight="true" outlineLevel="0" collapsed="false">
      <c r="A330" s="35"/>
      <c r="B330" s="36"/>
      <c r="C330" s="36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customFormat="false" ht="14.25" hidden="false" customHeight="true" outlineLevel="0" collapsed="false">
      <c r="A331" s="35"/>
      <c r="B331" s="36"/>
      <c r="C331" s="36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customFormat="false" ht="14.25" hidden="false" customHeight="true" outlineLevel="0" collapsed="false">
      <c r="A332" s="35"/>
      <c r="B332" s="36"/>
      <c r="C332" s="36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customFormat="false" ht="14.25" hidden="false" customHeight="true" outlineLevel="0" collapsed="false">
      <c r="A333" s="35"/>
      <c r="B333" s="36"/>
      <c r="C333" s="36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customFormat="false" ht="14.25" hidden="false" customHeight="true" outlineLevel="0" collapsed="false">
      <c r="A334" s="35"/>
      <c r="B334" s="36"/>
      <c r="C334" s="36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customFormat="false" ht="14.25" hidden="false" customHeight="true" outlineLevel="0" collapsed="false">
      <c r="A335" s="35"/>
      <c r="B335" s="36"/>
      <c r="C335" s="36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customFormat="false" ht="14.25" hidden="false" customHeight="true" outlineLevel="0" collapsed="false">
      <c r="A336" s="35"/>
      <c r="B336" s="36"/>
      <c r="C336" s="36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customFormat="false" ht="14.25" hidden="false" customHeight="true" outlineLevel="0" collapsed="false">
      <c r="A337" s="35"/>
      <c r="B337" s="36"/>
      <c r="C337" s="36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customFormat="false" ht="14.25" hidden="false" customHeight="true" outlineLevel="0" collapsed="false">
      <c r="A338" s="35"/>
      <c r="B338" s="36"/>
      <c r="C338" s="36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customFormat="false" ht="14.25" hidden="false" customHeight="true" outlineLevel="0" collapsed="false">
      <c r="A339" s="35"/>
      <c r="B339" s="36"/>
      <c r="C339" s="36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customFormat="false" ht="14.25" hidden="false" customHeight="true" outlineLevel="0" collapsed="false">
      <c r="A340" s="35"/>
      <c r="B340" s="36"/>
      <c r="C340" s="36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customFormat="false" ht="14.25" hidden="false" customHeight="true" outlineLevel="0" collapsed="false">
      <c r="A341" s="35"/>
      <c r="B341" s="36"/>
      <c r="C341" s="36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customFormat="false" ht="14.25" hidden="false" customHeight="true" outlineLevel="0" collapsed="false">
      <c r="A342" s="35"/>
      <c r="B342" s="36"/>
      <c r="C342" s="36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customFormat="false" ht="14.25" hidden="false" customHeight="true" outlineLevel="0" collapsed="false">
      <c r="A343" s="35"/>
      <c r="B343" s="36"/>
      <c r="C343" s="36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customFormat="false" ht="14.25" hidden="false" customHeight="true" outlineLevel="0" collapsed="false">
      <c r="A344" s="35"/>
      <c r="B344" s="36"/>
      <c r="C344" s="36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customFormat="false" ht="14.25" hidden="false" customHeight="true" outlineLevel="0" collapsed="false">
      <c r="A345" s="35"/>
      <c r="B345" s="36"/>
      <c r="C345" s="36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customFormat="false" ht="14.25" hidden="false" customHeight="true" outlineLevel="0" collapsed="false">
      <c r="A346" s="35"/>
      <c r="B346" s="36"/>
      <c r="C346" s="36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customFormat="false" ht="14.25" hidden="false" customHeight="true" outlineLevel="0" collapsed="false">
      <c r="A347" s="35"/>
      <c r="B347" s="36"/>
      <c r="C347" s="36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customFormat="false" ht="14.25" hidden="false" customHeight="true" outlineLevel="0" collapsed="false">
      <c r="A348" s="35"/>
      <c r="B348" s="36"/>
      <c r="C348" s="36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customFormat="false" ht="14.25" hidden="false" customHeight="true" outlineLevel="0" collapsed="false">
      <c r="A349" s="35"/>
      <c r="B349" s="36"/>
      <c r="C349" s="36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customFormat="false" ht="14.25" hidden="false" customHeight="true" outlineLevel="0" collapsed="false">
      <c r="A350" s="35"/>
      <c r="B350" s="36"/>
      <c r="C350" s="36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customFormat="false" ht="14.25" hidden="false" customHeight="true" outlineLevel="0" collapsed="false">
      <c r="A351" s="35"/>
      <c r="B351" s="36"/>
      <c r="C351" s="36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customFormat="false" ht="14.25" hidden="false" customHeight="true" outlineLevel="0" collapsed="false">
      <c r="A352" s="35"/>
      <c r="B352" s="36"/>
      <c r="C352" s="36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customFormat="false" ht="14.25" hidden="false" customHeight="true" outlineLevel="0" collapsed="false">
      <c r="A353" s="35"/>
      <c r="B353" s="36"/>
      <c r="C353" s="36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customFormat="false" ht="14.25" hidden="false" customHeight="true" outlineLevel="0" collapsed="false">
      <c r="A354" s="35"/>
      <c r="B354" s="36"/>
      <c r="C354" s="36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customFormat="false" ht="14.25" hidden="false" customHeight="true" outlineLevel="0" collapsed="false">
      <c r="A355" s="35"/>
      <c r="B355" s="36"/>
      <c r="C355" s="36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customFormat="false" ht="14.25" hidden="false" customHeight="true" outlineLevel="0" collapsed="false">
      <c r="A356" s="35"/>
      <c r="B356" s="36"/>
      <c r="C356" s="36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customFormat="false" ht="14.25" hidden="false" customHeight="true" outlineLevel="0" collapsed="false">
      <c r="A357" s="35"/>
      <c r="B357" s="36"/>
      <c r="C357" s="36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customFormat="false" ht="14.25" hidden="false" customHeight="true" outlineLevel="0" collapsed="false">
      <c r="A358" s="35"/>
      <c r="B358" s="36"/>
      <c r="C358" s="36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customFormat="false" ht="14.25" hidden="false" customHeight="true" outlineLevel="0" collapsed="false">
      <c r="A359" s="35"/>
      <c r="B359" s="36"/>
      <c r="C359" s="36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customFormat="false" ht="14.25" hidden="false" customHeight="true" outlineLevel="0" collapsed="false">
      <c r="A360" s="35"/>
      <c r="B360" s="36"/>
      <c r="C360" s="36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customFormat="false" ht="14.25" hidden="false" customHeight="true" outlineLevel="0" collapsed="false">
      <c r="A361" s="35"/>
      <c r="B361" s="36"/>
      <c r="C361" s="36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customFormat="false" ht="14.25" hidden="false" customHeight="true" outlineLevel="0" collapsed="false">
      <c r="A362" s="35"/>
      <c r="B362" s="36"/>
      <c r="C362" s="36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customFormat="false" ht="14.25" hidden="false" customHeight="true" outlineLevel="0" collapsed="false">
      <c r="A363" s="35"/>
      <c r="B363" s="36"/>
      <c r="C363" s="36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customFormat="false" ht="14.25" hidden="false" customHeight="true" outlineLevel="0" collapsed="false">
      <c r="A364" s="35"/>
      <c r="B364" s="36"/>
      <c r="C364" s="36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customFormat="false" ht="14.25" hidden="false" customHeight="true" outlineLevel="0" collapsed="false">
      <c r="A365" s="35"/>
      <c r="B365" s="36"/>
      <c r="C365" s="36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customFormat="false" ht="14.25" hidden="false" customHeight="true" outlineLevel="0" collapsed="false">
      <c r="A366" s="35"/>
      <c r="B366" s="36"/>
      <c r="C366" s="36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customFormat="false" ht="14.25" hidden="false" customHeight="true" outlineLevel="0" collapsed="false">
      <c r="A367" s="35"/>
      <c r="B367" s="36"/>
      <c r="C367" s="36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customFormat="false" ht="14.25" hidden="false" customHeight="true" outlineLevel="0" collapsed="false">
      <c r="A368" s="35"/>
      <c r="B368" s="36"/>
      <c r="C368" s="36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customFormat="false" ht="14.25" hidden="false" customHeight="true" outlineLevel="0" collapsed="false">
      <c r="A369" s="35"/>
      <c r="B369" s="36"/>
      <c r="C369" s="36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customFormat="false" ht="14.25" hidden="false" customHeight="true" outlineLevel="0" collapsed="false">
      <c r="A370" s="35"/>
      <c r="B370" s="36"/>
      <c r="C370" s="36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customFormat="false" ht="14.25" hidden="false" customHeight="true" outlineLevel="0" collapsed="false">
      <c r="A371" s="35"/>
      <c r="B371" s="36"/>
      <c r="C371" s="36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customFormat="false" ht="14.25" hidden="false" customHeight="true" outlineLevel="0" collapsed="false">
      <c r="A372" s="35"/>
      <c r="B372" s="36"/>
      <c r="C372" s="36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customFormat="false" ht="14.25" hidden="false" customHeight="true" outlineLevel="0" collapsed="false">
      <c r="A373" s="35"/>
      <c r="B373" s="36"/>
      <c r="C373" s="36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customFormat="false" ht="14.25" hidden="false" customHeight="true" outlineLevel="0" collapsed="false">
      <c r="A374" s="35"/>
      <c r="B374" s="36"/>
      <c r="C374" s="36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customFormat="false" ht="14.25" hidden="false" customHeight="true" outlineLevel="0" collapsed="false">
      <c r="A375" s="35"/>
      <c r="B375" s="36"/>
      <c r="C375" s="36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customFormat="false" ht="14.25" hidden="false" customHeight="true" outlineLevel="0" collapsed="false">
      <c r="A376" s="35"/>
      <c r="B376" s="36"/>
      <c r="C376" s="36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customFormat="false" ht="14.25" hidden="false" customHeight="true" outlineLevel="0" collapsed="false">
      <c r="A377" s="35"/>
      <c r="B377" s="36"/>
      <c r="C377" s="36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customFormat="false" ht="14.25" hidden="false" customHeight="true" outlineLevel="0" collapsed="false">
      <c r="A378" s="35"/>
      <c r="B378" s="36"/>
      <c r="C378" s="36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customFormat="false" ht="14.25" hidden="false" customHeight="true" outlineLevel="0" collapsed="false">
      <c r="A379" s="35"/>
      <c r="B379" s="36"/>
      <c r="C379" s="36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customFormat="false" ht="14.25" hidden="false" customHeight="true" outlineLevel="0" collapsed="false">
      <c r="A380" s="35"/>
      <c r="B380" s="36"/>
      <c r="C380" s="36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customFormat="false" ht="14.25" hidden="false" customHeight="true" outlineLevel="0" collapsed="false">
      <c r="A381" s="35"/>
      <c r="B381" s="36"/>
      <c r="C381" s="36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customFormat="false" ht="14.25" hidden="false" customHeight="true" outlineLevel="0" collapsed="false">
      <c r="A382" s="35"/>
      <c r="B382" s="36"/>
      <c r="C382" s="36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customFormat="false" ht="14.25" hidden="false" customHeight="true" outlineLevel="0" collapsed="false">
      <c r="A383" s="35"/>
      <c r="B383" s="36"/>
      <c r="C383" s="36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customFormat="false" ht="14.25" hidden="false" customHeight="true" outlineLevel="0" collapsed="false">
      <c r="A384" s="35"/>
      <c r="B384" s="36"/>
      <c r="C384" s="36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customFormat="false" ht="14.25" hidden="false" customHeight="true" outlineLevel="0" collapsed="false">
      <c r="A385" s="35"/>
      <c r="B385" s="36"/>
      <c r="C385" s="36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customFormat="false" ht="14.25" hidden="false" customHeight="true" outlineLevel="0" collapsed="false">
      <c r="A386" s="35"/>
      <c r="B386" s="36"/>
      <c r="C386" s="36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customFormat="false" ht="14.25" hidden="false" customHeight="true" outlineLevel="0" collapsed="false">
      <c r="A387" s="35"/>
      <c r="B387" s="36"/>
      <c r="C387" s="36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customFormat="false" ht="14.25" hidden="false" customHeight="true" outlineLevel="0" collapsed="false">
      <c r="A388" s="35"/>
      <c r="B388" s="36"/>
      <c r="C388" s="36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customFormat="false" ht="14.25" hidden="false" customHeight="true" outlineLevel="0" collapsed="false">
      <c r="A389" s="35"/>
      <c r="B389" s="36"/>
      <c r="C389" s="36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customFormat="false" ht="14.25" hidden="false" customHeight="true" outlineLevel="0" collapsed="false">
      <c r="A390" s="35"/>
      <c r="B390" s="36"/>
      <c r="C390" s="36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customFormat="false" ht="14.25" hidden="false" customHeight="true" outlineLevel="0" collapsed="false">
      <c r="A391" s="35"/>
      <c r="B391" s="36"/>
      <c r="C391" s="36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customFormat="false" ht="14.25" hidden="false" customHeight="true" outlineLevel="0" collapsed="false">
      <c r="A392" s="35"/>
      <c r="B392" s="36"/>
      <c r="C392" s="36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customFormat="false" ht="14.25" hidden="false" customHeight="true" outlineLevel="0" collapsed="false">
      <c r="A393" s="35"/>
      <c r="B393" s="36"/>
      <c r="C393" s="36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customFormat="false" ht="14.25" hidden="false" customHeight="true" outlineLevel="0" collapsed="false">
      <c r="A394" s="35"/>
      <c r="B394" s="36"/>
      <c r="C394" s="36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customFormat="false" ht="14.25" hidden="false" customHeight="true" outlineLevel="0" collapsed="false">
      <c r="A395" s="35"/>
      <c r="B395" s="36"/>
      <c r="C395" s="36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customFormat="false" ht="14.25" hidden="false" customHeight="true" outlineLevel="0" collapsed="false">
      <c r="A396" s="35"/>
      <c r="B396" s="36"/>
      <c r="C396" s="36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customFormat="false" ht="14.25" hidden="false" customHeight="true" outlineLevel="0" collapsed="false">
      <c r="A397" s="35"/>
      <c r="B397" s="36"/>
      <c r="C397" s="36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customFormat="false" ht="14.25" hidden="false" customHeight="true" outlineLevel="0" collapsed="false">
      <c r="A398" s="35"/>
      <c r="B398" s="36"/>
      <c r="C398" s="36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customFormat="false" ht="14.25" hidden="false" customHeight="true" outlineLevel="0" collapsed="false">
      <c r="A399" s="35"/>
      <c r="B399" s="36"/>
      <c r="C399" s="36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customFormat="false" ht="14.25" hidden="false" customHeight="true" outlineLevel="0" collapsed="false">
      <c r="A400" s="35"/>
      <c r="B400" s="36"/>
      <c r="C400" s="36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customFormat="false" ht="14.25" hidden="false" customHeight="true" outlineLevel="0" collapsed="false">
      <c r="A401" s="35"/>
      <c r="B401" s="36"/>
      <c r="C401" s="36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customFormat="false" ht="14.25" hidden="false" customHeight="true" outlineLevel="0" collapsed="false">
      <c r="A402" s="35"/>
      <c r="B402" s="36"/>
      <c r="C402" s="36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customFormat="false" ht="14.25" hidden="false" customHeight="true" outlineLevel="0" collapsed="false">
      <c r="A403" s="35"/>
      <c r="B403" s="36"/>
      <c r="C403" s="36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customFormat="false" ht="14.25" hidden="false" customHeight="true" outlineLevel="0" collapsed="false">
      <c r="A404" s="35"/>
      <c r="B404" s="36"/>
      <c r="C404" s="36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customFormat="false" ht="14.25" hidden="false" customHeight="true" outlineLevel="0" collapsed="false">
      <c r="A405" s="35"/>
      <c r="B405" s="36"/>
      <c r="C405" s="36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customFormat="false" ht="14.25" hidden="false" customHeight="true" outlineLevel="0" collapsed="false">
      <c r="A406" s="35"/>
      <c r="B406" s="36"/>
      <c r="C406" s="36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customFormat="false" ht="14.25" hidden="false" customHeight="true" outlineLevel="0" collapsed="false">
      <c r="A407" s="35"/>
      <c r="B407" s="36"/>
      <c r="C407" s="36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customFormat="false" ht="14.25" hidden="false" customHeight="true" outlineLevel="0" collapsed="false">
      <c r="A408" s="35"/>
      <c r="B408" s="36"/>
      <c r="C408" s="36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customFormat="false" ht="14.25" hidden="false" customHeight="true" outlineLevel="0" collapsed="false">
      <c r="A409" s="35"/>
      <c r="B409" s="36"/>
      <c r="C409" s="36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customFormat="false" ht="14.25" hidden="false" customHeight="true" outlineLevel="0" collapsed="false">
      <c r="A410" s="35"/>
      <c r="B410" s="36"/>
      <c r="C410" s="36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customFormat="false" ht="14.25" hidden="false" customHeight="true" outlineLevel="0" collapsed="false">
      <c r="A411" s="35"/>
      <c r="B411" s="36"/>
      <c r="C411" s="36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customFormat="false" ht="14.25" hidden="false" customHeight="true" outlineLevel="0" collapsed="false">
      <c r="A412" s="35"/>
      <c r="B412" s="36"/>
      <c r="C412" s="36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customFormat="false" ht="14.25" hidden="false" customHeight="true" outlineLevel="0" collapsed="false">
      <c r="A413" s="35"/>
      <c r="B413" s="36"/>
      <c r="C413" s="36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customFormat="false" ht="14.25" hidden="false" customHeight="true" outlineLevel="0" collapsed="false">
      <c r="A414" s="35"/>
      <c r="B414" s="36"/>
      <c r="C414" s="36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customFormat="false" ht="14.25" hidden="false" customHeight="true" outlineLevel="0" collapsed="false">
      <c r="A415" s="35"/>
      <c r="B415" s="36"/>
      <c r="C415" s="36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customFormat="false" ht="14.25" hidden="false" customHeight="true" outlineLevel="0" collapsed="false">
      <c r="A416" s="35"/>
      <c r="B416" s="36"/>
      <c r="C416" s="36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customFormat="false" ht="14.25" hidden="false" customHeight="true" outlineLevel="0" collapsed="false">
      <c r="A417" s="35"/>
      <c r="B417" s="36"/>
      <c r="C417" s="36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customFormat="false" ht="14.25" hidden="false" customHeight="true" outlineLevel="0" collapsed="false">
      <c r="A418" s="35"/>
      <c r="B418" s="36"/>
      <c r="C418" s="36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customFormat="false" ht="14.25" hidden="false" customHeight="true" outlineLevel="0" collapsed="false">
      <c r="A419" s="35"/>
      <c r="B419" s="36"/>
      <c r="C419" s="36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customFormat="false" ht="14.25" hidden="false" customHeight="true" outlineLevel="0" collapsed="false">
      <c r="A420" s="35"/>
      <c r="B420" s="36"/>
      <c r="C420" s="36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customFormat="false" ht="14.25" hidden="false" customHeight="true" outlineLevel="0" collapsed="false">
      <c r="A421" s="35"/>
      <c r="B421" s="36"/>
      <c r="C421" s="36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customFormat="false" ht="14.25" hidden="false" customHeight="true" outlineLevel="0" collapsed="false">
      <c r="A422" s="35"/>
      <c r="B422" s="36"/>
      <c r="C422" s="36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customFormat="false" ht="14.25" hidden="false" customHeight="true" outlineLevel="0" collapsed="false">
      <c r="A423" s="35"/>
      <c r="B423" s="36"/>
      <c r="C423" s="36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customFormat="false" ht="14.25" hidden="false" customHeight="true" outlineLevel="0" collapsed="false">
      <c r="A424" s="35"/>
      <c r="B424" s="36"/>
      <c r="C424" s="36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customFormat="false" ht="14.25" hidden="false" customHeight="true" outlineLevel="0" collapsed="false">
      <c r="A425" s="35"/>
      <c r="B425" s="36"/>
      <c r="C425" s="36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customFormat="false" ht="14.25" hidden="false" customHeight="true" outlineLevel="0" collapsed="false">
      <c r="A426" s="35"/>
      <c r="B426" s="36"/>
      <c r="C426" s="36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customFormat="false" ht="14.25" hidden="false" customHeight="true" outlineLevel="0" collapsed="false">
      <c r="A427" s="35"/>
      <c r="B427" s="36"/>
      <c r="C427" s="36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customFormat="false" ht="14.25" hidden="false" customHeight="true" outlineLevel="0" collapsed="false">
      <c r="A428" s="35"/>
      <c r="B428" s="36"/>
      <c r="C428" s="36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customFormat="false" ht="14.25" hidden="false" customHeight="true" outlineLevel="0" collapsed="false">
      <c r="A429" s="35"/>
      <c r="B429" s="36"/>
      <c r="C429" s="36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customFormat="false" ht="14.25" hidden="false" customHeight="true" outlineLevel="0" collapsed="false">
      <c r="A430" s="35"/>
      <c r="B430" s="36"/>
      <c r="C430" s="36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customFormat="false" ht="14.25" hidden="false" customHeight="true" outlineLevel="0" collapsed="false">
      <c r="A431" s="35"/>
      <c r="B431" s="36"/>
      <c r="C431" s="36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customFormat="false" ht="14.25" hidden="false" customHeight="true" outlineLevel="0" collapsed="false">
      <c r="A432" s="35"/>
      <c r="B432" s="36"/>
      <c r="C432" s="36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customFormat="false" ht="14.25" hidden="false" customHeight="true" outlineLevel="0" collapsed="false">
      <c r="A433" s="35"/>
      <c r="B433" s="36"/>
      <c r="C433" s="36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customFormat="false" ht="14.25" hidden="false" customHeight="true" outlineLevel="0" collapsed="false">
      <c r="A434" s="35"/>
      <c r="B434" s="36"/>
      <c r="C434" s="36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customFormat="false" ht="14.25" hidden="false" customHeight="true" outlineLevel="0" collapsed="false">
      <c r="A435" s="35"/>
      <c r="B435" s="36"/>
      <c r="C435" s="36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customFormat="false" ht="14.25" hidden="false" customHeight="true" outlineLevel="0" collapsed="false">
      <c r="A436" s="35"/>
      <c r="B436" s="36"/>
      <c r="C436" s="36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customFormat="false" ht="14.25" hidden="false" customHeight="true" outlineLevel="0" collapsed="false">
      <c r="A437" s="35"/>
      <c r="B437" s="36"/>
      <c r="C437" s="36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customFormat="false" ht="14.25" hidden="false" customHeight="true" outlineLevel="0" collapsed="false">
      <c r="A438" s="35"/>
      <c r="B438" s="36"/>
      <c r="C438" s="36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customFormat="false" ht="14.25" hidden="false" customHeight="true" outlineLevel="0" collapsed="false">
      <c r="A439" s="35"/>
      <c r="B439" s="36"/>
      <c r="C439" s="36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customFormat="false" ht="14.25" hidden="false" customHeight="true" outlineLevel="0" collapsed="false">
      <c r="A440" s="35"/>
      <c r="B440" s="36"/>
      <c r="C440" s="36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customFormat="false" ht="14.25" hidden="false" customHeight="true" outlineLevel="0" collapsed="false">
      <c r="A441" s="35"/>
      <c r="B441" s="36"/>
      <c r="C441" s="36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customFormat="false" ht="14.25" hidden="false" customHeight="true" outlineLevel="0" collapsed="false">
      <c r="A442" s="35"/>
      <c r="B442" s="36"/>
      <c r="C442" s="36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customFormat="false" ht="14.25" hidden="false" customHeight="true" outlineLevel="0" collapsed="false">
      <c r="A443" s="35"/>
      <c r="B443" s="36"/>
      <c r="C443" s="36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customFormat="false" ht="14.25" hidden="false" customHeight="true" outlineLevel="0" collapsed="false">
      <c r="A444" s="35"/>
      <c r="B444" s="36"/>
      <c r="C444" s="36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customFormat="false" ht="14.25" hidden="false" customHeight="true" outlineLevel="0" collapsed="false">
      <c r="A445" s="35"/>
      <c r="B445" s="36"/>
      <c r="C445" s="36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customFormat="false" ht="14.25" hidden="false" customHeight="true" outlineLevel="0" collapsed="false">
      <c r="A446" s="35"/>
      <c r="B446" s="36"/>
      <c r="C446" s="36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customFormat="false" ht="14.25" hidden="false" customHeight="true" outlineLevel="0" collapsed="false">
      <c r="A447" s="35"/>
      <c r="B447" s="36"/>
      <c r="C447" s="36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customFormat="false" ht="14.25" hidden="false" customHeight="true" outlineLevel="0" collapsed="false">
      <c r="A448" s="35"/>
      <c r="B448" s="36"/>
      <c r="C448" s="36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customFormat="false" ht="14.25" hidden="false" customHeight="true" outlineLevel="0" collapsed="false">
      <c r="A449" s="35"/>
      <c r="B449" s="36"/>
      <c r="C449" s="36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customFormat="false" ht="14.25" hidden="false" customHeight="true" outlineLevel="0" collapsed="false">
      <c r="A450" s="35"/>
      <c r="B450" s="36"/>
      <c r="C450" s="36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customFormat="false" ht="14.25" hidden="false" customHeight="true" outlineLevel="0" collapsed="false">
      <c r="A451" s="35"/>
      <c r="B451" s="36"/>
      <c r="C451" s="36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customFormat="false" ht="14.25" hidden="false" customHeight="true" outlineLevel="0" collapsed="false">
      <c r="A452" s="35"/>
      <c r="B452" s="36"/>
      <c r="C452" s="36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customFormat="false" ht="14.25" hidden="false" customHeight="true" outlineLevel="0" collapsed="false">
      <c r="A453" s="35"/>
      <c r="B453" s="36"/>
      <c r="C453" s="36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customFormat="false" ht="14.25" hidden="false" customHeight="true" outlineLevel="0" collapsed="false">
      <c r="A454" s="35"/>
      <c r="B454" s="36"/>
      <c r="C454" s="36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customFormat="false" ht="14.25" hidden="false" customHeight="true" outlineLevel="0" collapsed="false">
      <c r="A455" s="35"/>
      <c r="B455" s="36"/>
      <c r="C455" s="36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customFormat="false" ht="14.25" hidden="false" customHeight="true" outlineLevel="0" collapsed="false">
      <c r="A456" s="35"/>
      <c r="B456" s="36"/>
      <c r="C456" s="36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customFormat="false" ht="14.25" hidden="false" customHeight="true" outlineLevel="0" collapsed="false">
      <c r="A457" s="35"/>
      <c r="B457" s="36"/>
      <c r="C457" s="36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customFormat="false" ht="14.25" hidden="false" customHeight="true" outlineLevel="0" collapsed="false">
      <c r="A458" s="35"/>
      <c r="B458" s="36"/>
      <c r="C458" s="36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customFormat="false" ht="14.25" hidden="false" customHeight="true" outlineLevel="0" collapsed="false">
      <c r="A459" s="35"/>
      <c r="B459" s="36"/>
      <c r="C459" s="36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customFormat="false" ht="14.25" hidden="false" customHeight="true" outlineLevel="0" collapsed="false">
      <c r="A460" s="35"/>
      <c r="B460" s="36"/>
      <c r="C460" s="36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customFormat="false" ht="14.25" hidden="false" customHeight="true" outlineLevel="0" collapsed="false">
      <c r="A461" s="35"/>
      <c r="B461" s="36"/>
      <c r="C461" s="36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customFormat="false" ht="14.25" hidden="false" customHeight="true" outlineLevel="0" collapsed="false">
      <c r="A462" s="35"/>
      <c r="B462" s="36"/>
      <c r="C462" s="36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customFormat="false" ht="14.25" hidden="false" customHeight="true" outlineLevel="0" collapsed="false">
      <c r="A463" s="35"/>
      <c r="B463" s="36"/>
      <c r="C463" s="36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customFormat="false" ht="14.25" hidden="false" customHeight="true" outlineLevel="0" collapsed="false">
      <c r="A464" s="35"/>
      <c r="B464" s="36"/>
      <c r="C464" s="36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customFormat="false" ht="14.25" hidden="false" customHeight="true" outlineLevel="0" collapsed="false">
      <c r="A465" s="35"/>
      <c r="B465" s="36"/>
      <c r="C465" s="36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customFormat="false" ht="14.25" hidden="false" customHeight="true" outlineLevel="0" collapsed="false">
      <c r="A466" s="35"/>
      <c r="B466" s="36"/>
      <c r="C466" s="36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customFormat="false" ht="14.25" hidden="false" customHeight="true" outlineLevel="0" collapsed="false">
      <c r="A467" s="35"/>
      <c r="B467" s="36"/>
      <c r="C467" s="36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customFormat="false" ht="14.25" hidden="false" customHeight="true" outlineLevel="0" collapsed="false">
      <c r="A468" s="35"/>
      <c r="B468" s="36"/>
      <c r="C468" s="36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customFormat="false" ht="14.25" hidden="false" customHeight="true" outlineLevel="0" collapsed="false">
      <c r="A469" s="35"/>
      <c r="B469" s="36"/>
      <c r="C469" s="36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customFormat="false" ht="14.25" hidden="false" customHeight="true" outlineLevel="0" collapsed="false">
      <c r="A470" s="35"/>
      <c r="B470" s="36"/>
      <c r="C470" s="36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customFormat="false" ht="14.25" hidden="false" customHeight="true" outlineLevel="0" collapsed="false">
      <c r="A471" s="35"/>
      <c r="B471" s="36"/>
      <c r="C471" s="36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customFormat="false" ht="14.25" hidden="false" customHeight="true" outlineLevel="0" collapsed="false">
      <c r="A472" s="35"/>
      <c r="B472" s="36"/>
      <c r="C472" s="36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customFormat="false" ht="14.25" hidden="false" customHeight="true" outlineLevel="0" collapsed="false">
      <c r="A473" s="35"/>
      <c r="B473" s="36"/>
      <c r="C473" s="36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customFormat="false" ht="14.25" hidden="false" customHeight="true" outlineLevel="0" collapsed="false">
      <c r="A474" s="35"/>
      <c r="B474" s="36"/>
      <c r="C474" s="36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customFormat="false" ht="14.25" hidden="false" customHeight="true" outlineLevel="0" collapsed="false">
      <c r="A475" s="35"/>
      <c r="B475" s="36"/>
      <c r="C475" s="36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customFormat="false" ht="14.25" hidden="false" customHeight="true" outlineLevel="0" collapsed="false">
      <c r="A476" s="35"/>
      <c r="B476" s="36"/>
      <c r="C476" s="36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customFormat="false" ht="14.25" hidden="false" customHeight="true" outlineLevel="0" collapsed="false">
      <c r="A477" s="35"/>
      <c r="B477" s="36"/>
      <c r="C477" s="36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customFormat="false" ht="14.25" hidden="false" customHeight="true" outlineLevel="0" collapsed="false">
      <c r="A478" s="35"/>
      <c r="B478" s="36"/>
      <c r="C478" s="36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customFormat="false" ht="14.25" hidden="false" customHeight="true" outlineLevel="0" collapsed="false">
      <c r="A479" s="35"/>
      <c r="B479" s="36"/>
      <c r="C479" s="36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customFormat="false" ht="14.25" hidden="false" customHeight="true" outlineLevel="0" collapsed="false">
      <c r="A480" s="35"/>
      <c r="B480" s="36"/>
      <c r="C480" s="36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customFormat="false" ht="14.25" hidden="false" customHeight="true" outlineLevel="0" collapsed="false">
      <c r="A481" s="35"/>
      <c r="B481" s="36"/>
      <c r="C481" s="36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customFormat="false" ht="14.25" hidden="false" customHeight="true" outlineLevel="0" collapsed="false">
      <c r="A482" s="35"/>
      <c r="B482" s="36"/>
      <c r="C482" s="36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customFormat="false" ht="14.25" hidden="false" customHeight="true" outlineLevel="0" collapsed="false">
      <c r="A483" s="35"/>
      <c r="B483" s="36"/>
      <c r="C483" s="36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customFormat="false" ht="14.25" hidden="false" customHeight="true" outlineLevel="0" collapsed="false">
      <c r="A484" s="35"/>
      <c r="B484" s="36"/>
      <c r="C484" s="36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customFormat="false" ht="14.25" hidden="false" customHeight="true" outlineLevel="0" collapsed="false">
      <c r="A485" s="35"/>
      <c r="B485" s="36"/>
      <c r="C485" s="36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customFormat="false" ht="14.25" hidden="false" customHeight="true" outlineLevel="0" collapsed="false">
      <c r="A486" s="35"/>
      <c r="B486" s="36"/>
      <c r="C486" s="36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customFormat="false" ht="14.25" hidden="false" customHeight="true" outlineLevel="0" collapsed="false">
      <c r="A487" s="35"/>
      <c r="B487" s="36"/>
      <c r="C487" s="36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customFormat="false" ht="14.25" hidden="false" customHeight="true" outlineLevel="0" collapsed="false">
      <c r="A488" s="35"/>
      <c r="B488" s="36"/>
      <c r="C488" s="36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customFormat="false" ht="14.25" hidden="false" customHeight="true" outlineLevel="0" collapsed="false">
      <c r="A489" s="35"/>
      <c r="B489" s="36"/>
      <c r="C489" s="36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customFormat="false" ht="14.25" hidden="false" customHeight="true" outlineLevel="0" collapsed="false">
      <c r="A490" s="35"/>
      <c r="B490" s="36"/>
      <c r="C490" s="36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customFormat="false" ht="14.25" hidden="false" customHeight="true" outlineLevel="0" collapsed="false">
      <c r="A491" s="35"/>
      <c r="B491" s="36"/>
      <c r="C491" s="36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customFormat="false" ht="14.25" hidden="false" customHeight="true" outlineLevel="0" collapsed="false">
      <c r="A492" s="35"/>
      <c r="B492" s="36"/>
      <c r="C492" s="36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customFormat="false" ht="14.25" hidden="false" customHeight="true" outlineLevel="0" collapsed="false">
      <c r="A493" s="35"/>
      <c r="B493" s="36"/>
      <c r="C493" s="36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customFormat="false" ht="14.25" hidden="false" customHeight="true" outlineLevel="0" collapsed="false">
      <c r="A494" s="35"/>
      <c r="B494" s="36"/>
      <c r="C494" s="36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customFormat="false" ht="14.25" hidden="false" customHeight="true" outlineLevel="0" collapsed="false">
      <c r="A495" s="35"/>
      <c r="B495" s="36"/>
      <c r="C495" s="36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customFormat="false" ht="14.25" hidden="false" customHeight="true" outlineLevel="0" collapsed="false">
      <c r="A496" s="35"/>
      <c r="B496" s="36"/>
      <c r="C496" s="36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customFormat="false" ht="14.25" hidden="false" customHeight="true" outlineLevel="0" collapsed="false">
      <c r="A497" s="35"/>
      <c r="B497" s="36"/>
      <c r="C497" s="36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customFormat="false" ht="14.25" hidden="false" customHeight="true" outlineLevel="0" collapsed="false">
      <c r="A498" s="35"/>
      <c r="B498" s="36"/>
      <c r="C498" s="36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customFormat="false" ht="14.25" hidden="false" customHeight="true" outlineLevel="0" collapsed="false">
      <c r="A499" s="35"/>
      <c r="B499" s="36"/>
      <c r="C499" s="36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customFormat="false" ht="14.25" hidden="false" customHeight="true" outlineLevel="0" collapsed="false">
      <c r="A500" s="35"/>
      <c r="B500" s="36"/>
      <c r="C500" s="36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customFormat="false" ht="14.25" hidden="false" customHeight="true" outlineLevel="0" collapsed="false">
      <c r="A501" s="35"/>
      <c r="B501" s="36"/>
      <c r="C501" s="36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customFormat="false" ht="14.25" hidden="false" customHeight="true" outlineLevel="0" collapsed="false">
      <c r="A502" s="35"/>
      <c r="B502" s="36"/>
      <c r="C502" s="36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customFormat="false" ht="14.25" hidden="false" customHeight="true" outlineLevel="0" collapsed="false">
      <c r="A503" s="35"/>
      <c r="B503" s="36"/>
      <c r="C503" s="36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customFormat="false" ht="14.25" hidden="false" customHeight="true" outlineLevel="0" collapsed="false">
      <c r="A504" s="35"/>
      <c r="B504" s="36"/>
      <c r="C504" s="36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customFormat="false" ht="14.25" hidden="false" customHeight="true" outlineLevel="0" collapsed="false">
      <c r="A505" s="35"/>
      <c r="B505" s="36"/>
      <c r="C505" s="36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customFormat="false" ht="14.25" hidden="false" customHeight="true" outlineLevel="0" collapsed="false">
      <c r="A506" s="35"/>
      <c r="B506" s="36"/>
      <c r="C506" s="36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customFormat="false" ht="14.25" hidden="false" customHeight="true" outlineLevel="0" collapsed="false">
      <c r="A507" s="35"/>
      <c r="B507" s="36"/>
      <c r="C507" s="36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customFormat="false" ht="14.25" hidden="false" customHeight="true" outlineLevel="0" collapsed="false">
      <c r="A508" s="35"/>
      <c r="B508" s="36"/>
      <c r="C508" s="36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customFormat="false" ht="14.25" hidden="false" customHeight="true" outlineLevel="0" collapsed="false">
      <c r="A509" s="35"/>
      <c r="B509" s="36"/>
      <c r="C509" s="36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customFormat="false" ht="14.25" hidden="false" customHeight="true" outlineLevel="0" collapsed="false">
      <c r="A510" s="35"/>
      <c r="B510" s="36"/>
      <c r="C510" s="36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customFormat="false" ht="14.25" hidden="false" customHeight="true" outlineLevel="0" collapsed="false">
      <c r="A511" s="35"/>
      <c r="B511" s="36"/>
      <c r="C511" s="36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customFormat="false" ht="14.25" hidden="false" customHeight="true" outlineLevel="0" collapsed="false">
      <c r="A512" s="35"/>
      <c r="B512" s="36"/>
      <c r="C512" s="36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customFormat="false" ht="14.25" hidden="false" customHeight="true" outlineLevel="0" collapsed="false">
      <c r="A513" s="35"/>
      <c r="B513" s="36"/>
      <c r="C513" s="36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customFormat="false" ht="14.25" hidden="false" customHeight="true" outlineLevel="0" collapsed="false">
      <c r="A514" s="35"/>
      <c r="B514" s="36"/>
      <c r="C514" s="36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customFormat="false" ht="14.25" hidden="false" customHeight="true" outlineLevel="0" collapsed="false">
      <c r="A515" s="35"/>
      <c r="B515" s="36"/>
      <c r="C515" s="36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customFormat="false" ht="14.25" hidden="false" customHeight="true" outlineLevel="0" collapsed="false">
      <c r="A516" s="35"/>
      <c r="B516" s="36"/>
      <c r="C516" s="36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customFormat="false" ht="14.25" hidden="false" customHeight="true" outlineLevel="0" collapsed="false">
      <c r="A517" s="35"/>
      <c r="B517" s="36"/>
      <c r="C517" s="36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customFormat="false" ht="14.25" hidden="false" customHeight="true" outlineLevel="0" collapsed="false">
      <c r="A518" s="35"/>
      <c r="B518" s="36"/>
      <c r="C518" s="36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customFormat="false" ht="14.25" hidden="false" customHeight="true" outlineLevel="0" collapsed="false">
      <c r="A519" s="35"/>
      <c r="B519" s="36"/>
      <c r="C519" s="36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customFormat="false" ht="14.25" hidden="false" customHeight="true" outlineLevel="0" collapsed="false">
      <c r="A520" s="35"/>
      <c r="B520" s="36"/>
      <c r="C520" s="36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customFormat="false" ht="14.25" hidden="false" customHeight="true" outlineLevel="0" collapsed="false">
      <c r="A521" s="35"/>
      <c r="B521" s="36"/>
      <c r="C521" s="36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customFormat="false" ht="14.25" hidden="false" customHeight="true" outlineLevel="0" collapsed="false">
      <c r="A522" s="35"/>
      <c r="B522" s="36"/>
      <c r="C522" s="36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customFormat="false" ht="14.25" hidden="false" customHeight="true" outlineLevel="0" collapsed="false">
      <c r="A523" s="35"/>
      <c r="B523" s="36"/>
      <c r="C523" s="36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customFormat="false" ht="14.25" hidden="false" customHeight="true" outlineLevel="0" collapsed="false">
      <c r="A524" s="35"/>
      <c r="B524" s="36"/>
      <c r="C524" s="36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customFormat="false" ht="14.25" hidden="false" customHeight="true" outlineLevel="0" collapsed="false">
      <c r="A525" s="35"/>
      <c r="B525" s="36"/>
      <c r="C525" s="36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customFormat="false" ht="14.25" hidden="false" customHeight="true" outlineLevel="0" collapsed="false">
      <c r="A526" s="35"/>
      <c r="B526" s="36"/>
      <c r="C526" s="36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customFormat="false" ht="14.25" hidden="false" customHeight="true" outlineLevel="0" collapsed="false">
      <c r="A527" s="35"/>
      <c r="B527" s="36"/>
      <c r="C527" s="36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customFormat="false" ht="14.25" hidden="false" customHeight="true" outlineLevel="0" collapsed="false">
      <c r="A528" s="35"/>
      <c r="B528" s="36"/>
      <c r="C528" s="36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customFormat="false" ht="14.25" hidden="false" customHeight="true" outlineLevel="0" collapsed="false">
      <c r="A529" s="35"/>
      <c r="B529" s="36"/>
      <c r="C529" s="36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customFormat="false" ht="14.25" hidden="false" customHeight="true" outlineLevel="0" collapsed="false">
      <c r="A530" s="35"/>
      <c r="B530" s="36"/>
      <c r="C530" s="36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customFormat="false" ht="14.25" hidden="false" customHeight="true" outlineLevel="0" collapsed="false">
      <c r="A531" s="35"/>
      <c r="B531" s="36"/>
      <c r="C531" s="36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customFormat="false" ht="14.25" hidden="false" customHeight="true" outlineLevel="0" collapsed="false">
      <c r="A532" s="35"/>
      <c r="B532" s="36"/>
      <c r="C532" s="36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customFormat="false" ht="14.25" hidden="false" customHeight="true" outlineLevel="0" collapsed="false">
      <c r="A533" s="35"/>
      <c r="B533" s="36"/>
      <c r="C533" s="36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customFormat="false" ht="14.25" hidden="false" customHeight="true" outlineLevel="0" collapsed="false">
      <c r="A534" s="35"/>
      <c r="B534" s="36"/>
      <c r="C534" s="36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customFormat="false" ht="14.25" hidden="false" customHeight="true" outlineLevel="0" collapsed="false">
      <c r="A535" s="35"/>
      <c r="B535" s="36"/>
      <c r="C535" s="36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customFormat="false" ht="14.25" hidden="false" customHeight="true" outlineLevel="0" collapsed="false">
      <c r="A536" s="35"/>
      <c r="B536" s="36"/>
      <c r="C536" s="36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customFormat="false" ht="14.25" hidden="false" customHeight="true" outlineLevel="0" collapsed="false">
      <c r="A537" s="35"/>
      <c r="B537" s="36"/>
      <c r="C537" s="36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customFormat="false" ht="14.25" hidden="false" customHeight="true" outlineLevel="0" collapsed="false">
      <c r="A538" s="35"/>
      <c r="B538" s="36"/>
      <c r="C538" s="36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customFormat="false" ht="14.25" hidden="false" customHeight="true" outlineLevel="0" collapsed="false">
      <c r="A539" s="35"/>
      <c r="B539" s="36"/>
      <c r="C539" s="36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customFormat="false" ht="14.25" hidden="false" customHeight="true" outlineLevel="0" collapsed="false">
      <c r="A540" s="35"/>
      <c r="B540" s="36"/>
      <c r="C540" s="36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customFormat="false" ht="14.25" hidden="false" customHeight="true" outlineLevel="0" collapsed="false">
      <c r="A541" s="35"/>
      <c r="B541" s="36"/>
      <c r="C541" s="36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customFormat="false" ht="14.25" hidden="false" customHeight="true" outlineLevel="0" collapsed="false">
      <c r="A542" s="35"/>
      <c r="B542" s="36"/>
      <c r="C542" s="36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customFormat="false" ht="14.25" hidden="false" customHeight="true" outlineLevel="0" collapsed="false">
      <c r="A543" s="35"/>
      <c r="B543" s="36"/>
      <c r="C543" s="36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customFormat="false" ht="14.25" hidden="false" customHeight="true" outlineLevel="0" collapsed="false">
      <c r="A544" s="35"/>
      <c r="B544" s="36"/>
      <c r="C544" s="36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customFormat="false" ht="14.25" hidden="false" customHeight="true" outlineLevel="0" collapsed="false">
      <c r="A545" s="35"/>
      <c r="B545" s="36"/>
      <c r="C545" s="36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customFormat="false" ht="14.25" hidden="false" customHeight="true" outlineLevel="0" collapsed="false">
      <c r="A546" s="35"/>
      <c r="B546" s="36"/>
      <c r="C546" s="36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customFormat="false" ht="14.25" hidden="false" customHeight="true" outlineLevel="0" collapsed="false">
      <c r="A547" s="35"/>
      <c r="B547" s="36"/>
      <c r="C547" s="36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customFormat="false" ht="14.25" hidden="false" customHeight="true" outlineLevel="0" collapsed="false">
      <c r="A548" s="35"/>
      <c r="B548" s="36"/>
      <c r="C548" s="36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customFormat="false" ht="14.25" hidden="false" customHeight="true" outlineLevel="0" collapsed="false">
      <c r="A549" s="35"/>
      <c r="B549" s="36"/>
      <c r="C549" s="36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customFormat="false" ht="14.25" hidden="false" customHeight="true" outlineLevel="0" collapsed="false">
      <c r="A550" s="35"/>
      <c r="B550" s="36"/>
      <c r="C550" s="36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customFormat="false" ht="14.25" hidden="false" customHeight="true" outlineLevel="0" collapsed="false">
      <c r="A551" s="35"/>
      <c r="B551" s="36"/>
      <c r="C551" s="36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customFormat="false" ht="14.25" hidden="false" customHeight="true" outlineLevel="0" collapsed="false">
      <c r="A552" s="35"/>
      <c r="B552" s="36"/>
      <c r="C552" s="36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customFormat="false" ht="14.25" hidden="false" customHeight="true" outlineLevel="0" collapsed="false">
      <c r="A553" s="35"/>
      <c r="B553" s="36"/>
      <c r="C553" s="36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customFormat="false" ht="14.25" hidden="false" customHeight="true" outlineLevel="0" collapsed="false">
      <c r="A554" s="35"/>
      <c r="B554" s="36"/>
      <c r="C554" s="36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customFormat="false" ht="14.25" hidden="false" customHeight="true" outlineLevel="0" collapsed="false">
      <c r="A555" s="35"/>
      <c r="B555" s="36"/>
      <c r="C555" s="36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customFormat="false" ht="14.25" hidden="false" customHeight="true" outlineLevel="0" collapsed="false">
      <c r="A556" s="35"/>
      <c r="B556" s="36"/>
      <c r="C556" s="36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customFormat="false" ht="14.25" hidden="false" customHeight="true" outlineLevel="0" collapsed="false">
      <c r="A557" s="35"/>
      <c r="B557" s="36"/>
      <c r="C557" s="36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customFormat="false" ht="14.25" hidden="false" customHeight="true" outlineLevel="0" collapsed="false">
      <c r="A558" s="35"/>
      <c r="B558" s="36"/>
      <c r="C558" s="36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customFormat="false" ht="14.25" hidden="false" customHeight="true" outlineLevel="0" collapsed="false">
      <c r="A559" s="35"/>
      <c r="B559" s="36"/>
      <c r="C559" s="36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customFormat="false" ht="14.25" hidden="false" customHeight="true" outlineLevel="0" collapsed="false">
      <c r="A560" s="35"/>
      <c r="B560" s="36"/>
      <c r="C560" s="36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customFormat="false" ht="14.25" hidden="false" customHeight="true" outlineLevel="0" collapsed="false">
      <c r="A561" s="35"/>
      <c r="B561" s="36"/>
      <c r="C561" s="36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customFormat="false" ht="14.25" hidden="false" customHeight="true" outlineLevel="0" collapsed="false">
      <c r="A562" s="35"/>
      <c r="B562" s="36"/>
      <c r="C562" s="36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customFormat="false" ht="14.25" hidden="false" customHeight="true" outlineLevel="0" collapsed="false">
      <c r="A563" s="35"/>
      <c r="B563" s="36"/>
      <c r="C563" s="36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customFormat="false" ht="14.25" hidden="false" customHeight="true" outlineLevel="0" collapsed="false">
      <c r="A564" s="35"/>
      <c r="B564" s="36"/>
      <c r="C564" s="36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customFormat="false" ht="14.25" hidden="false" customHeight="true" outlineLevel="0" collapsed="false">
      <c r="A565" s="35"/>
      <c r="B565" s="36"/>
      <c r="C565" s="36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customFormat="false" ht="14.25" hidden="false" customHeight="true" outlineLevel="0" collapsed="false">
      <c r="A566" s="35"/>
      <c r="B566" s="36"/>
      <c r="C566" s="36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customFormat="false" ht="14.25" hidden="false" customHeight="true" outlineLevel="0" collapsed="false">
      <c r="A567" s="35"/>
      <c r="B567" s="36"/>
      <c r="C567" s="36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customFormat="false" ht="14.25" hidden="false" customHeight="true" outlineLevel="0" collapsed="false">
      <c r="A568" s="35"/>
      <c r="B568" s="36"/>
      <c r="C568" s="36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customFormat="false" ht="14.25" hidden="false" customHeight="true" outlineLevel="0" collapsed="false">
      <c r="A569" s="35"/>
      <c r="B569" s="36"/>
      <c r="C569" s="36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customFormat="false" ht="14.25" hidden="false" customHeight="true" outlineLevel="0" collapsed="false">
      <c r="A570" s="35"/>
      <c r="B570" s="36"/>
      <c r="C570" s="36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customFormat="false" ht="14.25" hidden="false" customHeight="true" outlineLevel="0" collapsed="false">
      <c r="A571" s="35"/>
      <c r="B571" s="36"/>
      <c r="C571" s="36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customFormat="false" ht="14.25" hidden="false" customHeight="true" outlineLevel="0" collapsed="false">
      <c r="A572" s="35"/>
      <c r="B572" s="36"/>
      <c r="C572" s="36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customFormat="false" ht="14.25" hidden="false" customHeight="true" outlineLevel="0" collapsed="false">
      <c r="A573" s="35"/>
      <c r="B573" s="36"/>
      <c r="C573" s="36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customFormat="false" ht="14.25" hidden="false" customHeight="true" outlineLevel="0" collapsed="false">
      <c r="A574" s="35"/>
      <c r="B574" s="36"/>
      <c r="C574" s="36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customFormat="false" ht="14.25" hidden="false" customHeight="true" outlineLevel="0" collapsed="false">
      <c r="A575" s="35"/>
      <c r="B575" s="36"/>
      <c r="C575" s="36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customFormat="false" ht="14.25" hidden="false" customHeight="true" outlineLevel="0" collapsed="false">
      <c r="A576" s="35"/>
      <c r="B576" s="36"/>
      <c r="C576" s="36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customFormat="false" ht="14.25" hidden="false" customHeight="true" outlineLevel="0" collapsed="false">
      <c r="A577" s="35"/>
      <c r="B577" s="36"/>
      <c r="C577" s="36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customFormat="false" ht="14.25" hidden="false" customHeight="true" outlineLevel="0" collapsed="false">
      <c r="A578" s="35"/>
      <c r="B578" s="36"/>
      <c r="C578" s="36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customFormat="false" ht="14.25" hidden="false" customHeight="true" outlineLevel="0" collapsed="false">
      <c r="A579" s="35"/>
      <c r="B579" s="36"/>
      <c r="C579" s="36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customFormat="false" ht="14.25" hidden="false" customHeight="true" outlineLevel="0" collapsed="false">
      <c r="A580" s="35"/>
      <c r="B580" s="36"/>
      <c r="C580" s="36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customFormat="false" ht="14.25" hidden="false" customHeight="true" outlineLevel="0" collapsed="false">
      <c r="A581" s="35"/>
      <c r="B581" s="36"/>
      <c r="C581" s="36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customFormat="false" ht="14.25" hidden="false" customHeight="true" outlineLevel="0" collapsed="false">
      <c r="A582" s="35"/>
      <c r="B582" s="36"/>
      <c r="C582" s="36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customFormat="false" ht="14.25" hidden="false" customHeight="true" outlineLevel="0" collapsed="false">
      <c r="A583" s="35"/>
      <c r="B583" s="36"/>
      <c r="C583" s="36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customFormat="false" ht="14.25" hidden="false" customHeight="true" outlineLevel="0" collapsed="false">
      <c r="A584" s="35"/>
      <c r="B584" s="36"/>
      <c r="C584" s="36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customFormat="false" ht="14.25" hidden="false" customHeight="true" outlineLevel="0" collapsed="false">
      <c r="A585" s="35"/>
      <c r="B585" s="36"/>
      <c r="C585" s="36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customFormat="false" ht="14.25" hidden="false" customHeight="true" outlineLevel="0" collapsed="false">
      <c r="A586" s="35"/>
      <c r="B586" s="36"/>
      <c r="C586" s="36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customFormat="false" ht="14.25" hidden="false" customHeight="true" outlineLevel="0" collapsed="false">
      <c r="A587" s="35"/>
      <c r="B587" s="36"/>
      <c r="C587" s="36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customFormat="false" ht="14.25" hidden="false" customHeight="true" outlineLevel="0" collapsed="false">
      <c r="A588" s="35"/>
      <c r="B588" s="36"/>
      <c r="C588" s="36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customFormat="false" ht="14.25" hidden="false" customHeight="true" outlineLevel="0" collapsed="false">
      <c r="A589" s="35"/>
      <c r="B589" s="36"/>
      <c r="C589" s="36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customFormat="false" ht="14.25" hidden="false" customHeight="true" outlineLevel="0" collapsed="false">
      <c r="A590" s="35"/>
      <c r="B590" s="36"/>
      <c r="C590" s="36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customFormat="false" ht="14.25" hidden="false" customHeight="true" outlineLevel="0" collapsed="false">
      <c r="A591" s="35"/>
      <c r="B591" s="36"/>
      <c r="C591" s="36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customFormat="false" ht="14.25" hidden="false" customHeight="true" outlineLevel="0" collapsed="false">
      <c r="A592" s="35"/>
      <c r="B592" s="36"/>
      <c r="C592" s="36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customFormat="false" ht="14.25" hidden="false" customHeight="true" outlineLevel="0" collapsed="false">
      <c r="A593" s="35"/>
      <c r="B593" s="36"/>
      <c r="C593" s="36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customFormat="false" ht="14.25" hidden="false" customHeight="true" outlineLevel="0" collapsed="false">
      <c r="A594" s="35"/>
      <c r="B594" s="36"/>
      <c r="C594" s="36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customFormat="false" ht="14.25" hidden="false" customHeight="true" outlineLevel="0" collapsed="false">
      <c r="A595" s="35"/>
      <c r="B595" s="36"/>
      <c r="C595" s="36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customFormat="false" ht="14.25" hidden="false" customHeight="true" outlineLevel="0" collapsed="false">
      <c r="A596" s="35"/>
      <c r="B596" s="36"/>
      <c r="C596" s="36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customFormat="false" ht="14.25" hidden="false" customHeight="true" outlineLevel="0" collapsed="false">
      <c r="A597" s="35"/>
      <c r="B597" s="36"/>
      <c r="C597" s="36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customFormat="false" ht="14.25" hidden="false" customHeight="true" outlineLevel="0" collapsed="false">
      <c r="A598" s="35"/>
      <c r="B598" s="36"/>
      <c r="C598" s="36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customFormat="false" ht="14.25" hidden="false" customHeight="true" outlineLevel="0" collapsed="false">
      <c r="A599" s="35"/>
      <c r="B599" s="36"/>
      <c r="C599" s="36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customFormat="false" ht="14.25" hidden="false" customHeight="true" outlineLevel="0" collapsed="false">
      <c r="A600" s="35"/>
      <c r="B600" s="36"/>
      <c r="C600" s="36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customFormat="false" ht="14.25" hidden="false" customHeight="true" outlineLevel="0" collapsed="false">
      <c r="A601" s="35"/>
      <c r="B601" s="36"/>
      <c r="C601" s="36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customFormat="false" ht="14.25" hidden="false" customHeight="true" outlineLevel="0" collapsed="false">
      <c r="A602" s="35"/>
      <c r="B602" s="36"/>
      <c r="C602" s="36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customFormat="false" ht="14.25" hidden="false" customHeight="true" outlineLevel="0" collapsed="false">
      <c r="A603" s="35"/>
      <c r="B603" s="36"/>
      <c r="C603" s="36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customFormat="false" ht="14.25" hidden="false" customHeight="true" outlineLevel="0" collapsed="false">
      <c r="A604" s="35"/>
      <c r="B604" s="36"/>
      <c r="C604" s="36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customFormat="false" ht="14.25" hidden="false" customHeight="true" outlineLevel="0" collapsed="false">
      <c r="A605" s="35"/>
      <c r="B605" s="36"/>
      <c r="C605" s="36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customFormat="false" ht="14.25" hidden="false" customHeight="true" outlineLevel="0" collapsed="false">
      <c r="A606" s="35"/>
      <c r="B606" s="36"/>
      <c r="C606" s="36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customFormat="false" ht="14.25" hidden="false" customHeight="true" outlineLevel="0" collapsed="false">
      <c r="A607" s="35"/>
      <c r="B607" s="36"/>
      <c r="C607" s="36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customFormat="false" ht="14.25" hidden="false" customHeight="true" outlineLevel="0" collapsed="false">
      <c r="A608" s="35"/>
      <c r="B608" s="36"/>
      <c r="C608" s="36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customFormat="false" ht="14.25" hidden="false" customHeight="true" outlineLevel="0" collapsed="false">
      <c r="A609" s="35"/>
      <c r="B609" s="36"/>
      <c r="C609" s="36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customFormat="false" ht="14.25" hidden="false" customHeight="true" outlineLevel="0" collapsed="false">
      <c r="A610" s="35"/>
      <c r="B610" s="36"/>
      <c r="C610" s="36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customFormat="false" ht="14.25" hidden="false" customHeight="true" outlineLevel="0" collapsed="false">
      <c r="A611" s="35"/>
      <c r="B611" s="36"/>
      <c r="C611" s="36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customFormat="false" ht="14.25" hidden="false" customHeight="true" outlineLevel="0" collapsed="false">
      <c r="A612" s="35"/>
      <c r="B612" s="36"/>
      <c r="C612" s="36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customFormat="false" ht="14.25" hidden="false" customHeight="true" outlineLevel="0" collapsed="false">
      <c r="A613" s="35"/>
      <c r="B613" s="36"/>
      <c r="C613" s="36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customFormat="false" ht="14.25" hidden="false" customHeight="true" outlineLevel="0" collapsed="false">
      <c r="A614" s="35"/>
      <c r="B614" s="36"/>
      <c r="C614" s="36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customFormat="false" ht="14.25" hidden="false" customHeight="true" outlineLevel="0" collapsed="false">
      <c r="A615" s="35"/>
      <c r="B615" s="36"/>
      <c r="C615" s="36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customFormat="false" ht="14.25" hidden="false" customHeight="true" outlineLevel="0" collapsed="false">
      <c r="A616" s="35"/>
      <c r="B616" s="36"/>
      <c r="C616" s="36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customFormat="false" ht="14.25" hidden="false" customHeight="true" outlineLevel="0" collapsed="false">
      <c r="A617" s="35"/>
      <c r="B617" s="36"/>
      <c r="C617" s="36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customFormat="false" ht="14.25" hidden="false" customHeight="true" outlineLevel="0" collapsed="false">
      <c r="A618" s="35"/>
      <c r="B618" s="36"/>
      <c r="C618" s="36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customFormat="false" ht="14.25" hidden="false" customHeight="true" outlineLevel="0" collapsed="false">
      <c r="A619" s="35"/>
      <c r="B619" s="36"/>
      <c r="C619" s="36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customFormat="false" ht="14.25" hidden="false" customHeight="true" outlineLevel="0" collapsed="false">
      <c r="A620" s="35"/>
      <c r="B620" s="36"/>
      <c r="C620" s="36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customFormat="false" ht="14.25" hidden="false" customHeight="true" outlineLevel="0" collapsed="false">
      <c r="A621" s="35"/>
      <c r="B621" s="36"/>
      <c r="C621" s="36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customFormat="false" ht="14.25" hidden="false" customHeight="true" outlineLevel="0" collapsed="false">
      <c r="A622" s="35"/>
      <c r="B622" s="36"/>
      <c r="C622" s="36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customFormat="false" ht="14.25" hidden="false" customHeight="true" outlineLevel="0" collapsed="false">
      <c r="A623" s="35"/>
      <c r="B623" s="36"/>
      <c r="C623" s="36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customFormat="false" ht="14.25" hidden="false" customHeight="true" outlineLevel="0" collapsed="false">
      <c r="A624" s="35"/>
      <c r="B624" s="36"/>
      <c r="C624" s="36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customFormat="false" ht="14.25" hidden="false" customHeight="true" outlineLevel="0" collapsed="false">
      <c r="A625" s="35"/>
      <c r="B625" s="36"/>
      <c r="C625" s="36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customFormat="false" ht="14.25" hidden="false" customHeight="true" outlineLevel="0" collapsed="false">
      <c r="A626" s="35"/>
      <c r="B626" s="36"/>
      <c r="C626" s="36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customFormat="false" ht="14.25" hidden="false" customHeight="true" outlineLevel="0" collapsed="false">
      <c r="A627" s="35"/>
      <c r="B627" s="36"/>
      <c r="C627" s="36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customFormat="false" ht="14.25" hidden="false" customHeight="true" outlineLevel="0" collapsed="false">
      <c r="A628" s="35"/>
      <c r="B628" s="36"/>
      <c r="C628" s="36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customFormat="false" ht="14.25" hidden="false" customHeight="true" outlineLevel="0" collapsed="false">
      <c r="A629" s="35"/>
      <c r="B629" s="36"/>
      <c r="C629" s="36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customFormat="false" ht="14.25" hidden="false" customHeight="true" outlineLevel="0" collapsed="false">
      <c r="A630" s="35"/>
      <c r="B630" s="36"/>
      <c r="C630" s="36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customFormat="false" ht="14.25" hidden="false" customHeight="true" outlineLevel="0" collapsed="false">
      <c r="A631" s="35"/>
      <c r="B631" s="36"/>
      <c r="C631" s="36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customFormat="false" ht="14.25" hidden="false" customHeight="true" outlineLevel="0" collapsed="false">
      <c r="A632" s="35"/>
      <c r="B632" s="36"/>
      <c r="C632" s="36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customFormat="false" ht="14.25" hidden="false" customHeight="true" outlineLevel="0" collapsed="false">
      <c r="A633" s="35"/>
      <c r="B633" s="36"/>
      <c r="C633" s="36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customFormat="false" ht="14.25" hidden="false" customHeight="true" outlineLevel="0" collapsed="false">
      <c r="A634" s="35"/>
      <c r="B634" s="36"/>
      <c r="C634" s="36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customFormat="false" ht="14.25" hidden="false" customHeight="true" outlineLevel="0" collapsed="false">
      <c r="A635" s="35"/>
      <c r="B635" s="36"/>
      <c r="C635" s="36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customFormat="false" ht="14.25" hidden="false" customHeight="true" outlineLevel="0" collapsed="false">
      <c r="A636" s="35"/>
      <c r="B636" s="36"/>
      <c r="C636" s="36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customFormat="false" ht="14.25" hidden="false" customHeight="true" outlineLevel="0" collapsed="false">
      <c r="A637" s="35"/>
      <c r="B637" s="36"/>
      <c r="C637" s="36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customFormat="false" ht="14.25" hidden="false" customHeight="true" outlineLevel="0" collapsed="false">
      <c r="A638" s="35"/>
      <c r="B638" s="36"/>
      <c r="C638" s="36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customFormat="false" ht="14.25" hidden="false" customHeight="true" outlineLevel="0" collapsed="false">
      <c r="A639" s="35"/>
      <c r="B639" s="36"/>
      <c r="C639" s="36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customFormat="false" ht="14.25" hidden="false" customHeight="true" outlineLevel="0" collapsed="false">
      <c r="A640" s="35"/>
      <c r="B640" s="36"/>
      <c r="C640" s="36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customFormat="false" ht="14.25" hidden="false" customHeight="true" outlineLevel="0" collapsed="false">
      <c r="A641" s="35"/>
      <c r="B641" s="36"/>
      <c r="C641" s="36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customFormat="false" ht="14.25" hidden="false" customHeight="true" outlineLevel="0" collapsed="false">
      <c r="A642" s="35"/>
      <c r="B642" s="36"/>
      <c r="C642" s="36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customFormat="false" ht="14.25" hidden="false" customHeight="true" outlineLevel="0" collapsed="false">
      <c r="A643" s="35"/>
      <c r="B643" s="36"/>
      <c r="C643" s="36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customFormat="false" ht="14.25" hidden="false" customHeight="true" outlineLevel="0" collapsed="false">
      <c r="A644" s="35"/>
      <c r="B644" s="36"/>
      <c r="C644" s="36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customFormat="false" ht="14.25" hidden="false" customHeight="true" outlineLevel="0" collapsed="false">
      <c r="A645" s="35"/>
      <c r="B645" s="36"/>
      <c r="C645" s="36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customFormat="false" ht="14.25" hidden="false" customHeight="true" outlineLevel="0" collapsed="false">
      <c r="A646" s="35"/>
      <c r="B646" s="36"/>
      <c r="C646" s="36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customFormat="false" ht="14.25" hidden="false" customHeight="true" outlineLevel="0" collapsed="false">
      <c r="A647" s="35"/>
      <c r="B647" s="36"/>
      <c r="C647" s="36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customFormat="false" ht="14.25" hidden="false" customHeight="true" outlineLevel="0" collapsed="false">
      <c r="A648" s="35"/>
      <c r="B648" s="36"/>
      <c r="C648" s="36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customFormat="false" ht="14.25" hidden="false" customHeight="true" outlineLevel="0" collapsed="false">
      <c r="A649" s="35"/>
      <c r="B649" s="36"/>
      <c r="C649" s="36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customFormat="false" ht="14.25" hidden="false" customHeight="true" outlineLevel="0" collapsed="false">
      <c r="A650" s="35"/>
      <c r="B650" s="36"/>
      <c r="C650" s="36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customFormat="false" ht="14.25" hidden="false" customHeight="true" outlineLevel="0" collapsed="false">
      <c r="A651" s="35"/>
      <c r="B651" s="36"/>
      <c r="C651" s="36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customFormat="false" ht="14.25" hidden="false" customHeight="true" outlineLevel="0" collapsed="false">
      <c r="A652" s="35"/>
      <c r="B652" s="36"/>
      <c r="C652" s="36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customFormat="false" ht="14.25" hidden="false" customHeight="true" outlineLevel="0" collapsed="false">
      <c r="A653" s="35"/>
      <c r="B653" s="36"/>
      <c r="C653" s="36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customFormat="false" ht="14.25" hidden="false" customHeight="true" outlineLevel="0" collapsed="false">
      <c r="A654" s="35"/>
      <c r="B654" s="36"/>
      <c r="C654" s="36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customFormat="false" ht="14.25" hidden="false" customHeight="true" outlineLevel="0" collapsed="false">
      <c r="A655" s="35"/>
      <c r="B655" s="36"/>
      <c r="C655" s="36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customFormat="false" ht="14.25" hidden="false" customHeight="true" outlineLevel="0" collapsed="false">
      <c r="A656" s="35"/>
      <c r="B656" s="36"/>
      <c r="C656" s="36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customFormat="false" ht="14.25" hidden="false" customHeight="true" outlineLevel="0" collapsed="false">
      <c r="A657" s="35"/>
      <c r="B657" s="36"/>
      <c r="C657" s="36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customFormat="false" ht="14.25" hidden="false" customHeight="true" outlineLevel="0" collapsed="false">
      <c r="A658" s="35"/>
      <c r="B658" s="36"/>
      <c r="C658" s="36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customFormat="false" ht="14.25" hidden="false" customHeight="true" outlineLevel="0" collapsed="false">
      <c r="A659" s="35"/>
      <c r="B659" s="36"/>
      <c r="C659" s="36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customFormat="false" ht="14.25" hidden="false" customHeight="true" outlineLevel="0" collapsed="false">
      <c r="A660" s="35"/>
      <c r="B660" s="36"/>
      <c r="C660" s="36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customFormat="false" ht="14.25" hidden="false" customHeight="true" outlineLevel="0" collapsed="false">
      <c r="A661" s="35"/>
      <c r="B661" s="36"/>
      <c r="C661" s="36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customFormat="false" ht="14.25" hidden="false" customHeight="true" outlineLevel="0" collapsed="false">
      <c r="A662" s="35"/>
      <c r="B662" s="36"/>
      <c r="C662" s="36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customFormat="false" ht="14.25" hidden="false" customHeight="true" outlineLevel="0" collapsed="false">
      <c r="A663" s="35"/>
      <c r="B663" s="36"/>
      <c r="C663" s="36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customFormat="false" ht="14.25" hidden="false" customHeight="true" outlineLevel="0" collapsed="false">
      <c r="A664" s="35"/>
      <c r="B664" s="36"/>
      <c r="C664" s="36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customFormat="false" ht="14.25" hidden="false" customHeight="true" outlineLevel="0" collapsed="false">
      <c r="A665" s="35"/>
      <c r="B665" s="36"/>
      <c r="C665" s="36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customFormat="false" ht="14.25" hidden="false" customHeight="true" outlineLevel="0" collapsed="false">
      <c r="A666" s="35"/>
      <c r="B666" s="36"/>
      <c r="C666" s="36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customFormat="false" ht="14.25" hidden="false" customHeight="true" outlineLevel="0" collapsed="false">
      <c r="A667" s="35"/>
      <c r="B667" s="36"/>
      <c r="C667" s="36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customFormat="false" ht="14.25" hidden="false" customHeight="true" outlineLevel="0" collapsed="false">
      <c r="A668" s="35"/>
      <c r="B668" s="36"/>
      <c r="C668" s="36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customFormat="false" ht="14.25" hidden="false" customHeight="true" outlineLevel="0" collapsed="false">
      <c r="A669" s="35"/>
      <c r="B669" s="36"/>
      <c r="C669" s="36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customFormat="false" ht="14.25" hidden="false" customHeight="true" outlineLevel="0" collapsed="false">
      <c r="A670" s="35"/>
      <c r="B670" s="36"/>
      <c r="C670" s="36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customFormat="false" ht="14.25" hidden="false" customHeight="true" outlineLevel="0" collapsed="false">
      <c r="A671" s="35"/>
      <c r="B671" s="36"/>
      <c r="C671" s="36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customFormat="false" ht="14.25" hidden="false" customHeight="true" outlineLevel="0" collapsed="false">
      <c r="A672" s="35"/>
      <c r="B672" s="36"/>
      <c r="C672" s="36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customFormat="false" ht="14.25" hidden="false" customHeight="true" outlineLevel="0" collapsed="false">
      <c r="A673" s="35"/>
      <c r="B673" s="36"/>
      <c r="C673" s="36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customFormat="false" ht="14.25" hidden="false" customHeight="true" outlineLevel="0" collapsed="false">
      <c r="A674" s="35"/>
      <c r="B674" s="36"/>
      <c r="C674" s="36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customFormat="false" ht="14.25" hidden="false" customHeight="true" outlineLevel="0" collapsed="false">
      <c r="A675" s="35"/>
      <c r="B675" s="36"/>
      <c r="C675" s="36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customFormat="false" ht="14.25" hidden="false" customHeight="true" outlineLevel="0" collapsed="false">
      <c r="A676" s="35"/>
      <c r="B676" s="36"/>
      <c r="C676" s="36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customFormat="false" ht="14.25" hidden="false" customHeight="true" outlineLevel="0" collapsed="false">
      <c r="A677" s="35"/>
      <c r="B677" s="36"/>
      <c r="C677" s="36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customFormat="false" ht="14.25" hidden="false" customHeight="true" outlineLevel="0" collapsed="false">
      <c r="A678" s="35"/>
      <c r="B678" s="36"/>
      <c r="C678" s="36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customFormat="false" ht="14.25" hidden="false" customHeight="true" outlineLevel="0" collapsed="false">
      <c r="A679" s="35"/>
      <c r="B679" s="36"/>
      <c r="C679" s="36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customFormat="false" ht="14.25" hidden="false" customHeight="true" outlineLevel="0" collapsed="false">
      <c r="A680" s="35"/>
      <c r="B680" s="36"/>
      <c r="C680" s="36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customFormat="false" ht="14.25" hidden="false" customHeight="true" outlineLevel="0" collapsed="false">
      <c r="A681" s="35"/>
      <c r="B681" s="36"/>
      <c r="C681" s="36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customFormat="false" ht="14.25" hidden="false" customHeight="true" outlineLevel="0" collapsed="false">
      <c r="A682" s="35"/>
      <c r="B682" s="36"/>
      <c r="C682" s="36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customFormat="false" ht="14.25" hidden="false" customHeight="true" outlineLevel="0" collapsed="false">
      <c r="A683" s="35"/>
      <c r="B683" s="36"/>
      <c r="C683" s="36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customFormat="false" ht="14.25" hidden="false" customHeight="true" outlineLevel="0" collapsed="false">
      <c r="A684" s="35"/>
      <c r="B684" s="36"/>
      <c r="C684" s="36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customFormat="false" ht="14.25" hidden="false" customHeight="true" outlineLevel="0" collapsed="false">
      <c r="A685" s="35"/>
      <c r="B685" s="36"/>
      <c r="C685" s="36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customFormat="false" ht="14.25" hidden="false" customHeight="true" outlineLevel="0" collapsed="false">
      <c r="A686" s="35"/>
      <c r="B686" s="36"/>
      <c r="C686" s="36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customFormat="false" ht="14.25" hidden="false" customHeight="true" outlineLevel="0" collapsed="false">
      <c r="A687" s="35"/>
      <c r="B687" s="36"/>
      <c r="C687" s="36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customFormat="false" ht="14.25" hidden="false" customHeight="true" outlineLevel="0" collapsed="false">
      <c r="A688" s="35"/>
      <c r="B688" s="36"/>
      <c r="C688" s="36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customFormat="false" ht="14.25" hidden="false" customHeight="true" outlineLevel="0" collapsed="false">
      <c r="A689" s="35"/>
      <c r="B689" s="36"/>
      <c r="C689" s="36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customFormat="false" ht="14.25" hidden="false" customHeight="true" outlineLevel="0" collapsed="false">
      <c r="A690" s="35"/>
      <c r="B690" s="36"/>
      <c r="C690" s="36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customFormat="false" ht="14.25" hidden="false" customHeight="true" outlineLevel="0" collapsed="false">
      <c r="A691" s="35"/>
      <c r="B691" s="36"/>
      <c r="C691" s="36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customFormat="false" ht="14.25" hidden="false" customHeight="true" outlineLevel="0" collapsed="false">
      <c r="A692" s="35"/>
      <c r="B692" s="36"/>
      <c r="C692" s="36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customFormat="false" ht="14.25" hidden="false" customHeight="true" outlineLevel="0" collapsed="false">
      <c r="A693" s="35"/>
      <c r="B693" s="36"/>
      <c r="C693" s="36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customFormat="false" ht="14.25" hidden="false" customHeight="true" outlineLevel="0" collapsed="false">
      <c r="A694" s="35"/>
      <c r="B694" s="36"/>
      <c r="C694" s="36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customFormat="false" ht="14.25" hidden="false" customHeight="true" outlineLevel="0" collapsed="false">
      <c r="A695" s="35"/>
      <c r="B695" s="36"/>
      <c r="C695" s="36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customFormat="false" ht="14.25" hidden="false" customHeight="true" outlineLevel="0" collapsed="false">
      <c r="A696" s="35"/>
      <c r="B696" s="36"/>
      <c r="C696" s="36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customFormat="false" ht="14.25" hidden="false" customHeight="true" outlineLevel="0" collapsed="false">
      <c r="A697" s="35"/>
      <c r="B697" s="36"/>
      <c r="C697" s="36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customFormat="false" ht="14.25" hidden="false" customHeight="true" outlineLevel="0" collapsed="false">
      <c r="A698" s="35"/>
      <c r="B698" s="36"/>
      <c r="C698" s="36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customFormat="false" ht="14.25" hidden="false" customHeight="true" outlineLevel="0" collapsed="false">
      <c r="A699" s="35"/>
      <c r="B699" s="36"/>
      <c r="C699" s="36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customFormat="false" ht="14.25" hidden="false" customHeight="true" outlineLevel="0" collapsed="false">
      <c r="A700" s="35"/>
      <c r="B700" s="36"/>
      <c r="C700" s="36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customFormat="false" ht="14.25" hidden="false" customHeight="true" outlineLevel="0" collapsed="false">
      <c r="A701" s="35"/>
      <c r="B701" s="36"/>
      <c r="C701" s="36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customFormat="false" ht="14.25" hidden="false" customHeight="true" outlineLevel="0" collapsed="false">
      <c r="A702" s="35"/>
      <c r="B702" s="36"/>
      <c r="C702" s="36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customFormat="false" ht="14.25" hidden="false" customHeight="true" outlineLevel="0" collapsed="false">
      <c r="A703" s="35"/>
      <c r="B703" s="36"/>
      <c r="C703" s="36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customFormat="false" ht="14.25" hidden="false" customHeight="true" outlineLevel="0" collapsed="false">
      <c r="A704" s="35"/>
      <c r="B704" s="36"/>
      <c r="C704" s="36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customFormat="false" ht="14.25" hidden="false" customHeight="true" outlineLevel="0" collapsed="false">
      <c r="A705" s="35"/>
      <c r="B705" s="36"/>
      <c r="C705" s="36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customFormat="false" ht="14.25" hidden="false" customHeight="true" outlineLevel="0" collapsed="false">
      <c r="A706" s="35"/>
      <c r="B706" s="36"/>
      <c r="C706" s="36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customFormat="false" ht="14.25" hidden="false" customHeight="true" outlineLevel="0" collapsed="false">
      <c r="A707" s="35"/>
      <c r="B707" s="36"/>
      <c r="C707" s="36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customFormat="false" ht="14.25" hidden="false" customHeight="true" outlineLevel="0" collapsed="false">
      <c r="A708" s="35"/>
      <c r="B708" s="36"/>
      <c r="C708" s="36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customFormat="false" ht="14.25" hidden="false" customHeight="true" outlineLevel="0" collapsed="false">
      <c r="A709" s="35"/>
      <c r="B709" s="36"/>
      <c r="C709" s="36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customFormat="false" ht="14.25" hidden="false" customHeight="true" outlineLevel="0" collapsed="false">
      <c r="A710" s="35"/>
      <c r="B710" s="36"/>
      <c r="C710" s="36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customFormat="false" ht="14.25" hidden="false" customHeight="true" outlineLevel="0" collapsed="false">
      <c r="A711" s="35"/>
      <c r="B711" s="36"/>
      <c r="C711" s="36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customFormat="false" ht="14.25" hidden="false" customHeight="true" outlineLevel="0" collapsed="false">
      <c r="A712" s="35"/>
      <c r="B712" s="36"/>
      <c r="C712" s="36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customFormat="false" ht="14.25" hidden="false" customHeight="true" outlineLevel="0" collapsed="false">
      <c r="A713" s="35"/>
      <c r="B713" s="36"/>
      <c r="C713" s="36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customFormat="false" ht="14.25" hidden="false" customHeight="true" outlineLevel="0" collapsed="false">
      <c r="A714" s="35"/>
      <c r="B714" s="36"/>
      <c r="C714" s="36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customFormat="false" ht="14.25" hidden="false" customHeight="true" outlineLevel="0" collapsed="false">
      <c r="A715" s="35"/>
      <c r="B715" s="36"/>
      <c r="C715" s="36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customFormat="false" ht="14.25" hidden="false" customHeight="true" outlineLevel="0" collapsed="false">
      <c r="A716" s="35"/>
      <c r="B716" s="36"/>
      <c r="C716" s="36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customFormat="false" ht="14.25" hidden="false" customHeight="true" outlineLevel="0" collapsed="false">
      <c r="A717" s="35"/>
      <c r="B717" s="36"/>
      <c r="C717" s="36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customFormat="false" ht="14.25" hidden="false" customHeight="true" outlineLevel="0" collapsed="false">
      <c r="A718" s="35"/>
      <c r="B718" s="36"/>
      <c r="C718" s="36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customFormat="false" ht="14.25" hidden="false" customHeight="true" outlineLevel="0" collapsed="false">
      <c r="A719" s="35"/>
      <c r="B719" s="36"/>
      <c r="C719" s="36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customFormat="false" ht="14.25" hidden="false" customHeight="true" outlineLevel="0" collapsed="false">
      <c r="A720" s="35"/>
      <c r="B720" s="36"/>
      <c r="C720" s="36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customFormat="false" ht="14.25" hidden="false" customHeight="true" outlineLevel="0" collapsed="false">
      <c r="A721" s="35"/>
      <c r="B721" s="36"/>
      <c r="C721" s="36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customFormat="false" ht="14.25" hidden="false" customHeight="true" outlineLevel="0" collapsed="false">
      <c r="A722" s="35"/>
      <c r="B722" s="36"/>
      <c r="C722" s="36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customFormat="false" ht="14.25" hidden="false" customHeight="true" outlineLevel="0" collapsed="false">
      <c r="A723" s="35"/>
      <c r="B723" s="36"/>
      <c r="C723" s="36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customFormat="false" ht="14.25" hidden="false" customHeight="true" outlineLevel="0" collapsed="false">
      <c r="A724" s="35"/>
      <c r="B724" s="36"/>
      <c r="C724" s="36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customFormat="false" ht="14.25" hidden="false" customHeight="true" outlineLevel="0" collapsed="false">
      <c r="A725" s="35"/>
      <c r="B725" s="36"/>
      <c r="C725" s="36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customFormat="false" ht="14.25" hidden="false" customHeight="true" outlineLevel="0" collapsed="false">
      <c r="A726" s="35"/>
      <c r="B726" s="36"/>
      <c r="C726" s="36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customFormat="false" ht="14.25" hidden="false" customHeight="true" outlineLevel="0" collapsed="false">
      <c r="A727" s="35"/>
      <c r="B727" s="36"/>
      <c r="C727" s="36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customFormat="false" ht="14.25" hidden="false" customHeight="true" outlineLevel="0" collapsed="false">
      <c r="A728" s="35"/>
      <c r="B728" s="36"/>
      <c r="C728" s="36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customFormat="false" ht="14.25" hidden="false" customHeight="true" outlineLevel="0" collapsed="false">
      <c r="A729" s="35"/>
      <c r="B729" s="36"/>
      <c r="C729" s="36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customFormat="false" ht="14.25" hidden="false" customHeight="true" outlineLevel="0" collapsed="false">
      <c r="A730" s="35"/>
      <c r="B730" s="36"/>
      <c r="C730" s="36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customFormat="false" ht="14.25" hidden="false" customHeight="true" outlineLevel="0" collapsed="false">
      <c r="A731" s="35"/>
      <c r="B731" s="36"/>
      <c r="C731" s="36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customFormat="false" ht="14.25" hidden="false" customHeight="true" outlineLevel="0" collapsed="false">
      <c r="A732" s="35"/>
      <c r="B732" s="36"/>
      <c r="C732" s="36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customFormat="false" ht="14.25" hidden="false" customHeight="true" outlineLevel="0" collapsed="false">
      <c r="A733" s="35"/>
      <c r="B733" s="36"/>
      <c r="C733" s="36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customFormat="false" ht="14.25" hidden="false" customHeight="true" outlineLevel="0" collapsed="false">
      <c r="A734" s="35"/>
      <c r="B734" s="36"/>
      <c r="C734" s="36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customFormat="false" ht="14.25" hidden="false" customHeight="true" outlineLevel="0" collapsed="false">
      <c r="A735" s="35"/>
      <c r="B735" s="36"/>
      <c r="C735" s="36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customFormat="false" ht="14.25" hidden="false" customHeight="true" outlineLevel="0" collapsed="false">
      <c r="A736" s="35"/>
      <c r="B736" s="36"/>
      <c r="C736" s="36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customFormat="false" ht="14.25" hidden="false" customHeight="true" outlineLevel="0" collapsed="false">
      <c r="A737" s="35"/>
      <c r="B737" s="36"/>
      <c r="C737" s="36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customFormat="false" ht="14.25" hidden="false" customHeight="true" outlineLevel="0" collapsed="false">
      <c r="A738" s="35"/>
      <c r="B738" s="36"/>
      <c r="C738" s="36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customFormat="false" ht="14.25" hidden="false" customHeight="true" outlineLevel="0" collapsed="false">
      <c r="A739" s="35"/>
      <c r="B739" s="36"/>
      <c r="C739" s="36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customFormat="false" ht="14.25" hidden="false" customHeight="true" outlineLevel="0" collapsed="false">
      <c r="A740" s="35"/>
      <c r="B740" s="36"/>
      <c r="C740" s="36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customFormat="false" ht="14.25" hidden="false" customHeight="true" outlineLevel="0" collapsed="false">
      <c r="A741" s="35"/>
      <c r="B741" s="36"/>
      <c r="C741" s="36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customFormat="false" ht="14.25" hidden="false" customHeight="true" outlineLevel="0" collapsed="false">
      <c r="A742" s="35"/>
      <c r="B742" s="36"/>
      <c r="C742" s="36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customFormat="false" ht="14.25" hidden="false" customHeight="true" outlineLevel="0" collapsed="false">
      <c r="A743" s="35"/>
      <c r="B743" s="36"/>
      <c r="C743" s="36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customFormat="false" ht="14.25" hidden="false" customHeight="true" outlineLevel="0" collapsed="false">
      <c r="A744" s="35"/>
      <c r="B744" s="36"/>
      <c r="C744" s="36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customFormat="false" ht="14.25" hidden="false" customHeight="true" outlineLevel="0" collapsed="false">
      <c r="A745" s="35"/>
      <c r="B745" s="36"/>
      <c r="C745" s="36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customFormat="false" ht="14.25" hidden="false" customHeight="true" outlineLevel="0" collapsed="false">
      <c r="A746" s="35"/>
      <c r="B746" s="36"/>
      <c r="C746" s="36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customFormat="false" ht="14.25" hidden="false" customHeight="true" outlineLevel="0" collapsed="false">
      <c r="A747" s="35"/>
      <c r="B747" s="36"/>
      <c r="C747" s="36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customFormat="false" ht="14.25" hidden="false" customHeight="true" outlineLevel="0" collapsed="false">
      <c r="A748" s="35"/>
      <c r="B748" s="36"/>
      <c r="C748" s="36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customFormat="false" ht="14.25" hidden="false" customHeight="true" outlineLevel="0" collapsed="false">
      <c r="A749" s="35"/>
      <c r="B749" s="36"/>
      <c r="C749" s="36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customFormat="false" ht="14.25" hidden="false" customHeight="true" outlineLevel="0" collapsed="false">
      <c r="A750" s="35"/>
      <c r="B750" s="36"/>
      <c r="C750" s="36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customFormat="false" ht="14.25" hidden="false" customHeight="true" outlineLevel="0" collapsed="false">
      <c r="A751" s="35"/>
      <c r="B751" s="36"/>
      <c r="C751" s="36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customFormat="false" ht="14.25" hidden="false" customHeight="true" outlineLevel="0" collapsed="false">
      <c r="A752" s="35"/>
      <c r="B752" s="36"/>
      <c r="C752" s="36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customFormat="false" ht="14.25" hidden="false" customHeight="true" outlineLevel="0" collapsed="false">
      <c r="A753" s="35"/>
      <c r="B753" s="36"/>
      <c r="C753" s="36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customFormat="false" ht="14.25" hidden="false" customHeight="true" outlineLevel="0" collapsed="false">
      <c r="A754" s="35"/>
      <c r="B754" s="36"/>
      <c r="C754" s="36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customFormat="false" ht="14.25" hidden="false" customHeight="true" outlineLevel="0" collapsed="false">
      <c r="A755" s="35"/>
      <c r="B755" s="36"/>
      <c r="C755" s="36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customFormat="false" ht="14.25" hidden="false" customHeight="true" outlineLevel="0" collapsed="false">
      <c r="A756" s="35"/>
      <c r="B756" s="36"/>
      <c r="C756" s="36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customFormat="false" ht="14.25" hidden="false" customHeight="true" outlineLevel="0" collapsed="false">
      <c r="A757" s="35"/>
      <c r="B757" s="36"/>
      <c r="C757" s="36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customFormat="false" ht="14.25" hidden="false" customHeight="true" outlineLevel="0" collapsed="false">
      <c r="A758" s="35"/>
      <c r="B758" s="36"/>
      <c r="C758" s="36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customFormat="false" ht="14.25" hidden="false" customHeight="true" outlineLevel="0" collapsed="false">
      <c r="A759" s="35"/>
      <c r="B759" s="36"/>
      <c r="C759" s="36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customFormat="false" ht="14.25" hidden="false" customHeight="true" outlineLevel="0" collapsed="false">
      <c r="A760" s="35"/>
      <c r="B760" s="36"/>
      <c r="C760" s="36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customFormat="false" ht="14.25" hidden="false" customHeight="true" outlineLevel="0" collapsed="false">
      <c r="A761" s="35"/>
      <c r="B761" s="36"/>
      <c r="C761" s="36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customFormat="false" ht="14.25" hidden="false" customHeight="true" outlineLevel="0" collapsed="false">
      <c r="A762" s="35"/>
      <c r="B762" s="36"/>
      <c r="C762" s="36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customFormat="false" ht="14.25" hidden="false" customHeight="true" outlineLevel="0" collapsed="false">
      <c r="A763" s="35"/>
      <c r="B763" s="36"/>
      <c r="C763" s="36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customFormat="false" ht="14.25" hidden="false" customHeight="true" outlineLevel="0" collapsed="false">
      <c r="A764" s="35"/>
      <c r="B764" s="36"/>
      <c r="C764" s="36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customFormat="false" ht="14.25" hidden="false" customHeight="true" outlineLevel="0" collapsed="false">
      <c r="A765" s="35"/>
      <c r="B765" s="36"/>
      <c r="C765" s="36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customFormat="false" ht="14.25" hidden="false" customHeight="true" outlineLevel="0" collapsed="false">
      <c r="A766" s="35"/>
      <c r="B766" s="36"/>
      <c r="C766" s="36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customFormat="false" ht="14.25" hidden="false" customHeight="true" outlineLevel="0" collapsed="false">
      <c r="A767" s="35"/>
      <c r="B767" s="36"/>
      <c r="C767" s="36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customFormat="false" ht="14.25" hidden="false" customHeight="true" outlineLevel="0" collapsed="false">
      <c r="A768" s="35"/>
      <c r="B768" s="36"/>
      <c r="C768" s="36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customFormat="false" ht="14.25" hidden="false" customHeight="true" outlineLevel="0" collapsed="false">
      <c r="A769" s="35"/>
      <c r="B769" s="36"/>
      <c r="C769" s="36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customFormat="false" ht="14.25" hidden="false" customHeight="true" outlineLevel="0" collapsed="false">
      <c r="A770" s="35"/>
      <c r="B770" s="36"/>
      <c r="C770" s="36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customFormat="false" ht="14.25" hidden="false" customHeight="true" outlineLevel="0" collapsed="false">
      <c r="A771" s="35"/>
      <c r="B771" s="36"/>
      <c r="C771" s="36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customFormat="false" ht="14.25" hidden="false" customHeight="true" outlineLevel="0" collapsed="false">
      <c r="A772" s="35"/>
      <c r="B772" s="36"/>
      <c r="C772" s="36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customFormat="false" ht="14.25" hidden="false" customHeight="true" outlineLevel="0" collapsed="false">
      <c r="A773" s="35"/>
      <c r="B773" s="36"/>
      <c r="C773" s="36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customFormat="false" ht="14.25" hidden="false" customHeight="true" outlineLevel="0" collapsed="false">
      <c r="A774" s="35"/>
      <c r="B774" s="36"/>
      <c r="C774" s="36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customFormat="false" ht="14.25" hidden="false" customHeight="true" outlineLevel="0" collapsed="false">
      <c r="A775" s="35"/>
      <c r="B775" s="36"/>
      <c r="C775" s="36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customFormat="false" ht="14.25" hidden="false" customHeight="true" outlineLevel="0" collapsed="false">
      <c r="A776" s="35"/>
      <c r="B776" s="36"/>
      <c r="C776" s="36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customFormat="false" ht="14.25" hidden="false" customHeight="true" outlineLevel="0" collapsed="false">
      <c r="A777" s="35"/>
      <c r="B777" s="36"/>
      <c r="C777" s="36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customFormat="false" ht="14.25" hidden="false" customHeight="true" outlineLevel="0" collapsed="false">
      <c r="A778" s="35"/>
      <c r="B778" s="36"/>
      <c r="C778" s="36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customFormat="false" ht="14.25" hidden="false" customHeight="true" outlineLevel="0" collapsed="false">
      <c r="A779" s="35"/>
      <c r="B779" s="36"/>
      <c r="C779" s="36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customFormat="false" ht="14.25" hidden="false" customHeight="true" outlineLevel="0" collapsed="false">
      <c r="A780" s="35"/>
      <c r="B780" s="36"/>
      <c r="C780" s="36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customFormat="false" ht="14.25" hidden="false" customHeight="true" outlineLevel="0" collapsed="false">
      <c r="A781" s="35"/>
      <c r="B781" s="36"/>
      <c r="C781" s="36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customFormat="false" ht="14.25" hidden="false" customHeight="true" outlineLevel="0" collapsed="false">
      <c r="A782" s="35"/>
      <c r="B782" s="36"/>
      <c r="C782" s="36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customFormat="false" ht="14.25" hidden="false" customHeight="true" outlineLevel="0" collapsed="false">
      <c r="A783" s="35"/>
      <c r="B783" s="36"/>
      <c r="C783" s="36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customFormat="false" ht="14.25" hidden="false" customHeight="true" outlineLevel="0" collapsed="false">
      <c r="A784" s="35"/>
      <c r="B784" s="36"/>
      <c r="C784" s="36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customFormat="false" ht="14.25" hidden="false" customHeight="true" outlineLevel="0" collapsed="false">
      <c r="A785" s="35"/>
      <c r="B785" s="36"/>
      <c r="C785" s="36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customFormat="false" ht="14.25" hidden="false" customHeight="true" outlineLevel="0" collapsed="false">
      <c r="A786" s="35"/>
      <c r="B786" s="36"/>
      <c r="C786" s="36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customFormat="false" ht="14.25" hidden="false" customHeight="true" outlineLevel="0" collapsed="false">
      <c r="A787" s="35"/>
      <c r="B787" s="36"/>
      <c r="C787" s="36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customFormat="false" ht="14.25" hidden="false" customHeight="true" outlineLevel="0" collapsed="false">
      <c r="A788" s="35"/>
      <c r="B788" s="36"/>
      <c r="C788" s="36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customFormat="false" ht="14.25" hidden="false" customHeight="true" outlineLevel="0" collapsed="false">
      <c r="A789" s="35"/>
      <c r="B789" s="36"/>
      <c r="C789" s="36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customFormat="false" ht="14.25" hidden="false" customHeight="true" outlineLevel="0" collapsed="false">
      <c r="A790" s="35"/>
      <c r="B790" s="36"/>
      <c r="C790" s="36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customFormat="false" ht="14.25" hidden="false" customHeight="true" outlineLevel="0" collapsed="false">
      <c r="A791" s="35"/>
      <c r="B791" s="36"/>
      <c r="C791" s="36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customFormat="false" ht="14.25" hidden="false" customHeight="true" outlineLevel="0" collapsed="false">
      <c r="A792" s="35"/>
      <c r="B792" s="36"/>
      <c r="C792" s="36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customFormat="false" ht="14.25" hidden="false" customHeight="true" outlineLevel="0" collapsed="false">
      <c r="A793" s="35"/>
      <c r="B793" s="36"/>
      <c r="C793" s="36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customFormat="false" ht="14.25" hidden="false" customHeight="true" outlineLevel="0" collapsed="false">
      <c r="A794" s="35"/>
      <c r="B794" s="36"/>
      <c r="C794" s="36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customFormat="false" ht="14.25" hidden="false" customHeight="true" outlineLevel="0" collapsed="false">
      <c r="A795" s="35"/>
      <c r="B795" s="36"/>
      <c r="C795" s="36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customFormat="false" ht="14.25" hidden="false" customHeight="true" outlineLevel="0" collapsed="false">
      <c r="A796" s="35"/>
      <c r="B796" s="36"/>
      <c r="C796" s="36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customFormat="false" ht="14.25" hidden="false" customHeight="true" outlineLevel="0" collapsed="false">
      <c r="A797" s="35"/>
      <c r="B797" s="36"/>
      <c r="C797" s="36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customFormat="false" ht="14.25" hidden="false" customHeight="true" outlineLevel="0" collapsed="false">
      <c r="A798" s="35"/>
      <c r="B798" s="36"/>
      <c r="C798" s="36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customFormat="false" ht="14.25" hidden="false" customHeight="true" outlineLevel="0" collapsed="false">
      <c r="A799" s="35"/>
      <c r="B799" s="36"/>
      <c r="C799" s="36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customFormat="false" ht="14.25" hidden="false" customHeight="true" outlineLevel="0" collapsed="false">
      <c r="A800" s="35"/>
      <c r="B800" s="36"/>
      <c r="C800" s="36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customFormat="false" ht="14.25" hidden="false" customHeight="true" outlineLevel="0" collapsed="false">
      <c r="A801" s="35"/>
      <c r="B801" s="36"/>
      <c r="C801" s="36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customFormat="false" ht="14.25" hidden="false" customHeight="true" outlineLevel="0" collapsed="false">
      <c r="A802" s="35"/>
      <c r="B802" s="36"/>
      <c r="C802" s="36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customFormat="false" ht="14.25" hidden="false" customHeight="true" outlineLevel="0" collapsed="false">
      <c r="A803" s="35"/>
      <c r="B803" s="36"/>
      <c r="C803" s="36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customFormat="false" ht="14.25" hidden="false" customHeight="true" outlineLevel="0" collapsed="false">
      <c r="A804" s="35"/>
      <c r="B804" s="36"/>
      <c r="C804" s="36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customFormat="false" ht="14.25" hidden="false" customHeight="true" outlineLevel="0" collapsed="false">
      <c r="A805" s="35"/>
      <c r="B805" s="36"/>
      <c r="C805" s="36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customFormat="false" ht="14.25" hidden="false" customHeight="true" outlineLevel="0" collapsed="false">
      <c r="A806" s="35"/>
      <c r="B806" s="36"/>
      <c r="C806" s="36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customFormat="false" ht="14.25" hidden="false" customHeight="true" outlineLevel="0" collapsed="false">
      <c r="A807" s="35"/>
      <c r="B807" s="36"/>
      <c r="C807" s="36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customFormat="false" ht="14.25" hidden="false" customHeight="true" outlineLevel="0" collapsed="false">
      <c r="A808" s="35"/>
      <c r="B808" s="36"/>
      <c r="C808" s="36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customFormat="false" ht="14.25" hidden="false" customHeight="true" outlineLevel="0" collapsed="false">
      <c r="A809" s="35"/>
      <c r="B809" s="36"/>
      <c r="C809" s="36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customFormat="false" ht="14.25" hidden="false" customHeight="true" outlineLevel="0" collapsed="false">
      <c r="A810" s="35"/>
      <c r="B810" s="36"/>
      <c r="C810" s="36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customFormat="false" ht="14.25" hidden="false" customHeight="true" outlineLevel="0" collapsed="false">
      <c r="A811" s="35"/>
      <c r="B811" s="36"/>
      <c r="C811" s="36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customFormat="false" ht="14.25" hidden="false" customHeight="true" outlineLevel="0" collapsed="false">
      <c r="A812" s="35"/>
      <c r="B812" s="36"/>
      <c r="C812" s="36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customFormat="false" ht="14.25" hidden="false" customHeight="true" outlineLevel="0" collapsed="false">
      <c r="A813" s="35"/>
      <c r="B813" s="36"/>
      <c r="C813" s="36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customFormat="false" ht="14.25" hidden="false" customHeight="true" outlineLevel="0" collapsed="false">
      <c r="A814" s="35"/>
      <c r="B814" s="36"/>
      <c r="C814" s="36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customFormat="false" ht="14.25" hidden="false" customHeight="true" outlineLevel="0" collapsed="false">
      <c r="A815" s="35"/>
      <c r="B815" s="36"/>
      <c r="C815" s="36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customFormat="false" ht="14.25" hidden="false" customHeight="true" outlineLevel="0" collapsed="false">
      <c r="A816" s="35"/>
      <c r="B816" s="36"/>
      <c r="C816" s="36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customFormat="false" ht="14.25" hidden="false" customHeight="true" outlineLevel="0" collapsed="false">
      <c r="A817" s="35"/>
      <c r="B817" s="36"/>
      <c r="C817" s="36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customFormat="false" ht="14.25" hidden="false" customHeight="true" outlineLevel="0" collapsed="false">
      <c r="A818" s="35"/>
      <c r="B818" s="36"/>
      <c r="C818" s="36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customFormat="false" ht="14.25" hidden="false" customHeight="true" outlineLevel="0" collapsed="false">
      <c r="A819" s="35"/>
      <c r="B819" s="36"/>
      <c r="C819" s="36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customFormat="false" ht="14.25" hidden="false" customHeight="true" outlineLevel="0" collapsed="false">
      <c r="A820" s="35"/>
      <c r="B820" s="36"/>
      <c r="C820" s="36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customFormat="false" ht="14.25" hidden="false" customHeight="true" outlineLevel="0" collapsed="false">
      <c r="A821" s="35"/>
      <c r="B821" s="36"/>
      <c r="C821" s="36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customFormat="false" ht="14.25" hidden="false" customHeight="true" outlineLevel="0" collapsed="false">
      <c r="A822" s="35"/>
      <c r="B822" s="36"/>
      <c r="C822" s="36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customFormat="false" ht="14.25" hidden="false" customHeight="true" outlineLevel="0" collapsed="false">
      <c r="A823" s="35"/>
      <c r="B823" s="36"/>
      <c r="C823" s="36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customFormat="false" ht="14.25" hidden="false" customHeight="true" outlineLevel="0" collapsed="false">
      <c r="A824" s="35"/>
      <c r="B824" s="36"/>
      <c r="C824" s="36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customFormat="false" ht="14.25" hidden="false" customHeight="true" outlineLevel="0" collapsed="false">
      <c r="A825" s="35"/>
      <c r="B825" s="36"/>
      <c r="C825" s="36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customFormat="false" ht="14.25" hidden="false" customHeight="true" outlineLevel="0" collapsed="false">
      <c r="A826" s="35"/>
      <c r="B826" s="36"/>
      <c r="C826" s="36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customFormat="false" ht="14.25" hidden="false" customHeight="true" outlineLevel="0" collapsed="false">
      <c r="A827" s="35"/>
      <c r="B827" s="36"/>
      <c r="C827" s="36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customFormat="false" ht="14.25" hidden="false" customHeight="true" outlineLevel="0" collapsed="false">
      <c r="A828" s="35"/>
      <c r="B828" s="36"/>
      <c r="C828" s="36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customFormat="false" ht="14.25" hidden="false" customHeight="true" outlineLevel="0" collapsed="false">
      <c r="A829" s="35"/>
      <c r="B829" s="36"/>
      <c r="C829" s="36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customFormat="false" ht="14.25" hidden="false" customHeight="true" outlineLevel="0" collapsed="false">
      <c r="A830" s="35"/>
      <c r="B830" s="36"/>
      <c r="C830" s="36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customFormat="false" ht="14.25" hidden="false" customHeight="true" outlineLevel="0" collapsed="false">
      <c r="A831" s="35"/>
      <c r="B831" s="36"/>
      <c r="C831" s="36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customFormat="false" ht="14.25" hidden="false" customHeight="true" outlineLevel="0" collapsed="false">
      <c r="A832" s="35"/>
      <c r="B832" s="36"/>
      <c r="C832" s="36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customFormat="false" ht="14.25" hidden="false" customHeight="true" outlineLevel="0" collapsed="false">
      <c r="A833" s="35"/>
      <c r="B833" s="36"/>
      <c r="C833" s="36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customFormat="false" ht="14.25" hidden="false" customHeight="true" outlineLevel="0" collapsed="false">
      <c r="A834" s="35"/>
      <c r="B834" s="36"/>
      <c r="C834" s="36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customFormat="false" ht="14.25" hidden="false" customHeight="true" outlineLevel="0" collapsed="false">
      <c r="A835" s="35"/>
      <c r="B835" s="36"/>
      <c r="C835" s="36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customFormat="false" ht="14.25" hidden="false" customHeight="true" outlineLevel="0" collapsed="false">
      <c r="A836" s="35"/>
      <c r="B836" s="36"/>
      <c r="C836" s="36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customFormat="false" ht="14.25" hidden="false" customHeight="true" outlineLevel="0" collapsed="false">
      <c r="A837" s="35"/>
      <c r="B837" s="36"/>
      <c r="C837" s="36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customFormat="false" ht="14.25" hidden="false" customHeight="true" outlineLevel="0" collapsed="false">
      <c r="A838" s="35"/>
      <c r="B838" s="36"/>
      <c r="C838" s="36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customFormat="false" ht="14.25" hidden="false" customHeight="true" outlineLevel="0" collapsed="false">
      <c r="A839" s="35"/>
      <c r="B839" s="36"/>
      <c r="C839" s="36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customFormat="false" ht="14.25" hidden="false" customHeight="true" outlineLevel="0" collapsed="false">
      <c r="A840" s="35"/>
      <c r="B840" s="36"/>
      <c r="C840" s="36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customFormat="false" ht="14.25" hidden="false" customHeight="true" outlineLevel="0" collapsed="false">
      <c r="A841" s="35"/>
      <c r="B841" s="36"/>
      <c r="C841" s="36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customFormat="false" ht="14.25" hidden="false" customHeight="true" outlineLevel="0" collapsed="false">
      <c r="A842" s="35"/>
      <c r="B842" s="36"/>
      <c r="C842" s="36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customFormat="false" ht="14.25" hidden="false" customHeight="true" outlineLevel="0" collapsed="false">
      <c r="A843" s="35"/>
      <c r="B843" s="36"/>
      <c r="C843" s="36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customFormat="false" ht="14.25" hidden="false" customHeight="true" outlineLevel="0" collapsed="false">
      <c r="A844" s="35"/>
      <c r="B844" s="36"/>
      <c r="C844" s="36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customFormat="false" ht="14.25" hidden="false" customHeight="true" outlineLevel="0" collapsed="false">
      <c r="A845" s="35"/>
      <c r="B845" s="36"/>
      <c r="C845" s="36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customFormat="false" ht="14.25" hidden="false" customHeight="true" outlineLevel="0" collapsed="false">
      <c r="A846" s="35"/>
      <c r="B846" s="36"/>
      <c r="C846" s="36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customFormat="false" ht="14.25" hidden="false" customHeight="true" outlineLevel="0" collapsed="false">
      <c r="A847" s="35"/>
      <c r="B847" s="36"/>
      <c r="C847" s="36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customFormat="false" ht="14.25" hidden="false" customHeight="true" outlineLevel="0" collapsed="false">
      <c r="A848" s="35"/>
      <c r="B848" s="36"/>
      <c r="C848" s="36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customFormat="false" ht="14.25" hidden="false" customHeight="true" outlineLevel="0" collapsed="false">
      <c r="A849" s="35"/>
      <c r="B849" s="36"/>
      <c r="C849" s="36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customFormat="false" ht="14.25" hidden="false" customHeight="true" outlineLevel="0" collapsed="false">
      <c r="A850" s="35"/>
      <c r="B850" s="36"/>
      <c r="C850" s="36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customFormat="false" ht="14.25" hidden="false" customHeight="true" outlineLevel="0" collapsed="false">
      <c r="A851" s="35"/>
      <c r="B851" s="36"/>
      <c r="C851" s="36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customFormat="false" ht="14.25" hidden="false" customHeight="true" outlineLevel="0" collapsed="false">
      <c r="A852" s="35"/>
      <c r="B852" s="36"/>
      <c r="C852" s="36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customFormat="false" ht="14.25" hidden="false" customHeight="true" outlineLevel="0" collapsed="false">
      <c r="A853" s="35"/>
      <c r="B853" s="36"/>
      <c r="C853" s="36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customFormat="false" ht="14.25" hidden="false" customHeight="true" outlineLevel="0" collapsed="false">
      <c r="A854" s="35"/>
      <c r="B854" s="36"/>
      <c r="C854" s="36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customFormat="false" ht="14.25" hidden="false" customHeight="true" outlineLevel="0" collapsed="false">
      <c r="A855" s="35"/>
      <c r="B855" s="36"/>
      <c r="C855" s="36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customFormat="false" ht="14.25" hidden="false" customHeight="true" outlineLevel="0" collapsed="false">
      <c r="A856" s="35"/>
      <c r="B856" s="36"/>
      <c r="C856" s="36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customFormat="false" ht="14.25" hidden="false" customHeight="true" outlineLevel="0" collapsed="false">
      <c r="A857" s="35"/>
      <c r="B857" s="36"/>
      <c r="C857" s="36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customFormat="false" ht="14.25" hidden="false" customHeight="true" outlineLevel="0" collapsed="false">
      <c r="A858" s="35"/>
      <c r="B858" s="36"/>
      <c r="C858" s="36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customFormat="false" ht="14.25" hidden="false" customHeight="true" outlineLevel="0" collapsed="false">
      <c r="A859" s="35"/>
      <c r="B859" s="36"/>
      <c r="C859" s="36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customFormat="false" ht="14.25" hidden="false" customHeight="true" outlineLevel="0" collapsed="false">
      <c r="A860" s="35"/>
      <c r="B860" s="36"/>
      <c r="C860" s="36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customFormat="false" ht="14.25" hidden="false" customHeight="true" outlineLevel="0" collapsed="false">
      <c r="A861" s="35"/>
      <c r="B861" s="36"/>
      <c r="C861" s="36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customFormat="false" ht="14.25" hidden="false" customHeight="true" outlineLevel="0" collapsed="false">
      <c r="A862" s="35"/>
      <c r="B862" s="36"/>
      <c r="C862" s="36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customFormat="false" ht="14.25" hidden="false" customHeight="true" outlineLevel="0" collapsed="false">
      <c r="A863" s="35"/>
      <c r="B863" s="36"/>
      <c r="C863" s="36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customFormat="false" ht="14.25" hidden="false" customHeight="true" outlineLevel="0" collapsed="false">
      <c r="A864" s="35"/>
      <c r="B864" s="36"/>
      <c r="C864" s="36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customFormat="false" ht="14.25" hidden="false" customHeight="true" outlineLevel="0" collapsed="false">
      <c r="A865" s="35"/>
      <c r="B865" s="36"/>
      <c r="C865" s="36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customFormat="false" ht="14.25" hidden="false" customHeight="true" outlineLevel="0" collapsed="false">
      <c r="A866" s="35"/>
      <c r="B866" s="36"/>
      <c r="C866" s="36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customFormat="false" ht="14.25" hidden="false" customHeight="true" outlineLevel="0" collapsed="false">
      <c r="A867" s="35"/>
      <c r="B867" s="36"/>
      <c r="C867" s="36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customFormat="false" ht="14.25" hidden="false" customHeight="true" outlineLevel="0" collapsed="false">
      <c r="A868" s="35"/>
      <c r="B868" s="36"/>
      <c r="C868" s="36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customFormat="false" ht="14.25" hidden="false" customHeight="true" outlineLevel="0" collapsed="false">
      <c r="A869" s="35"/>
      <c r="B869" s="36"/>
      <c r="C869" s="36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customFormat="false" ht="14.25" hidden="false" customHeight="true" outlineLevel="0" collapsed="false">
      <c r="A870" s="35"/>
      <c r="B870" s="36"/>
      <c r="C870" s="36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customFormat="false" ht="14.25" hidden="false" customHeight="true" outlineLevel="0" collapsed="false">
      <c r="A871" s="35"/>
      <c r="B871" s="36"/>
      <c r="C871" s="36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customFormat="false" ht="14.25" hidden="false" customHeight="true" outlineLevel="0" collapsed="false">
      <c r="A872" s="35"/>
      <c r="B872" s="36"/>
      <c r="C872" s="36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customFormat="false" ht="14.25" hidden="false" customHeight="true" outlineLevel="0" collapsed="false">
      <c r="A873" s="35"/>
      <c r="B873" s="36"/>
      <c r="C873" s="36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customFormat="false" ht="14.25" hidden="false" customHeight="true" outlineLevel="0" collapsed="false">
      <c r="A874" s="35"/>
      <c r="B874" s="36"/>
      <c r="C874" s="36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customFormat="false" ht="14.25" hidden="false" customHeight="true" outlineLevel="0" collapsed="false">
      <c r="A875" s="35"/>
      <c r="B875" s="36"/>
      <c r="C875" s="36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customFormat="false" ht="14.25" hidden="false" customHeight="true" outlineLevel="0" collapsed="false">
      <c r="A876" s="35"/>
      <c r="B876" s="36"/>
      <c r="C876" s="36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customFormat="false" ht="14.25" hidden="false" customHeight="true" outlineLevel="0" collapsed="false">
      <c r="A877" s="35"/>
      <c r="B877" s="36"/>
      <c r="C877" s="36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customFormat="false" ht="14.25" hidden="false" customHeight="true" outlineLevel="0" collapsed="false">
      <c r="A878" s="35"/>
      <c r="B878" s="36"/>
      <c r="C878" s="36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customFormat="false" ht="14.25" hidden="false" customHeight="true" outlineLevel="0" collapsed="false">
      <c r="A879" s="35"/>
      <c r="B879" s="36"/>
      <c r="C879" s="36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customFormat="false" ht="14.25" hidden="false" customHeight="true" outlineLevel="0" collapsed="false">
      <c r="A880" s="35"/>
      <c r="B880" s="36"/>
      <c r="C880" s="36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customFormat="false" ht="14.25" hidden="false" customHeight="true" outlineLevel="0" collapsed="false">
      <c r="A881" s="35"/>
      <c r="B881" s="36"/>
      <c r="C881" s="36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customFormat="false" ht="14.25" hidden="false" customHeight="true" outlineLevel="0" collapsed="false">
      <c r="A882" s="35"/>
      <c r="B882" s="36"/>
      <c r="C882" s="36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customFormat="false" ht="14.25" hidden="false" customHeight="true" outlineLevel="0" collapsed="false">
      <c r="A883" s="35"/>
      <c r="B883" s="36"/>
      <c r="C883" s="36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customFormat="false" ht="14.25" hidden="false" customHeight="true" outlineLevel="0" collapsed="false">
      <c r="A884" s="35"/>
      <c r="B884" s="36"/>
      <c r="C884" s="36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customFormat="false" ht="14.25" hidden="false" customHeight="true" outlineLevel="0" collapsed="false">
      <c r="A885" s="35"/>
      <c r="B885" s="36"/>
      <c r="C885" s="36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customFormat="false" ht="14.25" hidden="false" customHeight="true" outlineLevel="0" collapsed="false">
      <c r="A886" s="35"/>
      <c r="B886" s="36"/>
      <c r="C886" s="36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customFormat="false" ht="14.25" hidden="false" customHeight="true" outlineLevel="0" collapsed="false">
      <c r="A887" s="35"/>
      <c r="B887" s="36"/>
      <c r="C887" s="36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customFormat="false" ht="14.25" hidden="false" customHeight="true" outlineLevel="0" collapsed="false">
      <c r="A888" s="35"/>
      <c r="B888" s="36"/>
      <c r="C888" s="36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customFormat="false" ht="14.25" hidden="false" customHeight="true" outlineLevel="0" collapsed="false">
      <c r="A889" s="35"/>
      <c r="B889" s="36"/>
      <c r="C889" s="36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customFormat="false" ht="14.25" hidden="false" customHeight="true" outlineLevel="0" collapsed="false">
      <c r="A890" s="35"/>
      <c r="B890" s="36"/>
      <c r="C890" s="36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customFormat="false" ht="14.25" hidden="false" customHeight="true" outlineLevel="0" collapsed="false">
      <c r="A891" s="35"/>
      <c r="B891" s="36"/>
      <c r="C891" s="36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customFormat="false" ht="14.25" hidden="false" customHeight="true" outlineLevel="0" collapsed="false">
      <c r="A892" s="35"/>
      <c r="B892" s="36"/>
      <c r="C892" s="36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customFormat="false" ht="14.25" hidden="false" customHeight="true" outlineLevel="0" collapsed="false">
      <c r="A893" s="35"/>
      <c r="B893" s="36"/>
      <c r="C893" s="36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customFormat="false" ht="14.25" hidden="false" customHeight="true" outlineLevel="0" collapsed="false">
      <c r="A894" s="35"/>
      <c r="B894" s="36"/>
      <c r="C894" s="36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customFormat="false" ht="14.25" hidden="false" customHeight="true" outlineLevel="0" collapsed="false">
      <c r="A895" s="35"/>
      <c r="B895" s="36"/>
      <c r="C895" s="36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customFormat="false" ht="14.25" hidden="false" customHeight="true" outlineLevel="0" collapsed="false">
      <c r="A896" s="35"/>
      <c r="B896" s="36"/>
      <c r="C896" s="36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customFormat="false" ht="14.25" hidden="false" customHeight="true" outlineLevel="0" collapsed="false">
      <c r="A897" s="35"/>
      <c r="B897" s="36"/>
      <c r="C897" s="36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customFormat="false" ht="14.25" hidden="false" customHeight="true" outlineLevel="0" collapsed="false">
      <c r="A898" s="35"/>
      <c r="B898" s="36"/>
      <c r="C898" s="36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customFormat="false" ht="14.25" hidden="false" customHeight="true" outlineLevel="0" collapsed="false">
      <c r="A899" s="35"/>
      <c r="B899" s="36"/>
      <c r="C899" s="36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customFormat="false" ht="14.25" hidden="false" customHeight="true" outlineLevel="0" collapsed="false">
      <c r="A900" s="35"/>
      <c r="B900" s="36"/>
      <c r="C900" s="36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customFormat="false" ht="14.25" hidden="false" customHeight="true" outlineLevel="0" collapsed="false">
      <c r="A901" s="35"/>
      <c r="B901" s="36"/>
      <c r="C901" s="36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customFormat="false" ht="14.25" hidden="false" customHeight="true" outlineLevel="0" collapsed="false">
      <c r="A902" s="35"/>
      <c r="B902" s="36"/>
      <c r="C902" s="36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customFormat="false" ht="14.25" hidden="false" customHeight="true" outlineLevel="0" collapsed="false">
      <c r="A903" s="35"/>
      <c r="B903" s="36"/>
      <c r="C903" s="36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customFormat="false" ht="14.25" hidden="false" customHeight="true" outlineLevel="0" collapsed="false">
      <c r="A904" s="35"/>
      <c r="B904" s="36"/>
      <c r="C904" s="36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customFormat="false" ht="14.25" hidden="false" customHeight="true" outlineLevel="0" collapsed="false">
      <c r="A905" s="35"/>
      <c r="B905" s="36"/>
      <c r="C905" s="36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customFormat="false" ht="14.25" hidden="false" customHeight="true" outlineLevel="0" collapsed="false">
      <c r="A906" s="35"/>
      <c r="B906" s="36"/>
      <c r="C906" s="36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customFormat="false" ht="14.25" hidden="false" customHeight="true" outlineLevel="0" collapsed="false">
      <c r="A907" s="35"/>
      <c r="B907" s="36"/>
      <c r="C907" s="36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customFormat="false" ht="14.25" hidden="false" customHeight="true" outlineLevel="0" collapsed="false">
      <c r="A908" s="35"/>
      <c r="B908" s="36"/>
      <c r="C908" s="36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customFormat="false" ht="14.25" hidden="false" customHeight="true" outlineLevel="0" collapsed="false">
      <c r="A909" s="35"/>
      <c r="B909" s="36"/>
      <c r="C909" s="36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customFormat="false" ht="14.25" hidden="false" customHeight="true" outlineLevel="0" collapsed="false">
      <c r="A910" s="35"/>
      <c r="B910" s="36"/>
      <c r="C910" s="36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customFormat="false" ht="14.25" hidden="false" customHeight="true" outlineLevel="0" collapsed="false">
      <c r="A911" s="35"/>
      <c r="B911" s="36"/>
      <c r="C911" s="36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customFormat="false" ht="14.25" hidden="false" customHeight="true" outlineLevel="0" collapsed="false">
      <c r="A912" s="35"/>
      <c r="B912" s="36"/>
      <c r="C912" s="36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customFormat="false" ht="14.25" hidden="false" customHeight="true" outlineLevel="0" collapsed="false">
      <c r="A913" s="35"/>
      <c r="B913" s="36"/>
      <c r="C913" s="36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customFormat="false" ht="14.25" hidden="false" customHeight="true" outlineLevel="0" collapsed="false">
      <c r="A914" s="35"/>
      <c r="B914" s="36"/>
      <c r="C914" s="36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customFormat="false" ht="14.25" hidden="false" customHeight="true" outlineLevel="0" collapsed="false">
      <c r="A915" s="35"/>
      <c r="B915" s="36"/>
      <c r="C915" s="36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customFormat="false" ht="14.25" hidden="false" customHeight="true" outlineLevel="0" collapsed="false">
      <c r="A916" s="35"/>
      <c r="B916" s="36"/>
      <c r="C916" s="36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customFormat="false" ht="14.25" hidden="false" customHeight="true" outlineLevel="0" collapsed="false">
      <c r="A917" s="35"/>
      <c r="B917" s="36"/>
      <c r="C917" s="36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customFormat="false" ht="14.25" hidden="false" customHeight="true" outlineLevel="0" collapsed="false">
      <c r="A918" s="35"/>
      <c r="B918" s="36"/>
      <c r="C918" s="36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customFormat="false" ht="14.25" hidden="false" customHeight="true" outlineLevel="0" collapsed="false">
      <c r="A919" s="35"/>
      <c r="B919" s="36"/>
      <c r="C919" s="36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customFormat="false" ht="14.25" hidden="false" customHeight="true" outlineLevel="0" collapsed="false">
      <c r="A920" s="35"/>
      <c r="B920" s="36"/>
      <c r="C920" s="36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customFormat="false" ht="14.25" hidden="false" customHeight="true" outlineLevel="0" collapsed="false">
      <c r="A921" s="35"/>
      <c r="B921" s="36"/>
      <c r="C921" s="36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customFormat="false" ht="14.25" hidden="false" customHeight="true" outlineLevel="0" collapsed="false">
      <c r="A922" s="35"/>
      <c r="B922" s="36"/>
      <c r="C922" s="36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customFormat="false" ht="14.25" hidden="false" customHeight="true" outlineLevel="0" collapsed="false">
      <c r="A923" s="35"/>
      <c r="B923" s="36"/>
      <c r="C923" s="36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customFormat="false" ht="14.25" hidden="false" customHeight="true" outlineLevel="0" collapsed="false">
      <c r="A924" s="35"/>
      <c r="B924" s="36"/>
      <c r="C924" s="36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customFormat="false" ht="14.25" hidden="false" customHeight="true" outlineLevel="0" collapsed="false">
      <c r="A925" s="35"/>
      <c r="B925" s="36"/>
      <c r="C925" s="36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customFormat="false" ht="14.25" hidden="false" customHeight="true" outlineLevel="0" collapsed="false">
      <c r="A926" s="35"/>
      <c r="B926" s="36"/>
      <c r="C926" s="36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customFormat="false" ht="14.25" hidden="false" customHeight="true" outlineLevel="0" collapsed="false">
      <c r="A927" s="35"/>
      <c r="B927" s="36"/>
      <c r="C927" s="36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customFormat="false" ht="14.25" hidden="false" customHeight="true" outlineLevel="0" collapsed="false">
      <c r="A928" s="35"/>
      <c r="B928" s="36"/>
      <c r="C928" s="36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customFormat="false" ht="14.25" hidden="false" customHeight="true" outlineLevel="0" collapsed="false">
      <c r="A929" s="35"/>
      <c r="B929" s="36"/>
      <c r="C929" s="36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customFormat="false" ht="14.25" hidden="false" customHeight="true" outlineLevel="0" collapsed="false">
      <c r="A930" s="35"/>
      <c r="B930" s="36"/>
      <c r="C930" s="36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customFormat="false" ht="14.25" hidden="false" customHeight="true" outlineLevel="0" collapsed="false">
      <c r="A931" s="35"/>
      <c r="B931" s="36"/>
      <c r="C931" s="36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customFormat="false" ht="14.25" hidden="false" customHeight="true" outlineLevel="0" collapsed="false">
      <c r="A932" s="35"/>
      <c r="B932" s="36"/>
      <c r="C932" s="36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customFormat="false" ht="14.25" hidden="false" customHeight="true" outlineLevel="0" collapsed="false">
      <c r="A933" s="35"/>
      <c r="B933" s="36"/>
      <c r="C933" s="36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customFormat="false" ht="14.25" hidden="false" customHeight="true" outlineLevel="0" collapsed="false">
      <c r="A934" s="35"/>
      <c r="B934" s="36"/>
      <c r="C934" s="36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customFormat="false" ht="14.25" hidden="false" customHeight="true" outlineLevel="0" collapsed="false">
      <c r="A935" s="35"/>
      <c r="B935" s="36"/>
      <c r="C935" s="36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customFormat="false" ht="14.25" hidden="false" customHeight="true" outlineLevel="0" collapsed="false">
      <c r="A936" s="35"/>
      <c r="B936" s="36"/>
      <c r="C936" s="36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customFormat="false" ht="14.25" hidden="false" customHeight="true" outlineLevel="0" collapsed="false">
      <c r="A937" s="35"/>
      <c r="B937" s="36"/>
      <c r="C937" s="36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customFormat="false" ht="14.25" hidden="false" customHeight="true" outlineLevel="0" collapsed="false">
      <c r="A938" s="35"/>
      <c r="B938" s="36"/>
      <c r="C938" s="36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customFormat="false" ht="14.25" hidden="false" customHeight="true" outlineLevel="0" collapsed="false">
      <c r="A939" s="35"/>
      <c r="B939" s="36"/>
      <c r="C939" s="36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customFormat="false" ht="14.25" hidden="false" customHeight="true" outlineLevel="0" collapsed="false">
      <c r="A940" s="35"/>
      <c r="B940" s="36"/>
      <c r="C940" s="36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customFormat="false" ht="14.25" hidden="false" customHeight="true" outlineLevel="0" collapsed="false">
      <c r="A941" s="35"/>
      <c r="B941" s="36"/>
      <c r="C941" s="36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customFormat="false" ht="14.25" hidden="false" customHeight="true" outlineLevel="0" collapsed="false">
      <c r="A942" s="35"/>
      <c r="B942" s="36"/>
      <c r="C942" s="36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customFormat="false" ht="14.25" hidden="false" customHeight="true" outlineLevel="0" collapsed="false">
      <c r="A943" s="35"/>
      <c r="B943" s="36"/>
      <c r="C943" s="36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customFormat="false" ht="14.25" hidden="false" customHeight="true" outlineLevel="0" collapsed="false">
      <c r="A944" s="35"/>
      <c r="B944" s="36"/>
      <c r="C944" s="36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customFormat="false" ht="14.25" hidden="false" customHeight="true" outlineLevel="0" collapsed="false">
      <c r="A945" s="35"/>
      <c r="B945" s="36"/>
      <c r="C945" s="36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customFormat="false" ht="14.25" hidden="false" customHeight="true" outlineLevel="0" collapsed="false">
      <c r="A946" s="35"/>
      <c r="B946" s="36"/>
      <c r="C946" s="36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customFormat="false" ht="14.25" hidden="false" customHeight="true" outlineLevel="0" collapsed="false">
      <c r="A947" s="35"/>
      <c r="B947" s="36"/>
      <c r="C947" s="36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customFormat="false" ht="14.25" hidden="false" customHeight="true" outlineLevel="0" collapsed="false">
      <c r="A948" s="35"/>
      <c r="B948" s="36"/>
      <c r="C948" s="36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customFormat="false" ht="14.25" hidden="false" customHeight="true" outlineLevel="0" collapsed="false">
      <c r="A949" s="35"/>
      <c r="B949" s="36"/>
      <c r="C949" s="36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customFormat="false" ht="14.25" hidden="false" customHeight="true" outlineLevel="0" collapsed="false">
      <c r="A950" s="35"/>
      <c r="B950" s="36"/>
      <c r="C950" s="36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customFormat="false" ht="14.25" hidden="false" customHeight="true" outlineLevel="0" collapsed="false">
      <c r="A951" s="35"/>
      <c r="B951" s="36"/>
      <c r="C951" s="36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customFormat="false" ht="14.25" hidden="false" customHeight="true" outlineLevel="0" collapsed="false">
      <c r="A952" s="35"/>
      <c r="B952" s="36"/>
      <c r="C952" s="36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customFormat="false" ht="14.25" hidden="false" customHeight="true" outlineLevel="0" collapsed="false">
      <c r="A953" s="35"/>
      <c r="B953" s="36"/>
      <c r="C953" s="36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customFormat="false" ht="14.25" hidden="false" customHeight="true" outlineLevel="0" collapsed="false">
      <c r="A954" s="35"/>
      <c r="B954" s="36"/>
      <c r="C954" s="36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customFormat="false" ht="14.25" hidden="false" customHeight="true" outlineLevel="0" collapsed="false">
      <c r="A955" s="35"/>
      <c r="B955" s="36"/>
      <c r="C955" s="36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customFormat="false" ht="14.25" hidden="false" customHeight="true" outlineLevel="0" collapsed="false">
      <c r="A956" s="35"/>
      <c r="B956" s="36"/>
      <c r="C956" s="36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customFormat="false" ht="14.25" hidden="false" customHeight="true" outlineLevel="0" collapsed="false">
      <c r="A957" s="35"/>
      <c r="B957" s="36"/>
      <c r="C957" s="36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customFormat="false" ht="14.25" hidden="false" customHeight="true" outlineLevel="0" collapsed="false">
      <c r="A958" s="35"/>
      <c r="B958" s="36"/>
      <c r="C958" s="36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customFormat="false" ht="14.25" hidden="false" customHeight="true" outlineLevel="0" collapsed="false">
      <c r="A959" s="35"/>
      <c r="B959" s="36"/>
      <c r="C959" s="36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customFormat="false" ht="14.25" hidden="false" customHeight="true" outlineLevel="0" collapsed="false">
      <c r="A960" s="35"/>
      <c r="B960" s="36"/>
      <c r="C960" s="36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customFormat="false" ht="14.25" hidden="false" customHeight="true" outlineLevel="0" collapsed="false">
      <c r="A961" s="35"/>
      <c r="B961" s="36"/>
      <c r="C961" s="36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customFormat="false" ht="14.25" hidden="false" customHeight="true" outlineLevel="0" collapsed="false">
      <c r="A962" s="35"/>
      <c r="B962" s="36"/>
      <c r="C962" s="36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customFormat="false" ht="14.25" hidden="false" customHeight="true" outlineLevel="0" collapsed="false">
      <c r="A963" s="35"/>
      <c r="B963" s="36"/>
      <c r="C963" s="36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customFormat="false" ht="14.25" hidden="false" customHeight="true" outlineLevel="0" collapsed="false">
      <c r="A964" s="35"/>
      <c r="B964" s="36"/>
      <c r="C964" s="36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customFormat="false" ht="14.25" hidden="false" customHeight="true" outlineLevel="0" collapsed="false">
      <c r="A965" s="35"/>
      <c r="B965" s="36"/>
      <c r="C965" s="36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customFormat="false" ht="14.25" hidden="false" customHeight="true" outlineLevel="0" collapsed="false">
      <c r="A966" s="35"/>
      <c r="B966" s="36"/>
      <c r="C966" s="36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customFormat="false" ht="14.25" hidden="false" customHeight="true" outlineLevel="0" collapsed="false">
      <c r="A967" s="35"/>
      <c r="B967" s="36"/>
      <c r="C967" s="36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customFormat="false" ht="14.25" hidden="false" customHeight="true" outlineLevel="0" collapsed="false">
      <c r="A968" s="35"/>
      <c r="B968" s="36"/>
      <c r="C968" s="36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customFormat="false" ht="14.25" hidden="false" customHeight="true" outlineLevel="0" collapsed="false">
      <c r="A969" s="35"/>
      <c r="B969" s="36"/>
      <c r="C969" s="36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customFormat="false" ht="14.25" hidden="false" customHeight="true" outlineLevel="0" collapsed="false">
      <c r="A970" s="35"/>
      <c r="B970" s="36"/>
      <c r="C970" s="36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customFormat="false" ht="14.25" hidden="false" customHeight="true" outlineLevel="0" collapsed="false">
      <c r="A971" s="35"/>
      <c r="B971" s="36"/>
      <c r="C971" s="36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customFormat="false" ht="14.25" hidden="false" customHeight="true" outlineLevel="0" collapsed="false">
      <c r="A972" s="35"/>
      <c r="B972" s="36"/>
      <c r="C972" s="36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customFormat="false" ht="14.25" hidden="false" customHeight="true" outlineLevel="0" collapsed="false">
      <c r="A973" s="35"/>
      <c r="B973" s="36"/>
      <c r="C973" s="36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customFormat="false" ht="14.25" hidden="false" customHeight="true" outlineLevel="0" collapsed="false">
      <c r="A974" s="35"/>
      <c r="B974" s="36"/>
      <c r="C974" s="36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customFormat="false" ht="14.25" hidden="false" customHeight="true" outlineLevel="0" collapsed="false">
      <c r="A975" s="35"/>
      <c r="B975" s="36"/>
      <c r="C975" s="36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customFormat="false" ht="14.25" hidden="false" customHeight="true" outlineLevel="0" collapsed="false">
      <c r="A976" s="35"/>
      <c r="B976" s="36"/>
      <c r="C976" s="36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customFormat="false" ht="14.25" hidden="false" customHeight="true" outlineLevel="0" collapsed="false">
      <c r="A977" s="35"/>
      <c r="B977" s="36"/>
      <c r="C977" s="36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customFormat="false" ht="14.25" hidden="false" customHeight="true" outlineLevel="0" collapsed="false">
      <c r="A978" s="35"/>
      <c r="B978" s="36"/>
      <c r="C978" s="36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customFormat="false" ht="14.25" hidden="false" customHeight="true" outlineLevel="0" collapsed="false">
      <c r="A979" s="35"/>
      <c r="B979" s="36"/>
      <c r="C979" s="36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customFormat="false" ht="14.25" hidden="false" customHeight="true" outlineLevel="0" collapsed="false">
      <c r="A980" s="35"/>
      <c r="B980" s="36"/>
      <c r="C980" s="36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customFormat="false" ht="14.25" hidden="false" customHeight="true" outlineLevel="0" collapsed="false">
      <c r="A981" s="35"/>
      <c r="B981" s="36"/>
      <c r="C981" s="36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customFormat="false" ht="14.25" hidden="false" customHeight="true" outlineLevel="0" collapsed="false">
      <c r="A982" s="35"/>
      <c r="B982" s="36"/>
      <c r="C982" s="36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customFormat="false" ht="14.25" hidden="false" customHeight="true" outlineLevel="0" collapsed="false">
      <c r="A983" s="35"/>
      <c r="B983" s="36"/>
      <c r="C983" s="36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customFormat="false" ht="14.25" hidden="false" customHeight="true" outlineLevel="0" collapsed="false">
      <c r="A984" s="35"/>
      <c r="B984" s="36"/>
      <c r="C984" s="36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customFormat="false" ht="14.25" hidden="false" customHeight="true" outlineLevel="0" collapsed="false">
      <c r="A985" s="35"/>
      <c r="B985" s="36"/>
      <c r="C985" s="36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customFormat="false" ht="14.25" hidden="false" customHeight="true" outlineLevel="0" collapsed="false">
      <c r="A986" s="35"/>
      <c r="B986" s="36"/>
      <c r="C986" s="36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customFormat="false" ht="14.25" hidden="false" customHeight="true" outlineLevel="0" collapsed="false">
      <c r="A987" s="35"/>
      <c r="B987" s="36"/>
      <c r="C987" s="36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customFormat="false" ht="14.25" hidden="false" customHeight="true" outlineLevel="0" collapsed="false">
      <c r="A988" s="35"/>
      <c r="B988" s="36"/>
      <c r="C988" s="36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customFormat="false" ht="14.25" hidden="false" customHeight="true" outlineLevel="0" collapsed="false">
      <c r="A989" s="35"/>
      <c r="B989" s="36"/>
      <c r="C989" s="36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customFormat="false" ht="14.25" hidden="false" customHeight="true" outlineLevel="0" collapsed="false">
      <c r="A990" s="35"/>
      <c r="B990" s="36"/>
      <c r="C990" s="36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customFormat="false" ht="14.25" hidden="false" customHeight="true" outlineLevel="0" collapsed="false">
      <c r="A991" s="35"/>
      <c r="B991" s="36"/>
      <c r="C991" s="36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customFormat="false" ht="14.25" hidden="false" customHeight="true" outlineLevel="0" collapsed="false">
      <c r="A992" s="35"/>
      <c r="B992" s="36"/>
      <c r="C992" s="36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customFormat="false" ht="14.25" hidden="false" customHeight="true" outlineLevel="0" collapsed="false">
      <c r="A993" s="35"/>
      <c r="B993" s="36"/>
      <c r="C993" s="36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customFormat="false" ht="14.25" hidden="false" customHeight="true" outlineLevel="0" collapsed="false">
      <c r="A994" s="35"/>
      <c r="B994" s="36"/>
      <c r="C994" s="36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customFormat="false" ht="14.25" hidden="false" customHeight="true" outlineLevel="0" collapsed="false">
      <c r="A995" s="35"/>
      <c r="B995" s="36"/>
      <c r="C995" s="36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customFormat="false" ht="14.25" hidden="false" customHeight="true" outlineLevel="0" collapsed="false">
      <c r="A996" s="35"/>
      <c r="B996" s="36"/>
      <c r="C996" s="36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customFormat="false" ht="14.25" hidden="false" customHeight="true" outlineLevel="0" collapsed="false">
      <c r="A997" s="35"/>
      <c r="B997" s="36"/>
      <c r="C997" s="36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customFormat="false" ht="14.25" hidden="false" customHeight="true" outlineLevel="0" collapsed="false">
      <c r="A998" s="35"/>
      <c r="B998" s="36"/>
      <c r="C998" s="36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customFormat="false" ht="14.25" hidden="false" customHeight="true" outlineLevel="0" collapsed="false">
      <c r="A999" s="35"/>
      <c r="B999" s="36"/>
      <c r="C999" s="36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customFormat="false" ht="14.25" hidden="false" customHeight="true" outlineLevel="0" collapsed="false">
      <c r="A1000" s="35"/>
      <c r="B1000" s="36"/>
      <c r="C1000" s="36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2" colorId="64" zoomScale="80" zoomScaleNormal="80" zoomScalePageLayoutView="100" workbookViewId="0">
      <selection pane="topLeft" activeCell="E10" activeCellId="0" sqref="E10"/>
    </sheetView>
  </sheetViews>
  <sheetFormatPr defaultColWidth="14.3359375" defaultRowHeight="14.25" zeroHeight="false" outlineLevelRow="0" outlineLevelCol="0"/>
  <cols>
    <col collapsed="false" customWidth="true" hidden="false" outlineLevel="0" max="1" min="1" style="1" width="26.11"/>
    <col collapsed="false" customWidth="true" hidden="false" outlineLevel="0" max="2" min="2" style="1" width="33.21"/>
    <col collapsed="false" customWidth="true" hidden="false" outlineLevel="0" max="3" min="3" style="1" width="22"/>
    <col collapsed="false" customWidth="true" hidden="false" outlineLevel="0" max="4" min="4" style="1" width="25.22"/>
    <col collapsed="false" customWidth="true" hidden="false" outlineLevel="0" max="5" min="5" style="1" width="30.67"/>
    <col collapsed="false" customWidth="true" hidden="true" outlineLevel="0" max="6" min="6" style="1" width="31.22"/>
    <col collapsed="false" customWidth="true" hidden="false" outlineLevel="0" max="26" min="7" style="1" width="8.77"/>
    <col collapsed="false" customWidth="false" hidden="false" outlineLevel="0" max="16384" min="27" style="1" width="14.33"/>
  </cols>
  <sheetData>
    <row r="1" customFormat="false" ht="19.5" hidden="false" customHeight="true" outlineLevel="0" collapsed="false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customFormat="false" ht="19.5" hidden="false" customHeight="true" outlineLevel="0" collapsed="false">
      <c r="A2" s="45"/>
      <c r="B2" s="46" t="s">
        <v>30</v>
      </c>
      <c r="C2" s="47" t="n">
        <v>1</v>
      </c>
      <c r="D2" s="47" t="n">
        <v>3</v>
      </c>
      <c r="E2" s="47" t="n">
        <v>5</v>
      </c>
      <c r="F2" s="48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customFormat="false" ht="19.5" hidden="false" customHeight="true" outlineLevel="0" collapsed="false">
      <c r="A3" s="47" t="s">
        <v>64</v>
      </c>
      <c r="B3" s="46" t="s">
        <v>65</v>
      </c>
      <c r="C3" s="47" t="s">
        <v>33</v>
      </c>
      <c r="D3" s="47" t="s">
        <v>35</v>
      </c>
      <c r="E3" s="47" t="s">
        <v>66</v>
      </c>
      <c r="F3" s="48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customFormat="false" ht="28.5" hidden="false" customHeight="true" outlineLevel="0" collapsed="false">
      <c r="A4" s="49" t="s">
        <v>67</v>
      </c>
      <c r="B4" s="13" t="s">
        <v>19</v>
      </c>
      <c r="C4" s="50" t="n">
        <v>10</v>
      </c>
      <c r="D4" s="51" t="s">
        <v>68</v>
      </c>
      <c r="E4" s="50" t="s">
        <v>69</v>
      </c>
      <c r="F4" s="15" t="s">
        <v>70</v>
      </c>
      <c r="G4" s="35"/>
      <c r="H4" s="36" t="s">
        <v>71</v>
      </c>
      <c r="I4" s="36"/>
      <c r="J4" s="35"/>
      <c r="K4" s="52" t="n">
        <v>1</v>
      </c>
      <c r="L4" s="52"/>
      <c r="M4" s="52"/>
      <c r="N4" s="52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customFormat="false" ht="19.5" hidden="false" customHeight="true" outlineLevel="0" collapsed="false">
      <c r="A5" s="49"/>
      <c r="B5" s="14" t="s">
        <v>20</v>
      </c>
      <c r="C5" s="50" t="n">
        <v>1</v>
      </c>
      <c r="D5" s="50" t="s">
        <v>72</v>
      </c>
      <c r="E5" s="50" t="s">
        <v>73</v>
      </c>
      <c r="F5" s="48"/>
      <c r="G5" s="35"/>
      <c r="H5" s="35" t="s">
        <v>74</v>
      </c>
      <c r="I5" s="35" t="s">
        <v>75</v>
      </c>
      <c r="J5" s="35"/>
      <c r="K5" s="52"/>
      <c r="L5" s="52"/>
      <c r="M5" s="52"/>
      <c r="N5" s="52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customFormat="false" ht="19.5" hidden="false" customHeight="true" outlineLevel="0" collapsed="false">
      <c r="A6" s="49"/>
      <c r="B6" s="14" t="s">
        <v>21</v>
      </c>
      <c r="C6" s="50" t="s">
        <v>76</v>
      </c>
      <c r="D6" s="50" t="s">
        <v>77</v>
      </c>
      <c r="E6" s="50" t="s">
        <v>78</v>
      </c>
      <c r="F6" s="48"/>
      <c r="G6" s="35"/>
      <c r="H6" s="35" t="s">
        <v>79</v>
      </c>
      <c r="I6" s="35"/>
      <c r="J6" s="35"/>
      <c r="K6" s="52"/>
      <c r="L6" s="52"/>
      <c r="M6" s="52"/>
      <c r="N6" s="52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customFormat="false" ht="19.5" hidden="false" customHeight="true" outlineLevel="0" collapsed="false">
      <c r="A7" s="49"/>
      <c r="B7" s="14" t="s">
        <v>22</v>
      </c>
      <c r="C7" s="50" t="s">
        <v>80</v>
      </c>
      <c r="D7" s="50" t="s">
        <v>81</v>
      </c>
      <c r="E7" s="50" t="s">
        <v>82</v>
      </c>
      <c r="F7" s="48"/>
      <c r="G7" s="35"/>
      <c r="H7" s="35" t="s">
        <v>83</v>
      </c>
      <c r="I7" s="35"/>
      <c r="J7" s="35"/>
      <c r="K7" s="52"/>
      <c r="L7" s="52"/>
      <c r="M7" s="52"/>
      <c r="N7" s="52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customFormat="false" ht="19.5" hidden="false" customHeight="true" outlineLevel="0" collapsed="false">
      <c r="A8" s="49"/>
      <c r="B8" s="14" t="s">
        <v>23</v>
      </c>
      <c r="C8" s="50" t="n">
        <v>2</v>
      </c>
      <c r="D8" s="50" t="s">
        <v>84</v>
      </c>
      <c r="E8" s="50" t="s">
        <v>85</v>
      </c>
      <c r="F8" s="48"/>
      <c r="G8" s="35"/>
      <c r="H8" s="35" t="s">
        <v>86</v>
      </c>
      <c r="I8" s="35"/>
      <c r="J8" s="35"/>
      <c r="K8" s="52"/>
      <c r="L8" s="52"/>
      <c r="M8" s="52"/>
      <c r="N8" s="52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customFormat="false" ht="19.5" hidden="false" customHeight="true" outlineLevel="0" collapsed="false">
      <c r="A9" s="49"/>
      <c r="B9" s="14" t="s">
        <v>24</v>
      </c>
      <c r="C9" s="50" t="n">
        <v>3</v>
      </c>
      <c r="D9" s="50" t="s">
        <v>87</v>
      </c>
      <c r="E9" s="50" t="s">
        <v>88</v>
      </c>
      <c r="F9" s="48"/>
      <c r="G9" s="35"/>
      <c r="H9" s="35" t="s">
        <v>89</v>
      </c>
      <c r="I9" s="35"/>
      <c r="J9" s="35"/>
      <c r="K9" s="52"/>
      <c r="L9" s="52"/>
      <c r="M9" s="52"/>
      <c r="N9" s="52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customFormat="false" ht="42" hidden="false" customHeight="true" outlineLevel="0" collapsed="false">
      <c r="A10" s="49"/>
      <c r="B10" s="13" t="s">
        <v>25</v>
      </c>
      <c r="C10" s="53" t="s">
        <v>90</v>
      </c>
      <c r="D10" s="15" t="s">
        <v>91</v>
      </c>
      <c r="E10" s="15" t="s">
        <v>92</v>
      </c>
      <c r="F10" s="48"/>
      <c r="G10" s="35"/>
      <c r="H10" s="35" t="s">
        <v>93</v>
      </c>
      <c r="I10" s="35"/>
      <c r="J10" s="35"/>
      <c r="K10" s="52"/>
      <c r="L10" s="52"/>
      <c r="M10" s="52"/>
      <c r="N10" s="52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customFormat="false" ht="19.5" hidden="false" customHeight="true" outlineLevel="0" collapsed="false">
      <c r="A11" s="49"/>
      <c r="B11" s="14" t="s">
        <v>26</v>
      </c>
      <c r="C11" s="50" t="n">
        <v>2</v>
      </c>
      <c r="D11" s="50" t="s">
        <v>84</v>
      </c>
      <c r="E11" s="50" t="s">
        <v>88</v>
      </c>
      <c r="F11" s="48"/>
      <c r="G11" s="35"/>
      <c r="H11" s="35" t="s">
        <v>94</v>
      </c>
      <c r="I11" s="35"/>
      <c r="J11" s="35"/>
      <c r="K11" s="52"/>
      <c r="L11" s="52"/>
      <c r="M11" s="52"/>
      <c r="N11" s="52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customFormat="false" ht="30.75" hidden="false" customHeight="true" outlineLevel="0" collapsed="false">
      <c r="A12" s="49"/>
      <c r="B12" s="15" t="s">
        <v>27</v>
      </c>
      <c r="C12" s="15" t="s">
        <v>95</v>
      </c>
      <c r="D12" s="15" t="s">
        <v>96</v>
      </c>
      <c r="E12" s="15" t="s">
        <v>97</v>
      </c>
      <c r="F12" s="48"/>
      <c r="G12" s="35"/>
      <c r="H12" s="35" t="s">
        <v>98</v>
      </c>
      <c r="I12" s="35"/>
      <c r="J12" s="35"/>
      <c r="K12" s="52"/>
      <c r="L12" s="52"/>
      <c r="M12" s="52"/>
      <c r="N12" s="52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customFormat="false" ht="46.5" hidden="false" customHeight="true" outlineLevel="0" collapsed="false">
      <c r="A13" s="49"/>
      <c r="B13" s="15" t="s">
        <v>28</v>
      </c>
      <c r="C13" s="15" t="s">
        <v>99</v>
      </c>
      <c r="D13" s="15" t="s">
        <v>100</v>
      </c>
      <c r="E13" s="15" t="s">
        <v>101</v>
      </c>
      <c r="F13" s="48"/>
      <c r="G13" s="35"/>
      <c r="H13" s="35" t="s">
        <v>102</v>
      </c>
      <c r="I13" s="35"/>
      <c r="J13" s="35"/>
      <c r="K13" s="52"/>
      <c r="L13" s="52"/>
      <c r="M13" s="52"/>
      <c r="N13" s="52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customFormat="false" ht="81" hidden="false" customHeight="true" outlineLevel="0" collapsed="false">
      <c r="A14" s="49"/>
      <c r="B14" s="54" t="s">
        <v>29</v>
      </c>
      <c r="C14" s="54" t="s">
        <v>103</v>
      </c>
      <c r="D14" s="54" t="s">
        <v>104</v>
      </c>
      <c r="E14" s="54" t="s">
        <v>105</v>
      </c>
      <c r="F14" s="48"/>
      <c r="G14" s="35"/>
      <c r="H14" s="35" t="s">
        <v>106</v>
      </c>
      <c r="I14" s="35"/>
      <c r="J14" s="35"/>
      <c r="K14" s="52"/>
      <c r="L14" s="52"/>
      <c r="M14" s="52"/>
      <c r="N14" s="52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customFormat="false" ht="19.5" hidden="false" customHeight="true" outlineLevel="0" collapsed="false">
      <c r="A15" s="49"/>
      <c r="B15" s="55"/>
      <c r="C15" s="56"/>
      <c r="D15" s="56"/>
      <c r="E15" s="56"/>
      <c r="F15" s="48"/>
      <c r="G15" s="35"/>
      <c r="H15" s="35" t="s">
        <v>107</v>
      </c>
      <c r="I15" s="35"/>
      <c r="J15" s="35"/>
      <c r="K15" s="52"/>
      <c r="L15" s="52"/>
      <c r="M15" s="52"/>
      <c r="N15" s="52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customFormat="false" ht="19.5" hidden="false" customHeight="true" outlineLevel="0" collapsed="false">
      <c r="A16" s="49"/>
      <c r="B16" s="55"/>
      <c r="C16" s="56"/>
      <c r="D16" s="56"/>
      <c r="E16" s="56"/>
      <c r="F16" s="48"/>
      <c r="G16" s="35"/>
      <c r="H16" s="35"/>
      <c r="I16" s="35"/>
      <c r="J16" s="35"/>
      <c r="K16" s="52"/>
      <c r="L16" s="52"/>
      <c r="M16" s="52"/>
      <c r="N16" s="52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customFormat="false" ht="19.5" hidden="false" customHeight="true" outlineLevel="0" collapsed="false">
      <c r="A17" s="49"/>
      <c r="B17" s="55"/>
      <c r="C17" s="56"/>
      <c r="D17" s="56"/>
      <c r="E17" s="56"/>
      <c r="F17" s="48"/>
      <c r="G17" s="35"/>
      <c r="H17" s="35"/>
      <c r="I17" s="35"/>
      <c r="J17" s="35"/>
      <c r="K17" s="52"/>
      <c r="L17" s="52"/>
      <c r="M17" s="52"/>
      <c r="N17" s="52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customFormat="false" ht="19.5" hidden="false" customHeight="true" outlineLevel="0" collapsed="false">
      <c r="A18" s="49"/>
      <c r="B18" s="55"/>
      <c r="C18" s="56"/>
      <c r="D18" s="56"/>
      <c r="E18" s="56"/>
      <c r="F18" s="48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customFormat="false" ht="19.5" hidden="false" customHeight="true" outlineLevel="0" collapsed="false">
      <c r="A19" s="49"/>
      <c r="B19" s="15"/>
      <c r="C19" s="15"/>
      <c r="D19" s="15"/>
      <c r="E19" s="15"/>
      <c r="F19" s="15" t="s">
        <v>108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customFormat="false" ht="14.25" hidden="false" customHeight="true" outlineLevel="0" collapsed="false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customFormat="false" ht="14.25" hidden="false" customHeight="true" outlineLevel="0" collapsed="false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customFormat="false" ht="14.25" hidden="false" customHeight="true" outlineLevel="0" collapsed="false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customFormat="false" ht="14.25" hidden="false" customHeight="true" outlineLevel="0" collapsed="false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customFormat="false" ht="14.25" hidden="false" customHeight="true" outlineLevel="0" collapsed="false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customFormat="false" ht="14.25" hidden="false" customHeight="true" outlineLevel="0" collapsed="false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customFormat="false" ht="14.25" hidden="false" customHeight="true" outlineLevel="0" collapsed="false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customFormat="false" ht="14.25" hidden="false" customHeight="true" outlineLevel="0" collapsed="false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14.25" hidden="false" customHeight="true" outlineLevel="0" collapsed="false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14.25" hidden="false" customHeight="true" outlineLevel="0" collapsed="false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14.25" hidden="false" customHeight="true" outlineLevel="0" collapsed="false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14.25" hidden="false" customHeight="true" outlineLevel="0" collapsed="false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customFormat="false" ht="14.25" hidden="false" customHeight="true" outlineLevel="0" collapsed="false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customFormat="false" ht="14.25" hidden="false" customHeight="true" outlineLevel="0" collapsed="false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customFormat="false" ht="14.25" hidden="false" customHeight="true" outlineLevel="0" collapsed="false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customFormat="false" ht="14.25" hidden="false" customHeight="true" outlineLevel="0" collapsed="false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customFormat="false" ht="14.25" hidden="false" customHeight="true" outlineLevel="0" collapsed="false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customFormat="false" ht="14.25" hidden="false" customHeight="true" outlineLevel="0" collapsed="false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customFormat="false" ht="14.25" hidden="false" customHeight="true" outlineLevel="0" collapsed="false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customFormat="false" ht="14.25" hidden="false" customHeight="true" outlineLevel="0" collapsed="false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customFormat="false" ht="14.25" hidden="false" customHeight="true" outlineLevel="0" collapsed="false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customFormat="false" ht="14.25" hidden="false" customHeight="true" outlineLevel="0" collapsed="false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customFormat="false" ht="14.25" hidden="false" customHeight="true" outlineLevel="0" collapsed="false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customFormat="false" ht="14.25" hidden="false" customHeight="true" outlineLevel="0" collapsed="false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customFormat="false" ht="14.25" hidden="false" customHeight="true" outlineLevel="0" collapsed="false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customFormat="false" ht="14.25" hidden="false" customHeight="true" outlineLevel="0" collapsed="false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customFormat="false" ht="14.25" hidden="false" customHeight="true" outlineLevel="0" collapsed="false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customFormat="false" ht="14.25" hidden="false" customHeight="true" outlineLevel="0" collapsed="false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customFormat="false" ht="14.25" hidden="false" customHeight="true" outlineLevel="0" collapsed="false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customFormat="false" ht="14.25" hidden="false" customHeight="true" outlineLevel="0" collapsed="false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customFormat="false" ht="14.25" hidden="false" customHeight="true" outlineLevel="0" collapsed="false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customFormat="false" ht="14.25" hidden="false" customHeight="true" outlineLevel="0" collapsed="false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customFormat="false" ht="14.25" hidden="false" customHeight="true" outlineLevel="0" collapsed="false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customFormat="false" ht="14.25" hidden="false" customHeight="true" outlineLevel="0" collapsed="false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customFormat="false" ht="14.25" hidden="false" customHeight="true" outlineLevel="0" collapsed="false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customFormat="false" ht="14.25" hidden="false" customHeight="true" outlineLevel="0" collapsed="false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customFormat="false" ht="14.25" hidden="false" customHeight="true" outlineLevel="0" collapsed="false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customFormat="false" ht="14.25" hidden="false" customHeight="true" outlineLevel="0" collapsed="false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customFormat="false" ht="14.25" hidden="false" customHeight="true" outlineLevel="0" collapsed="false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customFormat="false" ht="14.25" hidden="false" customHeight="true" outlineLevel="0" collapsed="false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customFormat="false" ht="14.25" hidden="false" customHeight="true" outlineLevel="0" collapsed="false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customFormat="false" ht="14.25" hidden="false" customHeight="true" outlineLevel="0" collapsed="false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customFormat="false" ht="14.25" hidden="false" customHeight="true" outlineLevel="0" collapsed="false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customFormat="false" ht="14.25" hidden="false" customHeight="true" outlineLevel="0" collapsed="false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customFormat="false" ht="14.25" hidden="false" customHeight="true" outlineLevel="0" collapsed="false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customFormat="false" ht="14.25" hidden="false" customHeight="true" outlineLevel="0" collapsed="false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customFormat="false" ht="14.25" hidden="false" customHeight="true" outlineLevel="0" collapsed="false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customFormat="false" ht="14.25" hidden="false" customHeight="true" outlineLevel="0" collapsed="false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customFormat="false" ht="14.25" hidden="false" customHeight="true" outlineLevel="0" collapsed="false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customFormat="false" ht="14.25" hidden="false" customHeight="true" outlineLevel="0" collapsed="false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customFormat="false" ht="14.25" hidden="false" customHeight="true" outlineLevel="0" collapsed="false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customFormat="false" ht="14.25" hidden="false" customHeight="true" outlineLevel="0" collapsed="false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customFormat="false" ht="14.25" hidden="false" customHeight="true" outlineLevel="0" collapsed="false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customFormat="false" ht="14.25" hidden="false" customHeight="true" outlineLevel="0" collapsed="false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customFormat="false" ht="14.25" hidden="false" customHeight="true" outlineLevel="0" collapsed="false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customFormat="false" ht="14.25" hidden="false" customHeight="true" outlineLevel="0" collapsed="false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customFormat="false" ht="14.25" hidden="false" customHeight="true" outlineLevel="0" collapsed="false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customFormat="false" ht="14.25" hidden="false" customHeight="true" outlineLevel="0" collapsed="false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customFormat="false" ht="14.25" hidden="false" customHeight="true" outlineLevel="0" collapsed="false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customFormat="false" ht="14.25" hidden="false" customHeight="true" outlineLevel="0" collapsed="false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customFormat="false" ht="14.25" hidden="false" customHeight="true" outlineLevel="0" collapsed="false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customFormat="false" ht="14.25" hidden="false" customHeight="true" outlineLevel="0" collapsed="false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customFormat="false" ht="14.25" hidden="false" customHeight="true" outlineLevel="0" collapsed="false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customFormat="false" ht="14.25" hidden="false" customHeight="true" outlineLevel="0" collapsed="false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customFormat="false" ht="14.25" hidden="false" customHeight="true" outlineLevel="0" collapsed="false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customFormat="false" ht="14.25" hidden="false" customHeight="true" outlineLevel="0" collapsed="false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customFormat="false" ht="14.25" hidden="false" customHeight="true" outlineLevel="0" collapsed="false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customFormat="false" ht="14.25" hidden="false" customHeight="true" outlineLevel="0" collapsed="false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customFormat="false" ht="14.25" hidden="false" customHeight="true" outlineLevel="0" collapsed="false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customFormat="false" ht="14.25" hidden="false" customHeight="true" outlineLevel="0" collapsed="false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customFormat="false" ht="14.25" hidden="false" customHeight="true" outlineLevel="0" collapsed="false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customFormat="false" ht="14.25" hidden="false" customHeight="true" outlineLevel="0" collapsed="false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customFormat="false" ht="14.25" hidden="false" customHeight="true" outlineLevel="0" collapsed="false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customFormat="false" ht="14.25" hidden="false" customHeight="true" outlineLevel="0" collapsed="false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customFormat="false" ht="14.25" hidden="false" customHeight="true" outlineLevel="0" collapsed="false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customFormat="false" ht="14.25" hidden="false" customHeight="true" outlineLevel="0" collapsed="false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customFormat="false" ht="14.25" hidden="false" customHeight="true" outlineLevel="0" collapsed="false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customFormat="false" ht="14.25" hidden="false" customHeight="true" outlineLevel="0" collapsed="false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customFormat="false" ht="14.25" hidden="false" customHeight="true" outlineLevel="0" collapsed="false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customFormat="false" ht="14.25" hidden="false" customHeight="true" outlineLevel="0" collapsed="false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customFormat="false" ht="14.25" hidden="false" customHeight="true" outlineLevel="0" collapsed="false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customFormat="false" ht="14.25" hidden="false" customHeight="true" outlineLevel="0" collapsed="false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customFormat="false" ht="14.25" hidden="false" customHeight="true" outlineLevel="0" collapsed="false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customFormat="false" ht="14.25" hidden="false" customHeight="true" outlineLevel="0" collapsed="false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customFormat="false" ht="14.25" hidden="false" customHeight="true" outlineLevel="0" collapsed="false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customFormat="false" ht="14.25" hidden="false" customHeight="true" outlineLevel="0" collapsed="false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customFormat="false" ht="14.25" hidden="false" customHeight="true" outlineLevel="0" collapsed="false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customFormat="false" ht="14.25" hidden="false" customHeight="true" outlineLevel="0" collapsed="false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customFormat="false" ht="14.25" hidden="false" customHeight="true" outlineLevel="0" collapsed="false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customFormat="false" ht="14.25" hidden="false" customHeight="true" outlineLevel="0" collapsed="false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customFormat="false" ht="14.25" hidden="false" customHeight="true" outlineLevel="0" collapsed="false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customFormat="false" ht="14.25" hidden="false" customHeight="true" outlineLevel="0" collapsed="false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customFormat="false" ht="14.25" hidden="false" customHeight="true" outlineLevel="0" collapsed="false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customFormat="false" ht="14.25" hidden="false" customHeight="true" outlineLevel="0" collapsed="false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customFormat="false" ht="14.25" hidden="false" customHeight="true" outlineLevel="0" collapsed="false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customFormat="false" ht="14.25" hidden="false" customHeight="true" outlineLevel="0" collapsed="false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customFormat="false" ht="14.25" hidden="false" customHeight="true" outlineLevel="0" collapsed="false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customFormat="false" ht="14.25" hidden="false" customHeight="true" outlineLevel="0" collapsed="false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customFormat="false" ht="14.25" hidden="false" customHeight="true" outlineLevel="0" collapsed="false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customFormat="false" ht="14.25" hidden="false" customHeight="true" outlineLevel="0" collapsed="false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customFormat="false" ht="14.25" hidden="false" customHeight="true" outlineLevel="0" collapsed="false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customFormat="false" ht="14.25" hidden="false" customHeight="true" outlineLevel="0" collapsed="false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customFormat="false" ht="14.25" hidden="false" customHeight="true" outlineLevel="0" collapsed="false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customFormat="false" ht="14.25" hidden="false" customHeight="true" outlineLevel="0" collapsed="false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customFormat="false" ht="14.25" hidden="false" customHeight="true" outlineLevel="0" collapsed="false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customFormat="false" ht="14.25" hidden="false" customHeight="true" outlineLevel="0" collapsed="false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customFormat="false" ht="14.25" hidden="false" customHeight="true" outlineLevel="0" collapsed="false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customFormat="false" ht="14.25" hidden="false" customHeight="true" outlineLevel="0" collapsed="false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customFormat="false" ht="14.25" hidden="false" customHeight="true" outlineLevel="0" collapsed="false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customFormat="false" ht="14.25" hidden="false" customHeight="true" outlineLevel="0" collapsed="false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customFormat="false" ht="14.25" hidden="false" customHeight="true" outlineLevel="0" collapsed="false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customFormat="false" ht="14.25" hidden="false" customHeight="true" outlineLevel="0" collapsed="false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customFormat="false" ht="14.25" hidden="false" customHeight="true" outlineLevel="0" collapsed="false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customFormat="false" ht="14.25" hidden="false" customHeight="true" outlineLevel="0" collapsed="false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customFormat="false" ht="14.25" hidden="false" customHeight="true" outlineLevel="0" collapsed="false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customFormat="false" ht="14.25" hidden="false" customHeight="true" outlineLevel="0" collapsed="false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customFormat="false" ht="14.25" hidden="false" customHeight="true" outlineLevel="0" collapsed="false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customFormat="false" ht="14.25" hidden="false" customHeight="true" outlineLevel="0" collapsed="false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customFormat="false" ht="14.25" hidden="false" customHeight="true" outlineLevel="0" collapsed="false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customFormat="false" ht="14.25" hidden="false" customHeight="true" outlineLevel="0" collapsed="false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customFormat="false" ht="14.25" hidden="false" customHeight="true" outlineLevel="0" collapsed="false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customFormat="false" ht="14.25" hidden="false" customHeight="true" outlineLevel="0" collapsed="false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customFormat="false" ht="14.25" hidden="false" customHeight="true" outlineLevel="0" collapsed="false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customFormat="false" ht="14.25" hidden="false" customHeight="true" outlineLevel="0" collapsed="false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customFormat="false" ht="14.25" hidden="false" customHeight="true" outlineLevel="0" collapsed="false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customFormat="false" ht="14.25" hidden="false" customHeight="true" outlineLevel="0" collapsed="false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customFormat="false" ht="14.25" hidden="false" customHeight="true" outlineLevel="0" collapsed="false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customFormat="false" ht="14.25" hidden="false" customHeight="true" outlineLevel="0" collapsed="false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customFormat="false" ht="14.25" hidden="false" customHeight="true" outlineLevel="0" collapsed="false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customFormat="false" ht="14.25" hidden="false" customHeight="tru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customFormat="false" ht="14.25" hidden="false" customHeight="true" outlineLevel="0" collapsed="false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customFormat="false" ht="14.25" hidden="false" customHeight="true" outlineLevel="0" collapsed="false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customFormat="false" ht="14.25" hidden="false" customHeight="true" outlineLevel="0" collapsed="false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customFormat="false" ht="14.25" hidden="false" customHeight="true" outlineLevel="0" collapsed="false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customFormat="false" ht="14.25" hidden="false" customHeight="true" outlineLevel="0" collapsed="false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customFormat="false" ht="14.25" hidden="false" customHeight="true" outlineLevel="0" collapsed="false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customFormat="false" ht="14.25" hidden="false" customHeight="true" outlineLevel="0" collapsed="false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customFormat="false" ht="14.25" hidden="false" customHeight="true" outlineLevel="0" collapsed="false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customFormat="false" ht="14.25" hidden="false" customHeight="tru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customFormat="false" ht="14.25" hidden="false" customHeight="true" outlineLevel="0" collapsed="false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customFormat="false" ht="14.25" hidden="false" customHeight="true" outlineLevel="0" collapsed="false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customFormat="false" ht="14.25" hidden="false" customHeight="true" outlineLevel="0" collapsed="false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customFormat="false" ht="14.25" hidden="false" customHeight="true" outlineLevel="0" collapsed="false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customFormat="false" ht="14.25" hidden="false" customHeight="true" outlineLevel="0" collapsed="false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customFormat="false" ht="14.25" hidden="false" customHeight="true" outlineLevel="0" collapsed="false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customFormat="false" ht="14.25" hidden="false" customHeight="true" outlineLevel="0" collapsed="false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customFormat="false" ht="14.25" hidden="false" customHeight="true" outlineLevel="0" collapsed="false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customFormat="false" ht="14.25" hidden="false" customHeight="true" outlineLevel="0" collapsed="false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customFormat="false" ht="14.25" hidden="false" customHeight="true" outlineLevel="0" collapsed="false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customFormat="false" ht="14.25" hidden="false" customHeight="true" outlineLevel="0" collapsed="false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customFormat="false" ht="14.25" hidden="false" customHeight="true" outlineLevel="0" collapsed="false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customFormat="false" ht="14.25" hidden="false" customHeight="true" outlineLevel="0" collapsed="false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customFormat="false" ht="14.25" hidden="false" customHeight="true" outlineLevel="0" collapsed="false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customFormat="false" ht="14.25" hidden="false" customHeight="true" outlineLevel="0" collapsed="false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customFormat="false" ht="14.25" hidden="false" customHeight="true" outlineLevel="0" collapsed="false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customFormat="false" ht="14.25" hidden="false" customHeight="true" outlineLevel="0" collapsed="false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customFormat="false" ht="14.25" hidden="false" customHeight="true" outlineLevel="0" collapsed="false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customFormat="false" ht="14.25" hidden="false" customHeight="true" outlineLevel="0" collapsed="false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customFormat="false" ht="14.25" hidden="false" customHeight="true" outlineLevel="0" collapsed="false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customFormat="false" ht="14.25" hidden="false" customHeight="true" outlineLevel="0" collapsed="false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customFormat="false" ht="14.25" hidden="false" customHeight="true" outlineLevel="0" collapsed="false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customFormat="false" ht="14.25" hidden="false" customHeight="true" outlineLevel="0" collapsed="false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customFormat="false" ht="14.25" hidden="false" customHeight="true" outlineLevel="0" collapsed="false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customFormat="false" ht="14.25" hidden="false" customHeight="true" outlineLevel="0" collapsed="false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customFormat="false" ht="14.25" hidden="false" customHeight="true" outlineLevel="0" collapsed="false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customFormat="false" ht="14.25" hidden="false" customHeight="true" outlineLevel="0" collapsed="false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customFormat="false" ht="14.25" hidden="false" customHeight="true" outlineLevel="0" collapsed="false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customFormat="false" ht="14.25" hidden="false" customHeight="true" outlineLevel="0" collapsed="false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customFormat="false" ht="14.25" hidden="false" customHeight="true" outlineLevel="0" collapsed="false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customFormat="false" ht="14.25" hidden="false" customHeight="true" outlineLevel="0" collapsed="false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customFormat="false" ht="14.25" hidden="false" customHeight="true" outlineLevel="0" collapsed="false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customFormat="false" ht="14.25" hidden="false" customHeight="true" outlineLevel="0" collapsed="false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customFormat="false" ht="14.25" hidden="false" customHeight="true" outlineLevel="0" collapsed="false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customFormat="false" ht="14.25" hidden="false" customHeight="true" outlineLevel="0" collapsed="false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customFormat="false" ht="14.25" hidden="false" customHeight="true" outlineLevel="0" collapsed="false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customFormat="false" ht="14.25" hidden="false" customHeight="true" outlineLevel="0" collapsed="false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customFormat="false" ht="14.25" hidden="false" customHeight="true" outlineLevel="0" collapsed="false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customFormat="false" ht="14.25" hidden="false" customHeight="true" outlineLevel="0" collapsed="false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customFormat="false" ht="14.25" hidden="false" customHeight="true" outlineLevel="0" collapsed="false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customFormat="false" ht="14.25" hidden="false" customHeight="true" outlineLevel="0" collapsed="false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customFormat="false" ht="14.25" hidden="false" customHeight="true" outlineLevel="0" collapsed="false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customFormat="false" ht="14.25" hidden="false" customHeight="true" outlineLevel="0" collapsed="false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customFormat="false" ht="14.25" hidden="false" customHeight="true" outlineLevel="0" collapsed="false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customFormat="false" ht="14.25" hidden="false" customHeight="true" outlineLevel="0" collapsed="false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customFormat="false" ht="14.25" hidden="false" customHeight="true" outlineLevel="0" collapsed="false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customFormat="false" ht="14.25" hidden="false" customHeight="true" outlineLevel="0" collapsed="false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customFormat="false" ht="14.25" hidden="false" customHeight="true" outlineLevel="0" collapsed="false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customFormat="false" ht="14.25" hidden="false" customHeight="true" outlineLevel="0" collapsed="false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customFormat="false" ht="14.25" hidden="false" customHeight="true" outlineLevel="0" collapsed="false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customFormat="false" ht="14.25" hidden="false" customHeight="true" outlineLevel="0" collapsed="false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customFormat="false" ht="14.25" hidden="false" customHeight="true" outlineLevel="0" collapsed="false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customFormat="false" ht="14.25" hidden="false" customHeight="true" outlineLevel="0" collapsed="false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customFormat="false" ht="14.25" hidden="false" customHeight="true" outlineLevel="0" collapsed="false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customFormat="false" ht="14.25" hidden="false" customHeight="true" outlineLevel="0" collapsed="false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customFormat="false" ht="14.25" hidden="false" customHeight="true" outlineLevel="0" collapsed="false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customFormat="false" ht="14.25" hidden="false" customHeight="true" outlineLevel="0" collapsed="false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customFormat="false" ht="14.25" hidden="false" customHeight="true" outlineLevel="0" collapsed="false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customFormat="false" ht="14.25" hidden="false" customHeight="true" outlineLevel="0" collapsed="false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customFormat="false" ht="14.25" hidden="false" customHeight="true" outlineLevel="0" collapsed="false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customFormat="false" ht="14.25" hidden="false" customHeight="true" outlineLevel="0" collapsed="false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customFormat="false" ht="14.25" hidden="false" customHeight="true" outlineLevel="0" collapsed="false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customFormat="false" ht="14.25" hidden="false" customHeight="true" outlineLevel="0" collapsed="false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customFormat="false" ht="14.25" hidden="false" customHeight="true" outlineLevel="0" collapsed="false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customFormat="false" ht="14.25" hidden="false" customHeight="true" outlineLevel="0" collapsed="false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customFormat="false" ht="14.25" hidden="false" customHeight="true" outlineLevel="0" collapsed="false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customFormat="false" ht="14.25" hidden="false" customHeight="true" outlineLevel="0" collapsed="false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customFormat="false" ht="14.25" hidden="false" customHeight="true" outlineLevel="0" collapsed="false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customFormat="false" ht="14.25" hidden="false" customHeight="true" outlineLevel="0" collapsed="false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customFormat="false" ht="14.25" hidden="false" customHeight="true" outlineLevel="0" collapsed="false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customFormat="false" ht="14.25" hidden="false" customHeight="true" outlineLevel="0" collapsed="false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customFormat="false" ht="14.25" hidden="false" customHeight="true" outlineLevel="0" collapsed="false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customFormat="false" ht="14.25" hidden="false" customHeight="true" outlineLevel="0" collapsed="false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customFormat="false" ht="14.25" hidden="false" customHeight="true" outlineLevel="0" collapsed="false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customFormat="false" ht="14.25" hidden="false" customHeight="true" outlineLevel="0" collapsed="false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customFormat="false" ht="14.25" hidden="false" customHeight="true" outlineLevel="0" collapsed="false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customFormat="false" ht="14.25" hidden="false" customHeight="true" outlineLevel="0" collapsed="false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customFormat="false" ht="14.25" hidden="false" customHeight="true" outlineLevel="0" collapsed="false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customFormat="false" ht="14.25" hidden="false" customHeight="true" outlineLevel="0" collapsed="false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customFormat="false" ht="14.25" hidden="false" customHeight="true" outlineLevel="0" collapsed="false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customFormat="false" ht="14.25" hidden="false" customHeight="true" outlineLevel="0" collapsed="false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customFormat="false" ht="14.25" hidden="false" customHeight="true" outlineLevel="0" collapsed="false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customFormat="false" ht="14.25" hidden="false" customHeight="true" outlineLevel="0" collapsed="false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customFormat="false" ht="14.25" hidden="false" customHeight="true" outlineLevel="0" collapsed="false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customFormat="false" ht="14.25" hidden="false" customHeight="true" outlineLevel="0" collapsed="false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customFormat="false" ht="14.25" hidden="false" customHeight="true" outlineLevel="0" collapsed="false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customFormat="false" ht="14.25" hidden="false" customHeight="true" outlineLevel="0" collapsed="false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customFormat="false" ht="14.25" hidden="false" customHeight="true" outlineLevel="0" collapsed="false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customFormat="false" ht="14.25" hidden="false" customHeight="true" outlineLevel="0" collapsed="false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customFormat="false" ht="14.25" hidden="false" customHeight="true" outlineLevel="0" collapsed="false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customFormat="false" ht="14.25" hidden="false" customHeight="true" outlineLevel="0" collapsed="false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customFormat="false" ht="14.25" hidden="false" customHeight="true" outlineLevel="0" collapsed="false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customFormat="false" ht="14.25" hidden="false" customHeight="true" outlineLevel="0" collapsed="false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customFormat="false" ht="14.25" hidden="false" customHeight="true" outlineLevel="0" collapsed="false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customFormat="false" ht="14.25" hidden="false" customHeight="true" outlineLevel="0" collapsed="false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customFormat="false" ht="14.25" hidden="false" customHeight="true" outlineLevel="0" collapsed="false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customFormat="false" ht="14.25" hidden="false" customHeight="true" outlineLevel="0" collapsed="false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customFormat="false" ht="14.25" hidden="false" customHeight="true" outlineLevel="0" collapsed="false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customFormat="false" ht="14.25" hidden="false" customHeight="true" outlineLevel="0" collapsed="false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customFormat="false" ht="14.25" hidden="false" customHeight="true" outlineLevel="0" collapsed="false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customFormat="false" ht="14.25" hidden="false" customHeight="true" outlineLevel="0" collapsed="false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customFormat="false" ht="14.25" hidden="false" customHeight="true" outlineLevel="0" collapsed="false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customFormat="false" ht="14.25" hidden="false" customHeight="true" outlineLevel="0" collapsed="false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customFormat="false" ht="14.25" hidden="false" customHeight="true" outlineLevel="0" collapsed="false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customFormat="false" ht="14.25" hidden="false" customHeight="true" outlineLevel="0" collapsed="false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customFormat="false" ht="14.25" hidden="false" customHeight="true" outlineLevel="0" collapsed="false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customFormat="false" ht="14.25" hidden="false" customHeight="true" outlineLevel="0" collapsed="false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customFormat="false" ht="14.25" hidden="false" customHeight="true" outlineLevel="0" collapsed="false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customFormat="false" ht="14.25" hidden="false" customHeight="true" outlineLevel="0" collapsed="false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customFormat="false" ht="14.25" hidden="false" customHeight="true" outlineLevel="0" collapsed="false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customFormat="false" ht="14.25" hidden="false" customHeight="true" outlineLevel="0" collapsed="false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customFormat="false" ht="14.25" hidden="false" customHeight="true" outlineLevel="0" collapsed="false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customFormat="false" ht="14.25" hidden="false" customHeight="true" outlineLevel="0" collapsed="false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customFormat="false" ht="14.25" hidden="false" customHeight="true" outlineLevel="0" collapsed="false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customFormat="false" ht="14.25" hidden="false" customHeight="true" outlineLevel="0" collapsed="false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customFormat="false" ht="14.25" hidden="false" customHeight="true" outlineLevel="0" collapsed="false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customFormat="false" ht="14.25" hidden="false" customHeight="true" outlineLevel="0" collapsed="false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customFormat="false" ht="14.25" hidden="false" customHeight="true" outlineLevel="0" collapsed="false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customFormat="false" ht="14.25" hidden="false" customHeight="true" outlineLevel="0" collapsed="false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customFormat="false" ht="14.25" hidden="false" customHeight="true" outlineLevel="0" collapsed="false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customFormat="false" ht="14.25" hidden="false" customHeight="true" outlineLevel="0" collapsed="false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customFormat="false" ht="14.25" hidden="false" customHeight="true" outlineLevel="0" collapsed="false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customFormat="false" ht="14.25" hidden="false" customHeight="true" outlineLevel="0" collapsed="false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customFormat="false" ht="14.25" hidden="false" customHeight="true" outlineLevel="0" collapsed="false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customFormat="false" ht="14.25" hidden="false" customHeight="true" outlineLevel="0" collapsed="false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customFormat="false" ht="14.25" hidden="false" customHeight="true" outlineLevel="0" collapsed="false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customFormat="false" ht="14.25" hidden="false" customHeight="true" outlineLevel="0" collapsed="false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customFormat="false" ht="14.25" hidden="false" customHeight="true" outlineLevel="0" collapsed="false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customFormat="false" ht="14.25" hidden="false" customHeight="true" outlineLevel="0" collapsed="false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customFormat="false" ht="14.25" hidden="false" customHeight="true" outlineLevel="0" collapsed="false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customFormat="false" ht="14.25" hidden="false" customHeight="true" outlineLevel="0" collapsed="false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customFormat="false" ht="14.25" hidden="false" customHeight="true" outlineLevel="0" collapsed="false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customFormat="false" ht="14.25" hidden="false" customHeight="true" outlineLevel="0" collapsed="false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customFormat="false" ht="14.25" hidden="false" customHeight="true" outlineLevel="0" collapsed="false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customFormat="false" ht="14.25" hidden="false" customHeight="true" outlineLevel="0" collapsed="false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customFormat="false" ht="14.25" hidden="false" customHeight="true" outlineLevel="0" collapsed="false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customFormat="false" ht="14.25" hidden="false" customHeight="true" outlineLevel="0" collapsed="false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customFormat="false" ht="14.25" hidden="false" customHeight="true" outlineLevel="0" collapsed="false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customFormat="false" ht="14.25" hidden="false" customHeight="true" outlineLevel="0" collapsed="false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customFormat="false" ht="14.25" hidden="false" customHeight="true" outlineLevel="0" collapsed="false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customFormat="false" ht="14.25" hidden="false" customHeight="true" outlineLevel="0" collapsed="false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customFormat="false" ht="14.25" hidden="false" customHeight="true" outlineLevel="0" collapsed="false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customFormat="false" ht="14.25" hidden="false" customHeight="true" outlineLevel="0" collapsed="false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customFormat="false" ht="14.25" hidden="false" customHeight="true" outlineLevel="0" collapsed="false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customFormat="false" ht="14.25" hidden="false" customHeight="true" outlineLevel="0" collapsed="false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customFormat="false" ht="14.25" hidden="false" customHeight="true" outlineLevel="0" collapsed="false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customFormat="false" ht="14.25" hidden="false" customHeight="true" outlineLevel="0" collapsed="false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customFormat="false" ht="14.25" hidden="false" customHeight="true" outlineLevel="0" collapsed="false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customFormat="false" ht="14.25" hidden="false" customHeight="true" outlineLevel="0" collapsed="false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customFormat="false" ht="14.25" hidden="false" customHeight="true" outlineLevel="0" collapsed="false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customFormat="false" ht="14.25" hidden="false" customHeight="true" outlineLevel="0" collapsed="false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customFormat="false" ht="14.25" hidden="false" customHeight="true" outlineLevel="0" collapsed="false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customFormat="false" ht="14.25" hidden="false" customHeight="true" outlineLevel="0" collapsed="false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customFormat="false" ht="14.25" hidden="false" customHeight="true" outlineLevel="0" collapsed="false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customFormat="false" ht="14.25" hidden="false" customHeight="true" outlineLevel="0" collapsed="false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customFormat="false" ht="14.25" hidden="false" customHeight="true" outlineLevel="0" collapsed="false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customFormat="false" ht="14.25" hidden="false" customHeight="true" outlineLevel="0" collapsed="false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customFormat="false" ht="14.25" hidden="false" customHeight="true" outlineLevel="0" collapsed="false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customFormat="false" ht="14.25" hidden="false" customHeight="true" outlineLevel="0" collapsed="false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customFormat="false" ht="14.25" hidden="false" customHeight="true" outlineLevel="0" collapsed="false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customFormat="false" ht="14.25" hidden="false" customHeight="true" outlineLevel="0" collapsed="false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customFormat="false" ht="14.25" hidden="false" customHeight="true" outlineLevel="0" collapsed="false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customFormat="false" ht="14.25" hidden="false" customHeight="true" outlineLevel="0" collapsed="false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customFormat="false" ht="14.25" hidden="false" customHeight="true" outlineLevel="0" collapsed="false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customFormat="false" ht="14.25" hidden="false" customHeight="true" outlineLevel="0" collapsed="false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customFormat="false" ht="14.25" hidden="false" customHeight="true" outlineLevel="0" collapsed="false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customFormat="false" ht="14.25" hidden="false" customHeight="true" outlineLevel="0" collapsed="false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customFormat="false" ht="14.25" hidden="false" customHeight="true" outlineLevel="0" collapsed="false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customFormat="false" ht="14.25" hidden="false" customHeight="true" outlineLevel="0" collapsed="false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customFormat="false" ht="14.25" hidden="false" customHeight="true" outlineLevel="0" collapsed="false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customFormat="false" ht="14.25" hidden="false" customHeight="true" outlineLevel="0" collapsed="false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customFormat="false" ht="14.25" hidden="false" customHeight="true" outlineLevel="0" collapsed="false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customFormat="false" ht="14.25" hidden="false" customHeight="true" outlineLevel="0" collapsed="false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customFormat="false" ht="14.25" hidden="false" customHeight="true" outlineLevel="0" collapsed="false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customFormat="false" ht="14.25" hidden="false" customHeight="true" outlineLevel="0" collapsed="false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customFormat="false" ht="14.25" hidden="false" customHeight="true" outlineLevel="0" collapsed="false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customFormat="false" ht="14.25" hidden="false" customHeight="true" outlineLevel="0" collapsed="false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customFormat="false" ht="14.25" hidden="false" customHeight="true" outlineLevel="0" collapsed="false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customFormat="false" ht="14.25" hidden="false" customHeight="true" outlineLevel="0" collapsed="false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customFormat="false" ht="14.25" hidden="false" customHeight="true" outlineLevel="0" collapsed="false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customFormat="false" ht="14.25" hidden="false" customHeight="true" outlineLevel="0" collapsed="false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customFormat="false" ht="14.25" hidden="false" customHeight="true" outlineLevel="0" collapsed="false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customFormat="false" ht="14.25" hidden="false" customHeight="true" outlineLevel="0" collapsed="false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customFormat="false" ht="14.25" hidden="false" customHeight="true" outlineLevel="0" collapsed="false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customFormat="false" ht="14.25" hidden="false" customHeight="true" outlineLevel="0" collapsed="false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customFormat="false" ht="14.25" hidden="false" customHeight="true" outlineLevel="0" collapsed="false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customFormat="false" ht="14.25" hidden="false" customHeight="true" outlineLevel="0" collapsed="false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customFormat="false" ht="14.25" hidden="false" customHeight="true" outlineLevel="0" collapsed="false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customFormat="false" ht="14.25" hidden="false" customHeight="true" outlineLevel="0" collapsed="false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customFormat="false" ht="14.25" hidden="false" customHeight="true" outlineLevel="0" collapsed="false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customFormat="false" ht="14.25" hidden="false" customHeight="true" outlineLevel="0" collapsed="false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customFormat="false" ht="14.25" hidden="false" customHeight="true" outlineLevel="0" collapsed="false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customFormat="false" ht="14.25" hidden="false" customHeight="true" outlineLevel="0" collapsed="false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customFormat="false" ht="14.25" hidden="false" customHeight="true" outlineLevel="0" collapsed="false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customFormat="false" ht="14.25" hidden="false" customHeight="true" outlineLevel="0" collapsed="false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customFormat="false" ht="14.25" hidden="false" customHeight="true" outlineLevel="0" collapsed="false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customFormat="false" ht="14.25" hidden="false" customHeight="true" outlineLevel="0" collapsed="false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customFormat="false" ht="14.25" hidden="false" customHeight="true" outlineLevel="0" collapsed="false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customFormat="false" ht="14.25" hidden="false" customHeight="true" outlineLevel="0" collapsed="false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customFormat="false" ht="14.25" hidden="false" customHeight="true" outlineLevel="0" collapsed="false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customFormat="false" ht="14.25" hidden="false" customHeight="true" outlineLevel="0" collapsed="false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customFormat="false" ht="14.25" hidden="false" customHeight="true" outlineLevel="0" collapsed="false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customFormat="false" ht="14.25" hidden="false" customHeight="true" outlineLevel="0" collapsed="false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customFormat="false" ht="14.25" hidden="false" customHeight="true" outlineLevel="0" collapsed="false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customFormat="false" ht="14.25" hidden="false" customHeight="true" outlineLevel="0" collapsed="false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customFormat="false" ht="14.25" hidden="false" customHeight="true" outlineLevel="0" collapsed="false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customFormat="false" ht="14.25" hidden="false" customHeight="true" outlineLevel="0" collapsed="false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customFormat="false" ht="14.25" hidden="false" customHeight="true" outlineLevel="0" collapsed="false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customFormat="false" ht="14.25" hidden="false" customHeight="true" outlineLevel="0" collapsed="false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customFormat="false" ht="14.25" hidden="false" customHeight="true" outlineLevel="0" collapsed="false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customFormat="false" ht="14.25" hidden="false" customHeight="true" outlineLevel="0" collapsed="false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customFormat="false" ht="14.25" hidden="false" customHeight="true" outlineLevel="0" collapsed="false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customFormat="false" ht="14.25" hidden="false" customHeight="true" outlineLevel="0" collapsed="false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customFormat="false" ht="14.25" hidden="false" customHeight="true" outlineLevel="0" collapsed="false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customFormat="false" ht="14.25" hidden="false" customHeight="true" outlineLevel="0" collapsed="false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customFormat="false" ht="14.25" hidden="false" customHeight="true" outlineLevel="0" collapsed="false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customFormat="false" ht="14.25" hidden="false" customHeight="true" outlineLevel="0" collapsed="false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customFormat="false" ht="14.25" hidden="false" customHeight="true" outlineLevel="0" collapsed="false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customFormat="false" ht="14.25" hidden="false" customHeight="true" outlineLevel="0" collapsed="false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customFormat="false" ht="14.25" hidden="false" customHeight="true" outlineLevel="0" collapsed="false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customFormat="false" ht="14.25" hidden="false" customHeight="true" outlineLevel="0" collapsed="false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customFormat="false" ht="14.25" hidden="false" customHeight="true" outlineLevel="0" collapsed="false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customFormat="false" ht="14.25" hidden="false" customHeight="true" outlineLevel="0" collapsed="false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customFormat="false" ht="14.25" hidden="false" customHeight="true" outlineLevel="0" collapsed="false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customFormat="false" ht="14.25" hidden="false" customHeight="true" outlineLevel="0" collapsed="false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customFormat="false" ht="14.25" hidden="false" customHeight="true" outlineLevel="0" collapsed="false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customFormat="false" ht="14.25" hidden="false" customHeight="true" outlineLevel="0" collapsed="false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customFormat="false" ht="14.25" hidden="false" customHeight="true" outlineLevel="0" collapsed="false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customFormat="false" ht="14.25" hidden="false" customHeight="true" outlineLevel="0" collapsed="false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customFormat="false" ht="14.25" hidden="false" customHeight="true" outlineLevel="0" collapsed="false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customFormat="false" ht="14.25" hidden="false" customHeight="true" outlineLevel="0" collapsed="false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customFormat="false" ht="14.25" hidden="false" customHeight="true" outlineLevel="0" collapsed="false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customFormat="false" ht="14.25" hidden="false" customHeight="true" outlineLevel="0" collapsed="false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customFormat="false" ht="14.25" hidden="false" customHeight="true" outlineLevel="0" collapsed="false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customFormat="false" ht="14.25" hidden="false" customHeight="true" outlineLevel="0" collapsed="false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customFormat="false" ht="14.25" hidden="false" customHeight="true" outlineLevel="0" collapsed="false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customFormat="false" ht="14.25" hidden="false" customHeight="true" outlineLevel="0" collapsed="false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customFormat="false" ht="14.25" hidden="false" customHeight="true" outlineLevel="0" collapsed="false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customFormat="false" ht="14.25" hidden="false" customHeight="true" outlineLevel="0" collapsed="false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customFormat="false" ht="14.25" hidden="false" customHeight="true" outlineLevel="0" collapsed="false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customFormat="false" ht="14.25" hidden="false" customHeight="true" outlineLevel="0" collapsed="false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customFormat="false" ht="14.25" hidden="false" customHeight="true" outlineLevel="0" collapsed="false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customFormat="false" ht="14.25" hidden="false" customHeight="true" outlineLevel="0" collapsed="false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customFormat="false" ht="14.25" hidden="false" customHeight="true" outlineLevel="0" collapsed="false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customFormat="false" ht="14.25" hidden="false" customHeight="true" outlineLevel="0" collapsed="false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customFormat="false" ht="14.25" hidden="false" customHeight="true" outlineLevel="0" collapsed="false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customFormat="false" ht="14.25" hidden="false" customHeight="true" outlineLevel="0" collapsed="false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customFormat="false" ht="14.25" hidden="false" customHeight="true" outlineLevel="0" collapsed="false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customFormat="false" ht="14.25" hidden="false" customHeight="true" outlineLevel="0" collapsed="false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customFormat="false" ht="14.25" hidden="false" customHeight="true" outlineLevel="0" collapsed="false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customFormat="false" ht="14.25" hidden="false" customHeight="true" outlineLevel="0" collapsed="false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customFormat="false" ht="14.25" hidden="false" customHeight="true" outlineLevel="0" collapsed="false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customFormat="false" ht="14.25" hidden="false" customHeight="true" outlineLevel="0" collapsed="false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customFormat="false" ht="14.25" hidden="false" customHeight="true" outlineLevel="0" collapsed="false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customFormat="false" ht="14.25" hidden="false" customHeight="true" outlineLevel="0" collapsed="false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customFormat="false" ht="14.25" hidden="false" customHeight="true" outlineLevel="0" collapsed="false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customFormat="false" ht="14.25" hidden="false" customHeight="true" outlineLevel="0" collapsed="false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customFormat="false" ht="14.25" hidden="false" customHeight="true" outlineLevel="0" collapsed="false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customFormat="false" ht="14.25" hidden="false" customHeight="true" outlineLevel="0" collapsed="false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customFormat="false" ht="14.25" hidden="false" customHeight="true" outlineLevel="0" collapsed="false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customFormat="false" ht="14.25" hidden="false" customHeight="true" outlineLevel="0" collapsed="false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customFormat="false" ht="14.25" hidden="false" customHeight="true" outlineLevel="0" collapsed="false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customFormat="false" ht="14.25" hidden="false" customHeight="true" outlineLevel="0" collapsed="false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customFormat="false" ht="14.25" hidden="false" customHeight="true" outlineLevel="0" collapsed="false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customFormat="false" ht="14.25" hidden="false" customHeight="true" outlineLevel="0" collapsed="false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customFormat="false" ht="14.25" hidden="false" customHeight="true" outlineLevel="0" collapsed="false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customFormat="false" ht="14.25" hidden="false" customHeight="true" outlineLevel="0" collapsed="false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customFormat="false" ht="14.25" hidden="false" customHeight="true" outlineLevel="0" collapsed="false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customFormat="false" ht="14.25" hidden="false" customHeight="true" outlineLevel="0" collapsed="false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customFormat="false" ht="14.25" hidden="false" customHeight="true" outlineLevel="0" collapsed="false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customFormat="false" ht="14.25" hidden="false" customHeight="true" outlineLevel="0" collapsed="false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customFormat="false" ht="14.25" hidden="false" customHeight="true" outlineLevel="0" collapsed="false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customFormat="false" ht="14.25" hidden="false" customHeight="true" outlineLevel="0" collapsed="false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customFormat="false" ht="14.25" hidden="false" customHeight="true" outlineLevel="0" collapsed="false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customFormat="false" ht="14.25" hidden="false" customHeight="true" outlineLevel="0" collapsed="false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customFormat="false" ht="14.25" hidden="false" customHeight="true" outlineLevel="0" collapsed="false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customFormat="false" ht="14.25" hidden="false" customHeight="true" outlineLevel="0" collapsed="false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customFormat="false" ht="14.25" hidden="false" customHeight="true" outlineLevel="0" collapsed="false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customFormat="false" ht="14.25" hidden="false" customHeight="true" outlineLevel="0" collapsed="false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customFormat="false" ht="14.25" hidden="false" customHeight="true" outlineLevel="0" collapsed="false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customFormat="false" ht="14.25" hidden="false" customHeight="true" outlineLevel="0" collapsed="false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customFormat="false" ht="14.25" hidden="false" customHeight="true" outlineLevel="0" collapsed="false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customFormat="false" ht="14.25" hidden="false" customHeight="true" outlineLevel="0" collapsed="false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customFormat="false" ht="14.25" hidden="false" customHeight="true" outlineLevel="0" collapsed="false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customFormat="false" ht="14.25" hidden="false" customHeight="true" outlineLevel="0" collapsed="false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customFormat="false" ht="14.25" hidden="false" customHeight="true" outlineLevel="0" collapsed="false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customFormat="false" ht="14.25" hidden="false" customHeight="true" outlineLevel="0" collapsed="false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customFormat="false" ht="14.25" hidden="false" customHeight="true" outlineLevel="0" collapsed="false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customFormat="false" ht="14.25" hidden="false" customHeight="true" outlineLevel="0" collapsed="false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customFormat="false" ht="14.25" hidden="false" customHeight="true" outlineLevel="0" collapsed="false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customFormat="false" ht="14.25" hidden="false" customHeight="true" outlineLevel="0" collapsed="false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customFormat="false" ht="14.25" hidden="false" customHeight="true" outlineLevel="0" collapsed="false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customFormat="false" ht="14.25" hidden="false" customHeight="true" outlineLevel="0" collapsed="false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customFormat="false" ht="14.25" hidden="false" customHeight="true" outlineLevel="0" collapsed="false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customFormat="false" ht="14.25" hidden="false" customHeight="true" outlineLevel="0" collapsed="false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customFormat="false" ht="14.25" hidden="false" customHeight="true" outlineLevel="0" collapsed="false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customFormat="false" ht="14.25" hidden="false" customHeight="true" outlineLevel="0" collapsed="false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customFormat="false" ht="14.25" hidden="false" customHeight="true" outlineLevel="0" collapsed="false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customFormat="false" ht="14.25" hidden="false" customHeight="true" outlineLevel="0" collapsed="false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customFormat="false" ht="14.25" hidden="false" customHeight="true" outlineLevel="0" collapsed="false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customFormat="false" ht="14.25" hidden="false" customHeight="true" outlineLevel="0" collapsed="false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customFormat="false" ht="14.25" hidden="false" customHeight="true" outlineLevel="0" collapsed="false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customFormat="false" ht="14.25" hidden="false" customHeight="true" outlineLevel="0" collapsed="false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customFormat="false" ht="14.25" hidden="false" customHeight="true" outlineLevel="0" collapsed="false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customFormat="false" ht="14.25" hidden="false" customHeight="true" outlineLevel="0" collapsed="false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customFormat="false" ht="14.25" hidden="false" customHeight="true" outlineLevel="0" collapsed="false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customFormat="false" ht="14.25" hidden="false" customHeight="true" outlineLevel="0" collapsed="false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customFormat="false" ht="14.25" hidden="false" customHeight="true" outlineLevel="0" collapsed="false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customFormat="false" ht="14.25" hidden="false" customHeight="true" outlineLevel="0" collapsed="false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customFormat="false" ht="14.25" hidden="false" customHeight="true" outlineLevel="0" collapsed="false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customFormat="false" ht="14.25" hidden="false" customHeight="true" outlineLevel="0" collapsed="false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customFormat="false" ht="14.25" hidden="false" customHeight="true" outlineLevel="0" collapsed="false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customFormat="false" ht="14.25" hidden="false" customHeight="true" outlineLevel="0" collapsed="false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customFormat="false" ht="14.25" hidden="false" customHeight="true" outlineLevel="0" collapsed="false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customFormat="false" ht="14.25" hidden="false" customHeight="true" outlineLevel="0" collapsed="false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customFormat="false" ht="14.25" hidden="false" customHeight="true" outlineLevel="0" collapsed="false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customFormat="false" ht="14.25" hidden="false" customHeight="true" outlineLevel="0" collapsed="false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customFormat="false" ht="14.25" hidden="false" customHeight="true" outlineLevel="0" collapsed="false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customFormat="false" ht="14.25" hidden="false" customHeight="true" outlineLevel="0" collapsed="false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customFormat="false" ht="14.25" hidden="false" customHeight="true" outlineLevel="0" collapsed="false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customFormat="false" ht="14.25" hidden="false" customHeight="true" outlineLevel="0" collapsed="false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customFormat="false" ht="14.25" hidden="false" customHeight="true" outlineLevel="0" collapsed="false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customFormat="false" ht="14.25" hidden="false" customHeight="true" outlineLevel="0" collapsed="false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customFormat="false" ht="14.25" hidden="false" customHeight="true" outlineLevel="0" collapsed="false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customFormat="false" ht="14.25" hidden="false" customHeight="true" outlineLevel="0" collapsed="false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customFormat="false" ht="14.25" hidden="false" customHeight="true" outlineLevel="0" collapsed="false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customFormat="false" ht="14.25" hidden="false" customHeight="true" outlineLevel="0" collapsed="false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customFormat="false" ht="14.25" hidden="false" customHeight="true" outlineLevel="0" collapsed="false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customFormat="false" ht="14.25" hidden="false" customHeight="true" outlineLevel="0" collapsed="false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customFormat="false" ht="14.25" hidden="false" customHeight="true" outlineLevel="0" collapsed="false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customFormat="false" ht="14.25" hidden="false" customHeight="true" outlineLevel="0" collapsed="false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customFormat="false" ht="14.25" hidden="false" customHeight="true" outlineLevel="0" collapsed="false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customFormat="false" ht="14.25" hidden="false" customHeight="true" outlineLevel="0" collapsed="false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customFormat="false" ht="14.25" hidden="false" customHeight="true" outlineLevel="0" collapsed="false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customFormat="false" ht="14.25" hidden="false" customHeight="true" outlineLevel="0" collapsed="false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customFormat="false" ht="14.25" hidden="false" customHeight="true" outlineLevel="0" collapsed="false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customFormat="false" ht="14.25" hidden="false" customHeight="true" outlineLevel="0" collapsed="false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customFormat="false" ht="14.25" hidden="false" customHeight="true" outlineLevel="0" collapsed="false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customFormat="false" ht="14.25" hidden="false" customHeight="true" outlineLevel="0" collapsed="false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customFormat="false" ht="14.25" hidden="false" customHeight="true" outlineLevel="0" collapsed="false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customFormat="false" ht="14.25" hidden="false" customHeight="true" outlineLevel="0" collapsed="false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customFormat="false" ht="14.25" hidden="false" customHeight="true" outlineLevel="0" collapsed="false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customFormat="false" ht="14.25" hidden="false" customHeight="true" outlineLevel="0" collapsed="false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customFormat="false" ht="14.25" hidden="false" customHeight="true" outlineLevel="0" collapsed="false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customFormat="false" ht="14.25" hidden="false" customHeight="true" outlineLevel="0" collapsed="false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customFormat="false" ht="14.25" hidden="false" customHeight="true" outlineLevel="0" collapsed="false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customFormat="false" ht="14.25" hidden="false" customHeight="true" outlineLevel="0" collapsed="false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customFormat="false" ht="14.25" hidden="false" customHeight="true" outlineLevel="0" collapsed="false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customFormat="false" ht="14.25" hidden="false" customHeight="true" outlineLevel="0" collapsed="false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customFormat="false" ht="14.25" hidden="false" customHeight="true" outlineLevel="0" collapsed="false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customFormat="false" ht="14.25" hidden="false" customHeight="true" outlineLevel="0" collapsed="false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customFormat="false" ht="14.25" hidden="false" customHeight="true" outlineLevel="0" collapsed="false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customFormat="false" ht="14.25" hidden="false" customHeight="true" outlineLevel="0" collapsed="false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customFormat="false" ht="14.25" hidden="false" customHeight="true" outlineLevel="0" collapsed="false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customFormat="false" ht="14.25" hidden="false" customHeight="true" outlineLevel="0" collapsed="false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customFormat="false" ht="14.25" hidden="false" customHeight="true" outlineLevel="0" collapsed="false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customFormat="false" ht="14.25" hidden="false" customHeight="true" outlineLevel="0" collapsed="false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customFormat="false" ht="14.25" hidden="false" customHeight="true" outlineLevel="0" collapsed="false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customFormat="false" ht="14.25" hidden="false" customHeight="true" outlineLevel="0" collapsed="false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customFormat="false" ht="14.25" hidden="false" customHeight="true" outlineLevel="0" collapsed="false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customFormat="false" ht="14.25" hidden="false" customHeight="true" outlineLevel="0" collapsed="false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customFormat="false" ht="14.25" hidden="false" customHeight="true" outlineLevel="0" collapsed="false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customFormat="false" ht="14.25" hidden="false" customHeight="true" outlineLevel="0" collapsed="false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customFormat="false" ht="14.25" hidden="false" customHeight="true" outlineLevel="0" collapsed="false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customFormat="false" ht="14.25" hidden="false" customHeight="true" outlineLevel="0" collapsed="false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customFormat="false" ht="14.25" hidden="false" customHeight="true" outlineLevel="0" collapsed="false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customFormat="false" ht="14.25" hidden="false" customHeight="true" outlineLevel="0" collapsed="false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customFormat="false" ht="14.25" hidden="false" customHeight="true" outlineLevel="0" collapsed="false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customFormat="false" ht="14.25" hidden="false" customHeight="true" outlineLevel="0" collapsed="false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customFormat="false" ht="14.25" hidden="false" customHeight="true" outlineLevel="0" collapsed="false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customFormat="false" ht="14.25" hidden="false" customHeight="true" outlineLevel="0" collapsed="false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customFormat="false" ht="14.25" hidden="false" customHeight="true" outlineLevel="0" collapsed="false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customFormat="false" ht="14.25" hidden="false" customHeight="true" outlineLevel="0" collapsed="false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customFormat="false" ht="14.25" hidden="false" customHeight="true" outlineLevel="0" collapsed="false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customFormat="false" ht="14.25" hidden="false" customHeight="true" outlineLevel="0" collapsed="false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customFormat="false" ht="14.25" hidden="false" customHeight="true" outlineLevel="0" collapsed="false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customFormat="false" ht="14.25" hidden="false" customHeight="true" outlineLevel="0" collapsed="false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customFormat="false" ht="14.25" hidden="false" customHeight="true" outlineLevel="0" collapsed="false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customFormat="false" ht="14.25" hidden="false" customHeight="true" outlineLevel="0" collapsed="false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customFormat="false" ht="14.25" hidden="false" customHeight="true" outlineLevel="0" collapsed="false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customFormat="false" ht="14.25" hidden="false" customHeight="true" outlineLevel="0" collapsed="false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customFormat="false" ht="14.25" hidden="false" customHeight="true" outlineLevel="0" collapsed="false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customFormat="false" ht="14.25" hidden="false" customHeight="true" outlineLevel="0" collapsed="false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customFormat="false" ht="14.25" hidden="false" customHeight="true" outlineLevel="0" collapsed="false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customFormat="false" ht="14.25" hidden="false" customHeight="true" outlineLevel="0" collapsed="false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customFormat="false" ht="14.25" hidden="false" customHeight="true" outlineLevel="0" collapsed="false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customFormat="false" ht="14.25" hidden="false" customHeight="true" outlineLevel="0" collapsed="false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customFormat="false" ht="14.25" hidden="false" customHeight="true" outlineLevel="0" collapsed="false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customFormat="false" ht="14.25" hidden="false" customHeight="true" outlineLevel="0" collapsed="false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customFormat="false" ht="14.25" hidden="false" customHeight="true" outlineLevel="0" collapsed="false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customFormat="false" ht="14.25" hidden="false" customHeight="true" outlineLevel="0" collapsed="false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customFormat="false" ht="14.25" hidden="false" customHeight="true" outlineLevel="0" collapsed="false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customFormat="false" ht="14.25" hidden="false" customHeight="true" outlineLevel="0" collapsed="false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customFormat="false" ht="14.25" hidden="false" customHeight="true" outlineLevel="0" collapsed="false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customFormat="false" ht="14.25" hidden="false" customHeight="true" outlineLevel="0" collapsed="false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customFormat="false" ht="14.25" hidden="false" customHeight="true" outlineLevel="0" collapsed="false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customFormat="false" ht="14.25" hidden="false" customHeight="true" outlineLevel="0" collapsed="false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customFormat="false" ht="14.25" hidden="false" customHeight="true" outlineLevel="0" collapsed="false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customFormat="false" ht="14.25" hidden="false" customHeight="true" outlineLevel="0" collapsed="false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customFormat="false" ht="14.25" hidden="false" customHeight="true" outlineLevel="0" collapsed="false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customFormat="false" ht="14.25" hidden="false" customHeight="true" outlineLevel="0" collapsed="false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customFormat="false" ht="14.25" hidden="false" customHeight="true" outlineLevel="0" collapsed="false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customFormat="false" ht="14.25" hidden="false" customHeight="true" outlineLevel="0" collapsed="false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customFormat="false" ht="14.25" hidden="false" customHeight="true" outlineLevel="0" collapsed="false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customFormat="false" ht="14.25" hidden="false" customHeight="true" outlineLevel="0" collapsed="false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customFormat="false" ht="14.25" hidden="false" customHeight="true" outlineLevel="0" collapsed="false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customFormat="false" ht="14.25" hidden="false" customHeight="true" outlineLevel="0" collapsed="false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customFormat="false" ht="14.25" hidden="false" customHeight="true" outlineLevel="0" collapsed="false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customFormat="false" ht="14.25" hidden="false" customHeight="true" outlineLevel="0" collapsed="false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customFormat="false" ht="14.25" hidden="false" customHeight="true" outlineLevel="0" collapsed="false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customFormat="false" ht="14.25" hidden="false" customHeight="true" outlineLevel="0" collapsed="false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customFormat="false" ht="14.25" hidden="false" customHeight="true" outlineLevel="0" collapsed="false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customFormat="false" ht="14.25" hidden="false" customHeight="true" outlineLevel="0" collapsed="false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customFormat="false" ht="14.25" hidden="false" customHeight="true" outlineLevel="0" collapsed="false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customFormat="false" ht="14.25" hidden="false" customHeight="true" outlineLevel="0" collapsed="false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customFormat="false" ht="14.25" hidden="false" customHeight="true" outlineLevel="0" collapsed="false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customFormat="false" ht="14.25" hidden="false" customHeight="true" outlineLevel="0" collapsed="false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customFormat="false" ht="14.25" hidden="false" customHeight="true" outlineLevel="0" collapsed="false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customFormat="false" ht="14.25" hidden="false" customHeight="true" outlineLevel="0" collapsed="false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customFormat="false" ht="14.25" hidden="false" customHeight="true" outlineLevel="0" collapsed="false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customFormat="false" ht="14.25" hidden="false" customHeight="true" outlineLevel="0" collapsed="false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customFormat="false" ht="14.25" hidden="false" customHeight="true" outlineLevel="0" collapsed="false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customFormat="false" ht="14.25" hidden="false" customHeight="true" outlineLevel="0" collapsed="false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customFormat="false" ht="14.25" hidden="false" customHeight="true" outlineLevel="0" collapsed="false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customFormat="false" ht="14.25" hidden="false" customHeight="true" outlineLevel="0" collapsed="false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customFormat="false" ht="14.25" hidden="false" customHeight="true" outlineLevel="0" collapsed="false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customFormat="false" ht="14.25" hidden="false" customHeight="true" outlineLevel="0" collapsed="false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customFormat="false" ht="14.25" hidden="false" customHeight="true" outlineLevel="0" collapsed="false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customFormat="false" ht="14.25" hidden="false" customHeight="true" outlineLevel="0" collapsed="false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customFormat="false" ht="14.25" hidden="false" customHeight="true" outlineLevel="0" collapsed="false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customFormat="false" ht="14.25" hidden="false" customHeight="true" outlineLevel="0" collapsed="false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customFormat="false" ht="14.25" hidden="false" customHeight="true" outlineLevel="0" collapsed="false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customFormat="false" ht="14.25" hidden="false" customHeight="true" outlineLevel="0" collapsed="false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customFormat="false" ht="14.25" hidden="false" customHeight="true" outlineLevel="0" collapsed="false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customFormat="false" ht="14.25" hidden="false" customHeight="true" outlineLevel="0" collapsed="false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customFormat="false" ht="14.25" hidden="false" customHeight="true" outlineLevel="0" collapsed="false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customFormat="false" ht="14.25" hidden="false" customHeight="true" outlineLevel="0" collapsed="false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customFormat="false" ht="14.25" hidden="false" customHeight="true" outlineLevel="0" collapsed="false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customFormat="false" ht="14.25" hidden="false" customHeight="true" outlineLevel="0" collapsed="false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customFormat="false" ht="14.25" hidden="false" customHeight="true" outlineLevel="0" collapsed="false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customFormat="false" ht="14.25" hidden="false" customHeight="true" outlineLevel="0" collapsed="false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customFormat="false" ht="14.25" hidden="false" customHeight="true" outlineLevel="0" collapsed="false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customFormat="false" ht="14.25" hidden="false" customHeight="true" outlineLevel="0" collapsed="false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customFormat="false" ht="14.25" hidden="false" customHeight="true" outlineLevel="0" collapsed="false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customFormat="false" ht="14.25" hidden="false" customHeight="true" outlineLevel="0" collapsed="false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customFormat="false" ht="14.25" hidden="false" customHeight="true" outlineLevel="0" collapsed="false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customFormat="false" ht="14.25" hidden="false" customHeight="true" outlineLevel="0" collapsed="false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customFormat="false" ht="14.25" hidden="false" customHeight="true" outlineLevel="0" collapsed="false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customFormat="false" ht="14.25" hidden="false" customHeight="true" outlineLevel="0" collapsed="false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customFormat="false" ht="14.25" hidden="false" customHeight="true" outlineLevel="0" collapsed="false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customFormat="false" ht="14.25" hidden="false" customHeight="true" outlineLevel="0" collapsed="false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customFormat="false" ht="14.25" hidden="false" customHeight="true" outlineLevel="0" collapsed="false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customFormat="false" ht="14.25" hidden="false" customHeight="true" outlineLevel="0" collapsed="false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customFormat="false" ht="14.25" hidden="false" customHeight="true" outlineLevel="0" collapsed="false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customFormat="false" ht="14.25" hidden="false" customHeight="true" outlineLevel="0" collapsed="false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customFormat="false" ht="14.25" hidden="false" customHeight="true" outlineLevel="0" collapsed="false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customFormat="false" ht="14.25" hidden="false" customHeight="true" outlineLevel="0" collapsed="false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customFormat="false" ht="14.25" hidden="false" customHeight="true" outlineLevel="0" collapsed="false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customFormat="false" ht="14.25" hidden="false" customHeight="true" outlineLevel="0" collapsed="false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customFormat="false" ht="14.25" hidden="false" customHeight="true" outlineLevel="0" collapsed="false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customFormat="false" ht="14.25" hidden="false" customHeight="true" outlineLevel="0" collapsed="false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customFormat="false" ht="14.25" hidden="false" customHeight="true" outlineLevel="0" collapsed="false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customFormat="false" ht="14.25" hidden="false" customHeight="true" outlineLevel="0" collapsed="false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customFormat="false" ht="14.25" hidden="false" customHeight="true" outlineLevel="0" collapsed="false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customFormat="false" ht="14.25" hidden="false" customHeight="true" outlineLevel="0" collapsed="false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customFormat="false" ht="14.25" hidden="false" customHeight="true" outlineLevel="0" collapsed="false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customFormat="false" ht="14.25" hidden="false" customHeight="true" outlineLevel="0" collapsed="false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customFormat="false" ht="14.25" hidden="false" customHeight="true" outlineLevel="0" collapsed="false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customFormat="false" ht="14.25" hidden="false" customHeight="true" outlineLevel="0" collapsed="false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customFormat="false" ht="14.25" hidden="false" customHeight="true" outlineLevel="0" collapsed="false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customFormat="false" ht="14.25" hidden="false" customHeight="true" outlineLevel="0" collapsed="false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customFormat="false" ht="14.25" hidden="false" customHeight="true" outlineLevel="0" collapsed="false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customFormat="false" ht="14.25" hidden="false" customHeight="true" outlineLevel="0" collapsed="false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customFormat="false" ht="14.25" hidden="false" customHeight="true" outlineLevel="0" collapsed="false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customFormat="false" ht="14.25" hidden="false" customHeight="true" outlineLevel="0" collapsed="false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customFormat="false" ht="14.25" hidden="false" customHeight="true" outlineLevel="0" collapsed="false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customFormat="false" ht="14.25" hidden="false" customHeight="true" outlineLevel="0" collapsed="false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customFormat="false" ht="14.25" hidden="false" customHeight="true" outlineLevel="0" collapsed="false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customFormat="false" ht="14.25" hidden="false" customHeight="true" outlineLevel="0" collapsed="false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customFormat="false" ht="14.25" hidden="false" customHeight="true" outlineLevel="0" collapsed="false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customFormat="false" ht="14.25" hidden="false" customHeight="true" outlineLevel="0" collapsed="false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customFormat="false" ht="14.25" hidden="false" customHeight="true" outlineLevel="0" collapsed="false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customFormat="false" ht="14.25" hidden="false" customHeight="true" outlineLevel="0" collapsed="false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customFormat="false" ht="14.25" hidden="false" customHeight="true" outlineLevel="0" collapsed="false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customFormat="false" ht="14.25" hidden="false" customHeight="true" outlineLevel="0" collapsed="false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customFormat="false" ht="14.25" hidden="false" customHeight="true" outlineLevel="0" collapsed="false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customFormat="false" ht="14.25" hidden="false" customHeight="true" outlineLevel="0" collapsed="false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customFormat="false" ht="14.25" hidden="false" customHeight="true" outlineLevel="0" collapsed="false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customFormat="false" ht="14.25" hidden="false" customHeight="true" outlineLevel="0" collapsed="false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customFormat="false" ht="14.25" hidden="false" customHeight="true" outlineLevel="0" collapsed="false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customFormat="false" ht="14.25" hidden="false" customHeight="true" outlineLevel="0" collapsed="false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customFormat="false" ht="14.25" hidden="false" customHeight="true" outlineLevel="0" collapsed="false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customFormat="false" ht="14.25" hidden="false" customHeight="true" outlineLevel="0" collapsed="false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customFormat="false" ht="14.25" hidden="false" customHeight="true" outlineLevel="0" collapsed="false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customFormat="false" ht="14.25" hidden="false" customHeight="true" outlineLevel="0" collapsed="false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customFormat="false" ht="14.25" hidden="false" customHeight="true" outlineLevel="0" collapsed="false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customFormat="false" ht="14.25" hidden="false" customHeight="true" outlineLevel="0" collapsed="false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customFormat="false" ht="14.25" hidden="false" customHeight="true" outlineLevel="0" collapsed="false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customFormat="false" ht="14.25" hidden="false" customHeight="true" outlineLevel="0" collapsed="false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customFormat="false" ht="14.25" hidden="false" customHeight="true" outlineLevel="0" collapsed="false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customFormat="false" ht="14.25" hidden="false" customHeight="true" outlineLevel="0" collapsed="false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customFormat="false" ht="14.25" hidden="false" customHeight="true" outlineLevel="0" collapsed="false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customFormat="false" ht="14.25" hidden="false" customHeight="true" outlineLevel="0" collapsed="false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customFormat="false" ht="14.25" hidden="false" customHeight="true" outlineLevel="0" collapsed="false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customFormat="false" ht="14.25" hidden="false" customHeight="true" outlineLevel="0" collapsed="false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customFormat="false" ht="14.25" hidden="false" customHeight="true" outlineLevel="0" collapsed="false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customFormat="false" ht="14.25" hidden="false" customHeight="true" outlineLevel="0" collapsed="false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customFormat="false" ht="14.25" hidden="false" customHeight="true" outlineLevel="0" collapsed="false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customFormat="false" ht="14.25" hidden="false" customHeight="true" outlineLevel="0" collapsed="false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customFormat="false" ht="14.25" hidden="false" customHeight="true" outlineLevel="0" collapsed="false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customFormat="false" ht="14.25" hidden="false" customHeight="true" outlineLevel="0" collapsed="false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customFormat="false" ht="14.25" hidden="false" customHeight="true" outlineLevel="0" collapsed="false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customFormat="false" ht="14.25" hidden="false" customHeight="true" outlineLevel="0" collapsed="false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customFormat="false" ht="14.25" hidden="false" customHeight="true" outlineLevel="0" collapsed="false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customFormat="false" ht="14.25" hidden="false" customHeight="true" outlineLevel="0" collapsed="false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customFormat="false" ht="14.25" hidden="false" customHeight="true" outlineLevel="0" collapsed="false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customFormat="false" ht="14.25" hidden="false" customHeight="true" outlineLevel="0" collapsed="false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customFormat="false" ht="14.25" hidden="false" customHeight="true" outlineLevel="0" collapsed="false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customFormat="false" ht="14.25" hidden="false" customHeight="true" outlineLevel="0" collapsed="false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customFormat="false" ht="14.25" hidden="false" customHeight="true" outlineLevel="0" collapsed="false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customFormat="false" ht="14.25" hidden="false" customHeight="true" outlineLevel="0" collapsed="false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customFormat="false" ht="14.25" hidden="false" customHeight="true" outlineLevel="0" collapsed="false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customFormat="false" ht="14.25" hidden="false" customHeight="true" outlineLevel="0" collapsed="false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customFormat="false" ht="14.25" hidden="false" customHeight="true" outlineLevel="0" collapsed="false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customFormat="false" ht="14.25" hidden="false" customHeight="true" outlineLevel="0" collapsed="false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customFormat="false" ht="14.25" hidden="false" customHeight="true" outlineLevel="0" collapsed="false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customFormat="false" ht="14.25" hidden="false" customHeight="true" outlineLevel="0" collapsed="false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customFormat="false" ht="14.25" hidden="false" customHeight="true" outlineLevel="0" collapsed="false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customFormat="false" ht="14.25" hidden="false" customHeight="true" outlineLevel="0" collapsed="false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customFormat="false" ht="14.25" hidden="false" customHeight="true" outlineLevel="0" collapsed="false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customFormat="false" ht="14.25" hidden="false" customHeight="true" outlineLevel="0" collapsed="false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customFormat="false" ht="14.25" hidden="false" customHeight="true" outlineLevel="0" collapsed="false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customFormat="false" ht="14.25" hidden="false" customHeight="true" outlineLevel="0" collapsed="false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customFormat="false" ht="14.25" hidden="false" customHeight="true" outlineLevel="0" collapsed="false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customFormat="false" ht="14.25" hidden="false" customHeight="true" outlineLevel="0" collapsed="false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customFormat="false" ht="14.25" hidden="false" customHeight="true" outlineLevel="0" collapsed="false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customFormat="false" ht="14.25" hidden="false" customHeight="true" outlineLevel="0" collapsed="false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customFormat="false" ht="14.25" hidden="false" customHeight="true" outlineLevel="0" collapsed="false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customFormat="false" ht="14.25" hidden="false" customHeight="true" outlineLevel="0" collapsed="false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customFormat="false" ht="14.25" hidden="false" customHeight="true" outlineLevel="0" collapsed="false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customFormat="false" ht="14.25" hidden="false" customHeight="true" outlineLevel="0" collapsed="false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customFormat="false" ht="14.25" hidden="false" customHeight="true" outlineLevel="0" collapsed="false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customFormat="false" ht="14.25" hidden="false" customHeight="true" outlineLevel="0" collapsed="false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customFormat="false" ht="14.25" hidden="false" customHeight="true" outlineLevel="0" collapsed="false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customFormat="false" ht="14.25" hidden="false" customHeight="true" outlineLevel="0" collapsed="false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customFormat="false" ht="14.25" hidden="false" customHeight="true" outlineLevel="0" collapsed="false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customFormat="false" ht="14.25" hidden="false" customHeight="true" outlineLevel="0" collapsed="false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customFormat="false" ht="14.25" hidden="false" customHeight="true" outlineLevel="0" collapsed="false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customFormat="false" ht="14.25" hidden="false" customHeight="true" outlineLevel="0" collapsed="false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customFormat="false" ht="14.25" hidden="false" customHeight="true" outlineLevel="0" collapsed="false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customFormat="false" ht="14.25" hidden="false" customHeight="true" outlineLevel="0" collapsed="false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customFormat="false" ht="14.25" hidden="false" customHeight="true" outlineLevel="0" collapsed="false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customFormat="false" ht="14.25" hidden="false" customHeight="true" outlineLevel="0" collapsed="false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customFormat="false" ht="14.25" hidden="false" customHeight="true" outlineLevel="0" collapsed="false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customFormat="false" ht="14.25" hidden="false" customHeight="true" outlineLevel="0" collapsed="false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customFormat="false" ht="14.25" hidden="false" customHeight="true" outlineLevel="0" collapsed="false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customFormat="false" ht="14.25" hidden="false" customHeight="true" outlineLevel="0" collapsed="false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customFormat="false" ht="14.25" hidden="false" customHeight="true" outlineLevel="0" collapsed="false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customFormat="false" ht="14.25" hidden="false" customHeight="true" outlineLevel="0" collapsed="false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customFormat="false" ht="14.25" hidden="false" customHeight="true" outlineLevel="0" collapsed="false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customFormat="false" ht="14.25" hidden="false" customHeight="true" outlineLevel="0" collapsed="false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customFormat="false" ht="14.25" hidden="false" customHeight="true" outlineLevel="0" collapsed="false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customFormat="false" ht="14.25" hidden="false" customHeight="true" outlineLevel="0" collapsed="false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customFormat="false" ht="14.25" hidden="false" customHeight="true" outlineLevel="0" collapsed="false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customFormat="false" ht="14.25" hidden="false" customHeight="true" outlineLevel="0" collapsed="false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customFormat="false" ht="14.25" hidden="false" customHeight="true" outlineLevel="0" collapsed="false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customFormat="false" ht="14.25" hidden="false" customHeight="true" outlineLevel="0" collapsed="false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customFormat="false" ht="14.25" hidden="false" customHeight="true" outlineLevel="0" collapsed="false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customFormat="false" ht="14.25" hidden="false" customHeight="true" outlineLevel="0" collapsed="false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customFormat="false" ht="14.25" hidden="false" customHeight="true" outlineLevel="0" collapsed="false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customFormat="false" ht="14.25" hidden="false" customHeight="true" outlineLevel="0" collapsed="false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customFormat="false" ht="14.25" hidden="false" customHeight="true" outlineLevel="0" collapsed="false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customFormat="false" ht="14.25" hidden="false" customHeight="true" outlineLevel="0" collapsed="false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customFormat="false" ht="14.25" hidden="false" customHeight="true" outlineLevel="0" collapsed="false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customFormat="false" ht="14.25" hidden="false" customHeight="true" outlineLevel="0" collapsed="false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customFormat="false" ht="14.25" hidden="false" customHeight="true" outlineLevel="0" collapsed="false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customFormat="false" ht="14.25" hidden="false" customHeight="true" outlineLevel="0" collapsed="false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customFormat="false" ht="14.25" hidden="false" customHeight="true" outlineLevel="0" collapsed="false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customFormat="false" ht="14.25" hidden="false" customHeight="true" outlineLevel="0" collapsed="false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customFormat="false" ht="14.25" hidden="false" customHeight="true" outlineLevel="0" collapsed="false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customFormat="false" ht="14.25" hidden="false" customHeight="true" outlineLevel="0" collapsed="false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customFormat="false" ht="14.25" hidden="false" customHeight="true" outlineLevel="0" collapsed="false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customFormat="false" ht="14.25" hidden="false" customHeight="true" outlineLevel="0" collapsed="false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customFormat="false" ht="14.25" hidden="false" customHeight="true" outlineLevel="0" collapsed="false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customFormat="false" ht="14.25" hidden="false" customHeight="true" outlineLevel="0" collapsed="false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customFormat="false" ht="14.25" hidden="false" customHeight="true" outlineLevel="0" collapsed="false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customFormat="false" ht="14.25" hidden="false" customHeight="true" outlineLevel="0" collapsed="false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customFormat="false" ht="14.25" hidden="false" customHeight="true" outlineLevel="0" collapsed="false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customFormat="false" ht="14.25" hidden="false" customHeight="true" outlineLevel="0" collapsed="false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customFormat="false" ht="14.25" hidden="false" customHeight="true" outlineLevel="0" collapsed="false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customFormat="false" ht="14.25" hidden="false" customHeight="true" outlineLevel="0" collapsed="false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customFormat="false" ht="14.25" hidden="false" customHeight="true" outlineLevel="0" collapsed="false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customFormat="false" ht="14.25" hidden="false" customHeight="true" outlineLevel="0" collapsed="false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customFormat="false" ht="14.25" hidden="false" customHeight="true" outlineLevel="0" collapsed="false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customFormat="false" ht="14.25" hidden="false" customHeight="true" outlineLevel="0" collapsed="false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customFormat="false" ht="14.25" hidden="false" customHeight="true" outlineLevel="0" collapsed="false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customFormat="false" ht="14.25" hidden="false" customHeight="true" outlineLevel="0" collapsed="false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customFormat="false" ht="14.25" hidden="false" customHeight="true" outlineLevel="0" collapsed="false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customFormat="false" ht="14.25" hidden="false" customHeight="true" outlineLevel="0" collapsed="false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customFormat="false" ht="14.25" hidden="false" customHeight="true" outlineLevel="0" collapsed="false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customFormat="false" ht="14.25" hidden="false" customHeight="true" outlineLevel="0" collapsed="false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customFormat="false" ht="14.25" hidden="false" customHeight="true" outlineLevel="0" collapsed="false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customFormat="false" ht="14.25" hidden="false" customHeight="true" outlineLevel="0" collapsed="false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customFormat="false" ht="14.25" hidden="false" customHeight="true" outlineLevel="0" collapsed="false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customFormat="false" ht="14.25" hidden="false" customHeight="true" outlineLevel="0" collapsed="false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customFormat="false" ht="14.25" hidden="false" customHeight="true" outlineLevel="0" collapsed="false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customFormat="false" ht="14.25" hidden="false" customHeight="true" outlineLevel="0" collapsed="false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customFormat="false" ht="14.25" hidden="false" customHeight="true" outlineLevel="0" collapsed="false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customFormat="false" ht="14.25" hidden="false" customHeight="true" outlineLevel="0" collapsed="false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customFormat="false" ht="14.25" hidden="false" customHeight="true" outlineLevel="0" collapsed="false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customFormat="false" ht="14.25" hidden="false" customHeight="true" outlineLevel="0" collapsed="false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customFormat="false" ht="14.25" hidden="false" customHeight="true" outlineLevel="0" collapsed="false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customFormat="false" ht="14.25" hidden="false" customHeight="true" outlineLevel="0" collapsed="false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customFormat="false" ht="14.25" hidden="false" customHeight="true" outlineLevel="0" collapsed="false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customFormat="false" ht="14.25" hidden="false" customHeight="true" outlineLevel="0" collapsed="false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customFormat="false" ht="14.25" hidden="false" customHeight="true" outlineLevel="0" collapsed="false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customFormat="false" ht="14.25" hidden="false" customHeight="true" outlineLevel="0" collapsed="false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customFormat="false" ht="14.25" hidden="false" customHeight="true" outlineLevel="0" collapsed="false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customFormat="false" ht="14.25" hidden="false" customHeight="true" outlineLevel="0" collapsed="false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customFormat="false" ht="14.25" hidden="false" customHeight="true" outlineLevel="0" collapsed="false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customFormat="false" ht="14.25" hidden="false" customHeight="true" outlineLevel="0" collapsed="false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customFormat="false" ht="14.25" hidden="false" customHeight="true" outlineLevel="0" collapsed="false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customFormat="false" ht="14.25" hidden="false" customHeight="true" outlineLevel="0" collapsed="false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customFormat="false" ht="14.25" hidden="false" customHeight="true" outlineLevel="0" collapsed="false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customFormat="false" ht="14.25" hidden="false" customHeight="true" outlineLevel="0" collapsed="false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customFormat="false" ht="14.25" hidden="false" customHeight="true" outlineLevel="0" collapsed="false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customFormat="false" ht="14.25" hidden="false" customHeight="true" outlineLevel="0" collapsed="false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customFormat="false" ht="14.25" hidden="false" customHeight="true" outlineLevel="0" collapsed="false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customFormat="false" ht="14.25" hidden="false" customHeight="true" outlineLevel="0" collapsed="false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customFormat="false" ht="14.25" hidden="false" customHeight="true" outlineLevel="0" collapsed="false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customFormat="false" ht="14.25" hidden="false" customHeight="true" outlineLevel="0" collapsed="false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customFormat="false" ht="14.25" hidden="false" customHeight="true" outlineLevel="0" collapsed="false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customFormat="false" ht="14.25" hidden="false" customHeight="true" outlineLevel="0" collapsed="false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customFormat="false" ht="14.25" hidden="false" customHeight="true" outlineLevel="0" collapsed="false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customFormat="false" ht="14.25" hidden="false" customHeight="true" outlineLevel="0" collapsed="false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customFormat="false" ht="14.25" hidden="false" customHeight="true" outlineLevel="0" collapsed="false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customFormat="false" ht="14.25" hidden="false" customHeight="true" outlineLevel="0" collapsed="false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customFormat="false" ht="14.25" hidden="false" customHeight="true" outlineLevel="0" collapsed="false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customFormat="false" ht="14.25" hidden="false" customHeight="true" outlineLevel="0" collapsed="false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customFormat="false" ht="14.25" hidden="false" customHeight="true" outlineLevel="0" collapsed="false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customFormat="false" ht="14.25" hidden="false" customHeight="true" outlineLevel="0" collapsed="false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customFormat="false" ht="14.25" hidden="false" customHeight="true" outlineLevel="0" collapsed="false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customFormat="false" ht="14.25" hidden="false" customHeight="true" outlineLevel="0" collapsed="false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customFormat="false" ht="14.25" hidden="false" customHeight="true" outlineLevel="0" collapsed="false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customFormat="false" ht="14.25" hidden="false" customHeight="true" outlineLevel="0" collapsed="false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customFormat="false" ht="14.25" hidden="false" customHeight="true" outlineLevel="0" collapsed="false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customFormat="false" ht="14.25" hidden="false" customHeight="true" outlineLevel="0" collapsed="false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customFormat="false" ht="14.25" hidden="false" customHeight="true" outlineLevel="0" collapsed="false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customFormat="false" ht="14.25" hidden="false" customHeight="true" outlineLevel="0" collapsed="false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customFormat="false" ht="14.25" hidden="false" customHeight="true" outlineLevel="0" collapsed="false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customFormat="false" ht="14.25" hidden="false" customHeight="true" outlineLevel="0" collapsed="false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customFormat="false" ht="14.25" hidden="false" customHeight="true" outlineLevel="0" collapsed="false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customFormat="false" ht="14.25" hidden="false" customHeight="true" outlineLevel="0" collapsed="false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customFormat="false" ht="14.25" hidden="false" customHeight="true" outlineLevel="0" collapsed="false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customFormat="false" ht="14.25" hidden="false" customHeight="true" outlineLevel="0" collapsed="false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customFormat="false" ht="14.25" hidden="false" customHeight="true" outlineLevel="0" collapsed="false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customFormat="false" ht="14.25" hidden="false" customHeight="true" outlineLevel="0" collapsed="false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customFormat="false" ht="14.25" hidden="false" customHeight="true" outlineLevel="0" collapsed="false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customFormat="false" ht="14.25" hidden="false" customHeight="true" outlineLevel="0" collapsed="false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customFormat="false" ht="14.25" hidden="false" customHeight="true" outlineLevel="0" collapsed="false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customFormat="false" ht="14.25" hidden="false" customHeight="true" outlineLevel="0" collapsed="false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customFormat="false" ht="14.25" hidden="false" customHeight="true" outlineLevel="0" collapsed="false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customFormat="false" ht="14.25" hidden="false" customHeight="true" outlineLevel="0" collapsed="false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customFormat="false" ht="14.25" hidden="false" customHeight="true" outlineLevel="0" collapsed="false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customFormat="false" ht="14.25" hidden="false" customHeight="true" outlineLevel="0" collapsed="false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customFormat="false" ht="14.25" hidden="false" customHeight="true" outlineLevel="0" collapsed="false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customFormat="false" ht="14.25" hidden="false" customHeight="true" outlineLevel="0" collapsed="false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customFormat="false" ht="14.25" hidden="false" customHeight="true" outlineLevel="0" collapsed="false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customFormat="false" ht="14.25" hidden="false" customHeight="true" outlineLevel="0" collapsed="false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customFormat="false" ht="14.25" hidden="false" customHeight="true" outlineLevel="0" collapsed="false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customFormat="false" ht="14.25" hidden="false" customHeight="true" outlineLevel="0" collapsed="false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customFormat="false" ht="14.25" hidden="false" customHeight="true" outlineLevel="0" collapsed="false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customFormat="false" ht="14.25" hidden="false" customHeight="true" outlineLevel="0" collapsed="false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customFormat="false" ht="14.25" hidden="false" customHeight="true" outlineLevel="0" collapsed="false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customFormat="false" ht="14.25" hidden="false" customHeight="true" outlineLevel="0" collapsed="false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customFormat="false" ht="14.25" hidden="false" customHeight="true" outlineLevel="0" collapsed="false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customFormat="false" ht="14.25" hidden="false" customHeight="true" outlineLevel="0" collapsed="false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customFormat="false" ht="14.25" hidden="false" customHeight="true" outlineLevel="0" collapsed="false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customFormat="false" ht="14.25" hidden="false" customHeight="true" outlineLevel="0" collapsed="false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customFormat="false" ht="14.25" hidden="false" customHeight="true" outlineLevel="0" collapsed="false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customFormat="false" ht="14.25" hidden="false" customHeight="true" outlineLevel="0" collapsed="false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customFormat="false" ht="14.25" hidden="false" customHeight="true" outlineLevel="0" collapsed="false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customFormat="false" ht="14.25" hidden="false" customHeight="true" outlineLevel="0" collapsed="false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customFormat="false" ht="14.25" hidden="false" customHeight="true" outlineLevel="0" collapsed="false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customFormat="false" ht="14.25" hidden="false" customHeight="true" outlineLevel="0" collapsed="false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customFormat="false" ht="14.25" hidden="false" customHeight="true" outlineLevel="0" collapsed="false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customFormat="false" ht="14.25" hidden="false" customHeight="true" outlineLevel="0" collapsed="false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customFormat="false" ht="14.25" hidden="false" customHeight="true" outlineLevel="0" collapsed="false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customFormat="false" ht="14.25" hidden="false" customHeight="true" outlineLevel="0" collapsed="false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customFormat="false" ht="14.25" hidden="false" customHeight="true" outlineLevel="0" collapsed="false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customFormat="false" ht="14.25" hidden="false" customHeight="true" outlineLevel="0" collapsed="false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customFormat="false" ht="14.25" hidden="false" customHeight="true" outlineLevel="0" collapsed="false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customFormat="false" ht="14.25" hidden="false" customHeight="true" outlineLevel="0" collapsed="false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customFormat="false" ht="14.25" hidden="false" customHeight="true" outlineLevel="0" collapsed="false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customFormat="false" ht="14.25" hidden="false" customHeight="true" outlineLevel="0" collapsed="false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customFormat="false" ht="14.25" hidden="false" customHeight="true" outlineLevel="0" collapsed="false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customFormat="false" ht="14.25" hidden="false" customHeight="true" outlineLevel="0" collapsed="false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customFormat="false" ht="14.25" hidden="false" customHeight="true" outlineLevel="0" collapsed="false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customFormat="false" ht="14.25" hidden="false" customHeight="true" outlineLevel="0" collapsed="false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customFormat="false" ht="14.25" hidden="false" customHeight="true" outlineLevel="0" collapsed="false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customFormat="false" ht="14.25" hidden="false" customHeight="true" outlineLevel="0" collapsed="false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customFormat="false" ht="14.25" hidden="false" customHeight="true" outlineLevel="0" collapsed="false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customFormat="false" ht="14.25" hidden="false" customHeight="true" outlineLevel="0" collapsed="false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customFormat="false" ht="14.25" hidden="false" customHeight="true" outlineLevel="0" collapsed="false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customFormat="false" ht="14.25" hidden="false" customHeight="true" outlineLevel="0" collapsed="false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customFormat="false" ht="14.25" hidden="false" customHeight="true" outlineLevel="0" collapsed="false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customFormat="false" ht="14.25" hidden="false" customHeight="true" outlineLevel="0" collapsed="false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customFormat="false" ht="14.25" hidden="false" customHeight="true" outlineLevel="0" collapsed="false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customFormat="false" ht="14.25" hidden="false" customHeight="true" outlineLevel="0" collapsed="false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customFormat="false" ht="14.25" hidden="false" customHeight="true" outlineLevel="0" collapsed="false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customFormat="false" ht="14.25" hidden="false" customHeight="true" outlineLevel="0" collapsed="false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customFormat="false" ht="14.25" hidden="false" customHeight="true" outlineLevel="0" collapsed="false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customFormat="false" ht="14.25" hidden="false" customHeight="true" outlineLevel="0" collapsed="false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customFormat="false" ht="14.25" hidden="false" customHeight="true" outlineLevel="0" collapsed="false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customFormat="false" ht="14.25" hidden="false" customHeight="true" outlineLevel="0" collapsed="false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customFormat="false" ht="14.25" hidden="false" customHeight="true" outlineLevel="0" collapsed="false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customFormat="false" ht="14.25" hidden="false" customHeight="true" outlineLevel="0" collapsed="false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customFormat="false" ht="14.25" hidden="false" customHeight="true" outlineLevel="0" collapsed="false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customFormat="false" ht="14.25" hidden="false" customHeight="true" outlineLevel="0" collapsed="false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customFormat="false" ht="14.25" hidden="false" customHeight="true" outlineLevel="0" collapsed="false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customFormat="false" ht="14.25" hidden="false" customHeight="true" outlineLevel="0" collapsed="false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customFormat="false" ht="14.25" hidden="false" customHeight="true" outlineLevel="0" collapsed="false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customFormat="false" ht="14.25" hidden="false" customHeight="true" outlineLevel="0" collapsed="false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customFormat="false" ht="14.25" hidden="false" customHeight="true" outlineLevel="0" collapsed="false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customFormat="false" ht="14.25" hidden="false" customHeight="true" outlineLevel="0" collapsed="false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customFormat="false" ht="14.25" hidden="false" customHeight="true" outlineLevel="0" collapsed="false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customFormat="false" ht="14.25" hidden="false" customHeight="true" outlineLevel="0" collapsed="false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customFormat="false" ht="14.25" hidden="false" customHeight="true" outlineLevel="0" collapsed="false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customFormat="false" ht="14.25" hidden="false" customHeight="true" outlineLevel="0" collapsed="false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customFormat="false" ht="14.25" hidden="false" customHeight="true" outlineLevel="0" collapsed="false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customFormat="false" ht="14.25" hidden="false" customHeight="true" outlineLevel="0" collapsed="false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customFormat="false" ht="14.25" hidden="false" customHeight="true" outlineLevel="0" collapsed="false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customFormat="false" ht="14.25" hidden="false" customHeight="true" outlineLevel="0" collapsed="false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customFormat="false" ht="14.25" hidden="false" customHeight="true" outlineLevel="0" collapsed="false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customFormat="false" ht="14.25" hidden="false" customHeight="true" outlineLevel="0" collapsed="false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customFormat="false" ht="14.25" hidden="false" customHeight="true" outlineLevel="0" collapsed="false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customFormat="false" ht="14.25" hidden="false" customHeight="true" outlineLevel="0" collapsed="false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customFormat="false" ht="14.25" hidden="false" customHeight="true" outlineLevel="0" collapsed="false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customFormat="false" ht="14.25" hidden="false" customHeight="true" outlineLevel="0" collapsed="false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customFormat="false" ht="14.25" hidden="false" customHeight="true" outlineLevel="0" collapsed="false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customFormat="false" ht="14.25" hidden="false" customHeight="true" outlineLevel="0" collapsed="false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customFormat="false" ht="14.25" hidden="false" customHeight="true" outlineLevel="0" collapsed="false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customFormat="false" ht="14.25" hidden="false" customHeight="true" outlineLevel="0" collapsed="false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customFormat="false" ht="14.25" hidden="false" customHeight="true" outlineLevel="0" collapsed="false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customFormat="false" ht="14.25" hidden="false" customHeight="true" outlineLevel="0" collapsed="false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customFormat="false" ht="14.25" hidden="false" customHeight="true" outlineLevel="0" collapsed="false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customFormat="false" ht="14.25" hidden="false" customHeight="true" outlineLevel="0" collapsed="false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customFormat="false" ht="14.25" hidden="false" customHeight="true" outlineLevel="0" collapsed="false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customFormat="false" ht="14.25" hidden="false" customHeight="true" outlineLevel="0" collapsed="false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customFormat="false" ht="14.25" hidden="false" customHeight="true" outlineLevel="0" collapsed="false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customFormat="false" ht="14.25" hidden="false" customHeight="true" outlineLevel="0" collapsed="false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customFormat="false" ht="14.25" hidden="false" customHeight="true" outlineLevel="0" collapsed="false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customFormat="false" ht="14.25" hidden="false" customHeight="true" outlineLevel="0" collapsed="false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customFormat="false" ht="14.25" hidden="false" customHeight="true" outlineLevel="0" collapsed="false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customFormat="false" ht="14.25" hidden="false" customHeight="true" outlineLevel="0" collapsed="false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customFormat="false" ht="14.25" hidden="false" customHeight="true" outlineLevel="0" collapsed="false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customFormat="false" ht="14.25" hidden="false" customHeight="true" outlineLevel="0" collapsed="false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customFormat="false" ht="14.25" hidden="false" customHeight="true" outlineLevel="0" collapsed="false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customFormat="false" ht="14.25" hidden="false" customHeight="true" outlineLevel="0" collapsed="false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customFormat="false" ht="14.25" hidden="false" customHeight="true" outlineLevel="0" collapsed="false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customFormat="false" ht="14.25" hidden="false" customHeight="true" outlineLevel="0" collapsed="false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customFormat="false" ht="14.25" hidden="false" customHeight="true" outlineLevel="0" collapsed="false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customFormat="false" ht="14.25" hidden="false" customHeight="true" outlineLevel="0" collapsed="false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customFormat="false" ht="14.25" hidden="false" customHeight="true" outlineLevel="0" collapsed="false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customFormat="false" ht="14.25" hidden="false" customHeight="true" outlineLevel="0" collapsed="false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customFormat="false" ht="14.25" hidden="false" customHeight="true" outlineLevel="0" collapsed="false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customFormat="false" ht="14.25" hidden="false" customHeight="true" outlineLevel="0" collapsed="false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customFormat="false" ht="14.25" hidden="false" customHeight="true" outlineLevel="0" collapsed="false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customFormat="false" ht="14.25" hidden="false" customHeight="true" outlineLevel="0" collapsed="false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customFormat="false" ht="14.25" hidden="false" customHeight="true" outlineLevel="0" collapsed="false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customFormat="false" ht="14.25" hidden="false" customHeight="true" outlineLevel="0" collapsed="false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customFormat="false" ht="14.25" hidden="false" customHeight="true" outlineLevel="0" collapsed="false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customFormat="false" ht="14.25" hidden="false" customHeight="true" outlineLevel="0" collapsed="false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customFormat="false" ht="14.25" hidden="false" customHeight="true" outlineLevel="0" collapsed="false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customFormat="false" ht="14.25" hidden="false" customHeight="true" outlineLevel="0" collapsed="false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customFormat="false" ht="14.25" hidden="false" customHeight="true" outlineLevel="0" collapsed="false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customFormat="false" ht="14.25" hidden="false" customHeight="true" outlineLevel="0" collapsed="false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customFormat="false" ht="14.25" hidden="false" customHeight="true" outlineLevel="0" collapsed="false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customFormat="false" ht="14.25" hidden="false" customHeight="true" outlineLevel="0" collapsed="false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customFormat="false" ht="14.25" hidden="false" customHeight="true" outlineLevel="0" collapsed="false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customFormat="false" ht="14.25" hidden="false" customHeight="true" outlineLevel="0" collapsed="false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customFormat="false" ht="14.25" hidden="false" customHeight="true" outlineLevel="0" collapsed="false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customFormat="false" ht="14.25" hidden="false" customHeight="true" outlineLevel="0" collapsed="false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customFormat="false" ht="14.25" hidden="false" customHeight="true" outlineLevel="0" collapsed="false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customFormat="false" ht="14.25" hidden="false" customHeight="true" outlineLevel="0" collapsed="false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customFormat="false" ht="14.25" hidden="false" customHeight="true" outlineLevel="0" collapsed="false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customFormat="false" ht="14.25" hidden="false" customHeight="true" outlineLevel="0" collapsed="false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customFormat="false" ht="14.25" hidden="false" customHeight="true" outlineLevel="0" collapsed="false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customFormat="false" ht="14.25" hidden="false" customHeight="true" outlineLevel="0" collapsed="false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customFormat="false" ht="14.25" hidden="false" customHeight="true" outlineLevel="0" collapsed="false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customFormat="false" ht="14.25" hidden="false" customHeight="true" outlineLevel="0" collapsed="false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customFormat="false" ht="14.25" hidden="false" customHeight="true" outlineLevel="0" collapsed="false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customFormat="false" ht="14.25" hidden="false" customHeight="true" outlineLevel="0" collapsed="false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customFormat="false" ht="14.25" hidden="false" customHeight="true" outlineLevel="0" collapsed="false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customFormat="false" ht="14.25" hidden="false" customHeight="true" outlineLevel="0" collapsed="false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customFormat="false" ht="14.25" hidden="false" customHeight="true" outlineLevel="0" collapsed="false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customFormat="false" ht="14.25" hidden="false" customHeight="true" outlineLevel="0" collapsed="false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customFormat="false" ht="14.25" hidden="false" customHeight="true" outlineLevel="0" collapsed="false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customFormat="false" ht="14.25" hidden="false" customHeight="true" outlineLevel="0" collapsed="false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customFormat="false" ht="14.25" hidden="false" customHeight="true" outlineLevel="0" collapsed="false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customFormat="false" ht="14.25" hidden="false" customHeight="true" outlineLevel="0" collapsed="false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customFormat="false" ht="14.25" hidden="false" customHeight="true" outlineLevel="0" collapsed="false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customFormat="false" ht="14.25" hidden="false" customHeight="true" outlineLevel="0" collapsed="false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customFormat="false" ht="14.25" hidden="false" customHeight="true" outlineLevel="0" collapsed="false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customFormat="false" ht="14.25" hidden="false" customHeight="true" outlineLevel="0" collapsed="false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customFormat="false" ht="14.25" hidden="false" customHeight="true" outlineLevel="0" collapsed="false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customFormat="false" ht="14.25" hidden="false" customHeight="true" outlineLevel="0" collapsed="false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customFormat="false" ht="14.25" hidden="false" customHeight="true" outlineLevel="0" collapsed="false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customFormat="false" ht="14.25" hidden="false" customHeight="true" outlineLevel="0" collapsed="false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customFormat="false" ht="14.25" hidden="false" customHeight="true" outlineLevel="0" collapsed="false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customFormat="false" ht="14.25" hidden="false" customHeight="true" outlineLevel="0" collapsed="false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customFormat="false" ht="14.25" hidden="false" customHeight="true" outlineLevel="0" collapsed="false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customFormat="false" ht="14.25" hidden="false" customHeight="true" outlineLevel="0" collapsed="false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customFormat="false" ht="14.25" hidden="false" customHeight="true" outlineLevel="0" collapsed="false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customFormat="false" ht="14.25" hidden="false" customHeight="true" outlineLevel="0" collapsed="false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customFormat="false" ht="14.25" hidden="false" customHeight="true" outlineLevel="0" collapsed="false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customFormat="false" ht="14.25" hidden="false" customHeight="true" outlineLevel="0" collapsed="false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customFormat="false" ht="14.25" hidden="false" customHeight="true" outlineLevel="0" collapsed="false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customFormat="false" ht="14.25" hidden="false" customHeight="true" outlineLevel="0" collapsed="false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customFormat="false" ht="14.25" hidden="false" customHeight="true" outlineLevel="0" collapsed="false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customFormat="false" ht="14.25" hidden="false" customHeight="true" outlineLevel="0" collapsed="false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customFormat="false" ht="14.25" hidden="false" customHeight="true" outlineLevel="0" collapsed="false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customFormat="false" ht="14.25" hidden="false" customHeight="true" outlineLevel="0" collapsed="false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customFormat="false" ht="14.25" hidden="false" customHeight="true" outlineLevel="0" collapsed="false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customFormat="false" ht="14.25" hidden="false" customHeight="true" outlineLevel="0" collapsed="false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customFormat="false" ht="14.25" hidden="false" customHeight="true" outlineLevel="0" collapsed="false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customFormat="false" ht="14.25" hidden="false" customHeight="true" outlineLevel="0" collapsed="false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customFormat="false" ht="14.25" hidden="false" customHeight="true" outlineLevel="0" collapsed="false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customFormat="false" ht="14.25" hidden="false" customHeight="true" outlineLevel="0" collapsed="false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customFormat="false" ht="14.25" hidden="false" customHeight="true" outlineLevel="0" collapsed="false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customFormat="false" ht="14.25" hidden="false" customHeight="true" outlineLevel="0" collapsed="false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customFormat="false" ht="14.25" hidden="false" customHeight="true" outlineLevel="0" collapsed="false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customFormat="false" ht="14.25" hidden="false" customHeight="true" outlineLevel="0" collapsed="false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customFormat="false" ht="14.25" hidden="false" customHeight="true" outlineLevel="0" collapsed="false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customFormat="false" ht="14.25" hidden="false" customHeight="true" outlineLevel="0" collapsed="false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customFormat="false" ht="14.25" hidden="false" customHeight="true" outlineLevel="0" collapsed="false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customFormat="false" ht="14.25" hidden="false" customHeight="true" outlineLevel="0" collapsed="false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customFormat="false" ht="14.25" hidden="false" customHeight="true" outlineLevel="0" collapsed="false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customFormat="false" ht="14.25" hidden="false" customHeight="true" outlineLevel="0" collapsed="false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customFormat="false" ht="14.25" hidden="false" customHeight="true" outlineLevel="0" collapsed="false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customFormat="false" ht="14.25" hidden="false" customHeight="true" outlineLevel="0" collapsed="false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customFormat="false" ht="14.25" hidden="false" customHeight="true" outlineLevel="0" collapsed="false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">
    <mergeCell ref="A4:A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8"/>
    <col collapsed="false" customWidth="true" hidden="false" outlineLevel="0" max="10" min="10" style="0" width="18"/>
    <col collapsed="false" customWidth="true" hidden="false" outlineLevel="0" max="12" min="11" style="0" width="14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57" t="s">
        <v>109</v>
      </c>
    </row>
    <row r="2" customFormat="false" ht="15" hidden="false" customHeight="false" outlineLevel="0" collapsed="false">
      <c r="A2" s="58" t="s">
        <v>110</v>
      </c>
    </row>
    <row r="4" customFormat="false" ht="42" hidden="false" customHeight="true" outlineLevel="0" collapsed="false">
      <c r="A4" s="59" t="s">
        <v>111</v>
      </c>
      <c r="B4" s="59" t="s">
        <v>112</v>
      </c>
      <c r="C4" s="59" t="s">
        <v>33</v>
      </c>
      <c r="D4" s="59" t="s">
        <v>35</v>
      </c>
      <c r="E4" s="59" t="s">
        <v>37</v>
      </c>
      <c r="F4" s="59" t="s">
        <v>113</v>
      </c>
      <c r="G4" s="59" t="s">
        <v>114</v>
      </c>
      <c r="H4" s="59" t="s">
        <v>115</v>
      </c>
      <c r="I4" s="59" t="s">
        <v>116</v>
      </c>
      <c r="J4" s="59" t="s">
        <v>117</v>
      </c>
      <c r="K4" s="59" t="s">
        <v>118</v>
      </c>
      <c r="L4" s="59" t="s">
        <v>119</v>
      </c>
      <c r="M4" s="59" t="s">
        <v>120</v>
      </c>
    </row>
    <row r="5" customFormat="false" ht="15" hidden="false" customHeight="false" outlineLevel="0" collapsed="false">
      <c r="A5" s="60" t="s">
        <v>121</v>
      </c>
      <c r="B5" s="61" t="n">
        <f aca="false">C5+D5+E5</f>
        <v>46</v>
      </c>
      <c r="C5" s="61" t="n">
        <f aca="false">SUM('O&amp;M Estimation'!D8:D15)</f>
        <v>11</v>
      </c>
      <c r="D5" s="61" t="n">
        <f aca="false">SUM('O&amp;M Estimation'!E8:E15)</f>
        <v>25</v>
      </c>
      <c r="E5" s="61" t="n">
        <f aca="false">SUM('O&amp;M Estimation'!F8:F15)</f>
        <v>10</v>
      </c>
      <c r="F5" s="61" t="n">
        <f aca="false">'O&amp;M Estimation'!G16</f>
        <v>136</v>
      </c>
      <c r="G5" s="62" t="n">
        <f aca="false">'O&amp;M Estimation'!C20</f>
        <v>0.19</v>
      </c>
      <c r="H5" s="63" t="n">
        <f aca="false">'O&amp;M Estimation'!C22</f>
        <v>715.789473684211</v>
      </c>
      <c r="I5" s="64" t="n">
        <f aca="false">'O&amp;M Estimation'!C23</f>
        <v>1.01</v>
      </c>
      <c r="J5" s="63" t="n">
        <f aca="false">'O&amp;M Estimation'!C26</f>
        <v>831.389473684211</v>
      </c>
      <c r="K5" s="63" t="n">
        <f aca="false">'O&amp;M Estimation'!D28</f>
        <v>789.82</v>
      </c>
      <c r="L5" s="63" t="n">
        <f aca="false">'O&amp;M Estimation'!C28</f>
        <v>872.958947368421</v>
      </c>
      <c r="M5" s="60" t="str">
        <f aca="false">IF(AND(COUNTIFS('Story Mapping'!$H$9:$H$196,A5,'Story Mapping'!$L$9:$L$196,"Low")=C5,COUNTIFS('Story Mapping'!$H$9:$H$196,A5,'Story Mapping'!$L$9:$L$196,"Medium")=D5,COUNTIFS('Story Mapping'!$H$9:$H$196,A5,'Story Mapping'!$L$9:$L$196,"High")=E5),"OK","MISMATCH")</f>
        <v>OK</v>
      </c>
    </row>
    <row r="6" customFormat="false" ht="15" hidden="false" customHeight="false" outlineLevel="0" collapsed="false">
      <c r="A6" s="60" t="s">
        <v>122</v>
      </c>
      <c r="B6" s="61" t="n">
        <f aca="false">C6+D6+E6</f>
        <v>12</v>
      </c>
      <c r="C6" s="61" t="n">
        <f aca="false">SUM('Sahbhagita Estimation'!D8:D11)</f>
        <v>4</v>
      </c>
      <c r="D6" s="61" t="n">
        <f aca="false">SUM('Sahbhagita Estimation'!E8:E11)</f>
        <v>7</v>
      </c>
      <c r="E6" s="61" t="n">
        <f aca="false">SUM('Sahbhagita Estimation'!F8:F11)</f>
        <v>1</v>
      </c>
      <c r="F6" s="61" t="n">
        <f aca="false">'Sahbhagita Estimation'!G12</f>
        <v>30</v>
      </c>
      <c r="G6" s="62" t="n">
        <f aca="false">'Sahbhagita Estimation'!C16</f>
        <v>0.19</v>
      </c>
      <c r="H6" s="63" t="n">
        <f aca="false">'Sahbhagita Estimation'!C18</f>
        <v>157.894736842105</v>
      </c>
      <c r="I6" s="64" t="n">
        <f aca="false">'Sahbhagita Estimation'!C19</f>
        <v>1.01</v>
      </c>
      <c r="J6" s="63" t="n">
        <f aca="false">'Sahbhagita Estimation'!C22</f>
        <v>183.394736842105</v>
      </c>
      <c r="K6" s="63" t="n">
        <f aca="false">'Sahbhagita Estimation'!D24</f>
        <v>174.225</v>
      </c>
      <c r="L6" s="63" t="n">
        <f aca="false">'Sahbhagita Estimation'!C24</f>
        <v>192.564473684211</v>
      </c>
      <c r="M6" s="60" t="str">
        <f aca="false">IF(AND(COUNTIFS('Story Mapping'!$H$9:$H$196,A6,'Story Mapping'!$L$9:$L$196,"Low")=C6,COUNTIFS('Story Mapping'!$H$9:$H$196,A6,'Story Mapping'!$L$9:$L$196,"Medium")=D6,COUNTIFS('Story Mapping'!$H$9:$H$196,A6,'Story Mapping'!$L$9:$L$196,"High")=E6),"OK","MISMATCH")</f>
        <v>OK</v>
      </c>
    </row>
    <row r="7" customFormat="false" ht="15" hidden="false" customHeight="false" outlineLevel="0" collapsed="false">
      <c r="A7" s="60" t="s">
        <v>123</v>
      </c>
      <c r="B7" s="61" t="n">
        <f aca="false">C7+D7+E7</f>
        <v>14</v>
      </c>
      <c r="C7" s="61" t="n">
        <f aca="false">SUM('Dhara Estimation'!D8:D12)</f>
        <v>1</v>
      </c>
      <c r="D7" s="61" t="n">
        <f aca="false">SUM('Dhara Estimation'!E8:E12)</f>
        <v>10</v>
      </c>
      <c r="E7" s="61" t="n">
        <f aca="false">SUM('Dhara Estimation'!F8:F12)</f>
        <v>3</v>
      </c>
      <c r="F7" s="61" t="n">
        <f aca="false">'Dhara Estimation'!G13</f>
        <v>46</v>
      </c>
      <c r="G7" s="62" t="n">
        <f aca="false">'Dhara Estimation'!C17</f>
        <v>0.19</v>
      </c>
      <c r="H7" s="63" t="n">
        <f aca="false">'Dhara Estimation'!C19</f>
        <v>242.105263157895</v>
      </c>
      <c r="I7" s="64" t="n">
        <f aca="false">'Dhara Estimation'!C20</f>
        <v>1.01</v>
      </c>
      <c r="J7" s="63" t="n">
        <f aca="false">'Dhara Estimation'!C23</f>
        <v>281.205263157895</v>
      </c>
      <c r="K7" s="63" t="n">
        <f aca="false">'Dhara Estimation'!D25</f>
        <v>267.145</v>
      </c>
      <c r="L7" s="63" t="n">
        <f aca="false">'Dhara Estimation'!C25</f>
        <v>295.26552631579</v>
      </c>
      <c r="M7" s="60" t="str">
        <f aca="false">IF(AND(COUNTIFS('Story Mapping'!$H$9:$H$196,A7,'Story Mapping'!$L$9:$L$196,"Low")=C7,COUNTIFS('Story Mapping'!$H$9:$H$196,A7,'Story Mapping'!$L$9:$L$196,"Medium")=D7,COUNTIFS('Story Mapping'!$H$9:$H$196,A7,'Story Mapping'!$L$9:$L$196,"High")=E7),"OK","MISMATCH")</f>
        <v>OK</v>
      </c>
    </row>
    <row r="8" customFormat="false" ht="15" hidden="false" customHeight="false" outlineLevel="0" collapsed="false">
      <c r="A8" s="60" t="s">
        <v>124</v>
      </c>
      <c r="B8" s="61" t="n">
        <f aca="false">C8+D8+E8</f>
        <v>10</v>
      </c>
      <c r="C8" s="61" t="n">
        <f aca="false">SUM('Master Estimation'!D8:D10)</f>
        <v>4</v>
      </c>
      <c r="D8" s="61" t="n">
        <f aca="false">SUM('Master Estimation'!E8:E10)</f>
        <v>6</v>
      </c>
      <c r="E8" s="61" t="n">
        <f aca="false">SUM('Master Estimation'!F8:F10)</f>
        <v>0</v>
      </c>
      <c r="F8" s="61" t="n">
        <f aca="false">'Master Estimation'!G11</f>
        <v>22</v>
      </c>
      <c r="G8" s="62" t="n">
        <f aca="false">'Master Estimation'!C15</f>
        <v>0.19</v>
      </c>
      <c r="H8" s="63" t="n">
        <f aca="false">'Master Estimation'!C17</f>
        <v>115.789473684211</v>
      </c>
      <c r="I8" s="64" t="n">
        <f aca="false">'Master Estimation'!C18</f>
        <v>1.01</v>
      </c>
      <c r="J8" s="63" t="n">
        <f aca="false">'Master Estimation'!C21</f>
        <v>134.489473684211</v>
      </c>
      <c r="K8" s="63" t="n">
        <f aca="false">'Master Estimation'!D23</f>
        <v>127.765</v>
      </c>
      <c r="L8" s="63" t="n">
        <f aca="false">'Master Estimation'!C23</f>
        <v>141.213947368421</v>
      </c>
      <c r="M8" s="60" t="str">
        <f aca="false">IF(AND(COUNTIFS('Story Mapping'!$H$9:$H$196,A8,'Story Mapping'!$L$9:$L$196,"Low")=C8,COUNTIFS('Story Mapping'!$H$9:$H$196,A8,'Story Mapping'!$L$9:$L$196,"Medium")=D8,COUNTIFS('Story Mapping'!$H$9:$H$196,A8,'Story Mapping'!$L$9:$L$196,"High")=E8),"OK","MISMATCH")</f>
        <v>OK</v>
      </c>
    </row>
    <row r="9" customFormat="false" ht="15" hidden="false" customHeight="false" outlineLevel="0" collapsed="false">
      <c r="A9" s="60" t="s">
        <v>125</v>
      </c>
      <c r="B9" s="61" t="n">
        <f aca="false">C9+D9+E9</f>
        <v>7</v>
      </c>
      <c r="C9" s="61" t="n">
        <f aca="false">SUM('FHTC Estimation'!D8:D10)</f>
        <v>4</v>
      </c>
      <c r="D9" s="61" t="n">
        <f aca="false">SUM('FHTC Estimation'!E8:E10)</f>
        <v>2</v>
      </c>
      <c r="E9" s="61" t="n">
        <f aca="false">SUM('FHTC Estimation'!F8:F10)</f>
        <v>1</v>
      </c>
      <c r="F9" s="61" t="n">
        <f aca="false">'FHTC Estimation'!G11</f>
        <v>15</v>
      </c>
      <c r="G9" s="62" t="n">
        <f aca="false">'FHTC Estimation'!C15</f>
        <v>0.19</v>
      </c>
      <c r="H9" s="63" t="n">
        <f aca="false">'FHTC Estimation'!C17</f>
        <v>78.9473684210526</v>
      </c>
      <c r="I9" s="64" t="n">
        <f aca="false">'FHTC Estimation'!C18</f>
        <v>1.01</v>
      </c>
      <c r="J9" s="63" t="n">
        <f aca="false">'FHTC Estimation'!C21</f>
        <v>91.6973684210526</v>
      </c>
      <c r="K9" s="63" t="n">
        <f aca="false">'FHTC Estimation'!D23</f>
        <v>87.1125</v>
      </c>
      <c r="L9" s="63" t="n">
        <f aca="false">'FHTC Estimation'!C23</f>
        <v>96.2822368421053</v>
      </c>
      <c r="M9" s="60" t="str">
        <f aca="false">IF(AND(COUNTIFS('Story Mapping'!$H$9:$H$196,A9,'Story Mapping'!$L$9:$L$196,"Low")=C9,COUNTIFS('Story Mapping'!$H$9:$H$196,A9,'Story Mapping'!$L$9:$L$196,"Medium")=D9,COUNTIFS('Story Mapping'!$H$9:$H$196,A9,'Story Mapping'!$L$9:$L$196,"High")=E9),"OK","MISMATCH")</f>
        <v>OK</v>
      </c>
    </row>
    <row r="10" customFormat="false" ht="15" hidden="false" customHeight="false" outlineLevel="0" collapsed="false">
      <c r="A10" s="60" t="s">
        <v>126</v>
      </c>
      <c r="B10" s="61" t="n">
        <f aca="false">C10+D10+E10</f>
        <v>7</v>
      </c>
      <c r="C10" s="61" t="n">
        <f aca="false">SUM('Cube Testing Estimation'!D8:D10)</f>
        <v>6</v>
      </c>
      <c r="D10" s="61" t="n">
        <f aca="false">SUM('Cube Testing Estimation'!E8:E10)</f>
        <v>1</v>
      </c>
      <c r="E10" s="61" t="n">
        <f aca="false">SUM('Cube Testing Estimation'!F8:F10)</f>
        <v>0</v>
      </c>
      <c r="F10" s="61" t="n">
        <f aca="false">'Cube Testing Estimation'!G11</f>
        <v>9</v>
      </c>
      <c r="G10" s="62" t="n">
        <f aca="false">'Cube Testing Estimation'!C15</f>
        <v>0.19</v>
      </c>
      <c r="H10" s="63" t="n">
        <f aca="false">'Cube Testing Estimation'!C17</f>
        <v>47.3684210526316</v>
      </c>
      <c r="I10" s="64" t="n">
        <f aca="false">'Cube Testing Estimation'!C18</f>
        <v>1.01</v>
      </c>
      <c r="J10" s="63" t="n">
        <f aca="false">'Cube Testing Estimation'!C21</f>
        <v>55.0184210526316</v>
      </c>
      <c r="K10" s="63" t="n">
        <f aca="false">'Cube Testing Estimation'!D23</f>
        <v>52.2675</v>
      </c>
      <c r="L10" s="63" t="n">
        <f aca="false">'Cube Testing Estimation'!C23</f>
        <v>57.7693421052632</v>
      </c>
      <c r="M10" s="60" t="str">
        <f aca="false">IF(AND(COUNTIFS('Story Mapping'!$H$9:$H$196,A10,'Story Mapping'!$L$9:$L$196,"Low")=C10,COUNTIFS('Story Mapping'!$H$9:$H$196,A10,'Story Mapping'!$L$9:$L$196,"Medium")=D10,COUNTIFS('Story Mapping'!$H$9:$H$196,A10,'Story Mapping'!$L$9:$L$196,"High")=E10),"OK","MISMATCH")</f>
        <v>OK</v>
      </c>
    </row>
    <row r="11" customFormat="false" ht="15" hidden="false" customHeight="false" outlineLevel="0" collapsed="false">
      <c r="A11" s="60" t="s">
        <v>127</v>
      </c>
      <c r="B11" s="61" t="n">
        <f aca="false">C11+D11+E11</f>
        <v>4</v>
      </c>
      <c r="C11" s="61" t="n">
        <f aca="false">SUM('Material Testing Estimation'!D8:D10)</f>
        <v>2</v>
      </c>
      <c r="D11" s="61" t="n">
        <f aca="false">SUM('Material Testing Estimation'!E8:E10)</f>
        <v>1</v>
      </c>
      <c r="E11" s="61" t="n">
        <f aca="false">SUM('Material Testing Estimation'!F8:F10)</f>
        <v>1</v>
      </c>
      <c r="F11" s="61" t="n">
        <f aca="false">'Material Testing Estimation'!G11</f>
        <v>10</v>
      </c>
      <c r="G11" s="62" t="n">
        <f aca="false">'Material Testing Estimation'!C15</f>
        <v>0.19</v>
      </c>
      <c r="H11" s="63" t="n">
        <f aca="false">'Material Testing Estimation'!C17</f>
        <v>52.6315789473684</v>
      </c>
      <c r="I11" s="64" t="n">
        <f aca="false">'Material Testing Estimation'!C18</f>
        <v>1.01</v>
      </c>
      <c r="J11" s="63" t="n">
        <f aca="false">'Material Testing Estimation'!C21</f>
        <v>61.1315789473684</v>
      </c>
      <c r="K11" s="63" t="n">
        <f aca="false">'Material Testing Estimation'!D23</f>
        <v>58.075</v>
      </c>
      <c r="L11" s="63" t="n">
        <f aca="false">'Material Testing Estimation'!C23</f>
        <v>64.1881578947369</v>
      </c>
      <c r="M11" s="60" t="str">
        <f aca="false">IF(AND(COUNTIFS('Story Mapping'!$H$9:$H$196,A11,'Story Mapping'!$L$9:$L$196,"Low")=C11,COUNTIFS('Story Mapping'!$H$9:$H$196,A11,'Story Mapping'!$L$9:$L$196,"Medium")=D11,COUNTIFS('Story Mapping'!$H$9:$H$196,A11,'Story Mapping'!$L$9:$L$196,"High")=E11),"OK","MISMATCH")</f>
        <v>OK</v>
      </c>
    </row>
    <row r="12" customFormat="false" ht="15" hidden="false" customHeight="false" outlineLevel="0" collapsed="false">
      <c r="A12" s="60" t="s">
        <v>128</v>
      </c>
      <c r="B12" s="61" t="n">
        <f aca="false">C12+D12+E12</f>
        <v>6</v>
      </c>
      <c r="C12" s="61" t="n">
        <f aca="false">SUM('Nirmal Estimation'!D8:D9)</f>
        <v>2</v>
      </c>
      <c r="D12" s="61" t="n">
        <f aca="false">SUM('Nirmal Estimation'!E8:E9)</f>
        <v>3</v>
      </c>
      <c r="E12" s="61" t="n">
        <f aca="false">SUM('Nirmal Estimation'!F8:F9)</f>
        <v>1</v>
      </c>
      <c r="F12" s="61" t="n">
        <f aca="false">'Nirmal Estimation'!G10</f>
        <v>16</v>
      </c>
      <c r="G12" s="62" t="n">
        <f aca="false">'Nirmal Estimation'!C14</f>
        <v>0.19</v>
      </c>
      <c r="H12" s="63" t="n">
        <f aca="false">'Nirmal Estimation'!C16</f>
        <v>84.2105263157895</v>
      </c>
      <c r="I12" s="64" t="n">
        <f aca="false">'Nirmal Estimation'!C17</f>
        <v>1.01</v>
      </c>
      <c r="J12" s="63" t="n">
        <f aca="false">'Nirmal Estimation'!C20</f>
        <v>97.8105263157895</v>
      </c>
      <c r="K12" s="63" t="n">
        <f aca="false">'Nirmal Estimation'!D22</f>
        <v>92.92</v>
      </c>
      <c r="L12" s="63" t="n">
        <f aca="false">'Nirmal Estimation'!C22</f>
        <v>102.701052631579</v>
      </c>
      <c r="M12" s="60" t="str">
        <f aca="false">IF(AND(COUNTIFS('Story Mapping'!$H$9:$H$196,A12,'Story Mapping'!$L$9:$L$196,"Low")=C12,COUNTIFS('Story Mapping'!$H$9:$H$196,A12,'Story Mapping'!$L$9:$L$196,"Medium")=D12,COUNTIFS('Story Mapping'!$H$9:$H$196,A12,'Story Mapping'!$L$9:$L$196,"High")=E12),"OK","MISMATCH")</f>
        <v>OK</v>
      </c>
    </row>
    <row r="13" customFormat="false" ht="15" hidden="false" customHeight="false" outlineLevel="0" collapsed="false">
      <c r="A13" s="60" t="s">
        <v>129</v>
      </c>
      <c r="B13" s="61" t="n">
        <f aca="false">C13+D13+E13</f>
        <v>8</v>
      </c>
      <c r="C13" s="61" t="n">
        <f aca="false">SUM('SVS Estimation'!D8:D11)</f>
        <v>4</v>
      </c>
      <c r="D13" s="61" t="n">
        <f aca="false">SUM('SVS Estimation'!E8:E11)</f>
        <v>2</v>
      </c>
      <c r="E13" s="61" t="n">
        <f aca="false">SUM('SVS Estimation'!F8:F11)</f>
        <v>2</v>
      </c>
      <c r="F13" s="61" t="n">
        <f aca="false">'SVS Estimation'!G12</f>
        <v>20</v>
      </c>
      <c r="G13" s="62" t="n">
        <f aca="false">'SVS Estimation'!C16</f>
        <v>0.19</v>
      </c>
      <c r="H13" s="63" t="n">
        <f aca="false">'SVS Estimation'!C18</f>
        <v>105.263157894737</v>
      </c>
      <c r="I13" s="64" t="n">
        <f aca="false">'SVS Estimation'!C19</f>
        <v>1.01</v>
      </c>
      <c r="J13" s="63" t="n">
        <f aca="false">'SVS Estimation'!C22</f>
        <v>122.263157894737</v>
      </c>
      <c r="K13" s="63" t="n">
        <f aca="false">'SVS Estimation'!D24</f>
        <v>116.15</v>
      </c>
      <c r="L13" s="63" t="n">
        <f aca="false">'SVS Estimation'!C24</f>
        <v>128.376315789474</v>
      </c>
      <c r="M13" s="60" t="str">
        <f aca="false">IF(AND(COUNTIFS('Story Mapping'!$H$9:$H$196,A13,'Story Mapping'!$L$9:$L$196,"Low")=C13,COUNTIFS('Story Mapping'!$H$9:$H$196,A13,'Story Mapping'!$L$9:$L$196,"Medium")=D13,COUNTIFS('Story Mapping'!$H$9:$H$196,A13,'Story Mapping'!$L$9:$L$196,"High")=E13),"OK","MISMATCH")</f>
        <v>OK</v>
      </c>
    </row>
    <row r="14" customFormat="false" ht="15" hidden="false" customHeight="false" outlineLevel="0" collapsed="false">
      <c r="A14" s="60" t="s">
        <v>130</v>
      </c>
      <c r="B14" s="61" t="n">
        <f aca="false">C14+D14+E14</f>
        <v>7</v>
      </c>
      <c r="C14" s="61" t="n">
        <f aca="false">SUM('SVS Anusharavan GP Estimation'!D8:D10)</f>
        <v>0</v>
      </c>
      <c r="D14" s="61" t="n">
        <f aca="false">SUM('SVS Anusharavan GP Estimation'!E8:E10)</f>
        <v>4</v>
      </c>
      <c r="E14" s="61" t="n">
        <f aca="false">SUM('SVS Anusharavan GP Estimation'!F8:F10)</f>
        <v>3</v>
      </c>
      <c r="F14" s="61" t="n">
        <f aca="false">'SVS Anusharavan GP Estimation'!G11</f>
        <v>27</v>
      </c>
      <c r="G14" s="62" t="n">
        <f aca="false">'SVS Anusharavan GP Estimation'!C15</f>
        <v>0.19</v>
      </c>
      <c r="H14" s="63" t="n">
        <f aca="false">'SVS Anusharavan GP Estimation'!C17</f>
        <v>142.105263157895</v>
      </c>
      <c r="I14" s="64" t="n">
        <f aca="false">'SVS Anusharavan GP Estimation'!C18</f>
        <v>1.01</v>
      </c>
      <c r="J14" s="63" t="n">
        <f aca="false">'SVS Anusharavan GP Estimation'!C21</f>
        <v>165.055263157895</v>
      </c>
      <c r="K14" s="63" t="n">
        <f aca="false">'SVS Anusharavan GP Estimation'!D23</f>
        <v>156.8025</v>
      </c>
      <c r="L14" s="63" t="n">
        <f aca="false">'SVS Anusharavan GP Estimation'!C23</f>
        <v>173.30802631579</v>
      </c>
      <c r="M14" s="60" t="str">
        <f aca="false">IF(AND(COUNTIFS('Story Mapping'!$H$9:$H$196,A14,'Story Mapping'!$L$9:$L$196,"Low")=C14,COUNTIFS('Story Mapping'!$H$9:$H$196,A14,'Story Mapping'!$L$9:$L$196,"Medium")=D14,COUNTIFS('Story Mapping'!$H$9:$H$196,A14,'Story Mapping'!$L$9:$L$196,"High")=E14),"OK","MISMATCH")</f>
        <v>OK</v>
      </c>
    </row>
    <row r="15" customFormat="false" ht="15" hidden="false" customHeight="false" outlineLevel="0" collapsed="false">
      <c r="A15" s="60" t="s">
        <v>131</v>
      </c>
      <c r="B15" s="61" t="n">
        <f aca="false">C15+D15+E15</f>
        <v>4</v>
      </c>
      <c r="C15" s="61" t="n">
        <f aca="false">SUM('Anusharavan Estimation'!D8:D9)</f>
        <v>3</v>
      </c>
      <c r="D15" s="61" t="n">
        <f aca="false">SUM('Anusharavan Estimation'!E8:E9)</f>
        <v>1</v>
      </c>
      <c r="E15" s="61" t="n">
        <f aca="false">SUM('Anusharavan Estimation'!F8:F9)</f>
        <v>0</v>
      </c>
      <c r="F15" s="61" t="n">
        <f aca="false">'Anusharavan Estimation'!G10</f>
        <v>6</v>
      </c>
      <c r="G15" s="62" t="n">
        <f aca="false">'Anusharavan Estimation'!C14</f>
        <v>0.19</v>
      </c>
      <c r="H15" s="63" t="n">
        <f aca="false">'Anusharavan Estimation'!C16</f>
        <v>31.5789473684211</v>
      </c>
      <c r="I15" s="64" t="n">
        <f aca="false">'Anusharavan Estimation'!C17</f>
        <v>1.01</v>
      </c>
      <c r="J15" s="63" t="n">
        <f aca="false">'Anusharavan Estimation'!C20</f>
        <v>36.6789473684211</v>
      </c>
      <c r="K15" s="63" t="n">
        <f aca="false">'Anusharavan Estimation'!D22</f>
        <v>34.845</v>
      </c>
      <c r="L15" s="63" t="n">
        <f aca="false">'Anusharavan Estimation'!C22</f>
        <v>38.5128947368421</v>
      </c>
      <c r="M15" s="60" t="str">
        <f aca="false">IF(AND(COUNTIFS('Story Mapping'!$H$9:$H$196,A15,'Story Mapping'!$L$9:$L$196,"Low")=C15,COUNTIFS('Story Mapping'!$H$9:$H$196,A15,'Story Mapping'!$L$9:$L$196,"Medium")=D15,COUNTIFS('Story Mapping'!$H$9:$H$196,A15,'Story Mapping'!$L$9:$L$196,"High")=E15),"OK","MISMATCH")</f>
        <v>OK</v>
      </c>
    </row>
    <row r="16" customFormat="false" ht="15" hidden="false" customHeight="false" outlineLevel="0" collapsed="false">
      <c r="A16" s="60" t="s">
        <v>132</v>
      </c>
      <c r="B16" s="61" t="n">
        <f aca="false">C16+D16+E16</f>
        <v>3</v>
      </c>
      <c r="C16" s="61" t="n">
        <f aca="false">SUM('Asset Mapping Estimation'!D8:D9)</f>
        <v>1</v>
      </c>
      <c r="D16" s="61" t="n">
        <f aca="false">SUM('Asset Mapping Estimation'!E8:E9)</f>
        <v>2</v>
      </c>
      <c r="E16" s="61" t="n">
        <f aca="false">SUM('Asset Mapping Estimation'!F8:F9)</f>
        <v>0</v>
      </c>
      <c r="F16" s="61" t="n">
        <f aca="false">'Asset Mapping Estimation'!G10</f>
        <v>7</v>
      </c>
      <c r="G16" s="62" t="n">
        <f aca="false">'Asset Mapping Estimation'!C14</f>
        <v>0.19</v>
      </c>
      <c r="H16" s="63" t="n">
        <f aca="false">'Asset Mapping Estimation'!C16</f>
        <v>36.8421052631579</v>
      </c>
      <c r="I16" s="64" t="n">
        <f aca="false">'Asset Mapping Estimation'!C17</f>
        <v>1.01</v>
      </c>
      <c r="J16" s="63" t="n">
        <f aca="false">'Asset Mapping Estimation'!C20</f>
        <v>42.7921052631579</v>
      </c>
      <c r="K16" s="63" t="n">
        <f aca="false">'Asset Mapping Estimation'!D22</f>
        <v>40.6525</v>
      </c>
      <c r="L16" s="63" t="n">
        <f aca="false">'Asset Mapping Estimation'!C22</f>
        <v>44.9317105263158</v>
      </c>
      <c r="M16" s="60" t="str">
        <f aca="false">IF(AND(COUNTIFS('Story Mapping'!$H$9:$H$196,A16,'Story Mapping'!$L$9:$L$196,"Low")=C16,COUNTIFS('Story Mapping'!$H$9:$H$196,A16,'Story Mapping'!$L$9:$L$196,"Medium")=D16,COUNTIFS('Story Mapping'!$H$9:$H$196,A16,'Story Mapping'!$L$9:$L$196,"High")=E16),"OK","MISMATCH")</f>
        <v>OK</v>
      </c>
    </row>
    <row r="17" customFormat="false" ht="15" hidden="false" customHeight="false" outlineLevel="0" collapsed="false">
      <c r="A17" s="60" t="s">
        <v>133</v>
      </c>
      <c r="B17" s="61" t="n">
        <f aca="false">C17+D17+E17</f>
        <v>3</v>
      </c>
      <c r="C17" s="61" t="n">
        <f aca="false">SUM('Bharosa CR Estimation'!D8:D9)</f>
        <v>2</v>
      </c>
      <c r="D17" s="61" t="n">
        <f aca="false">SUM('Bharosa CR Estimation'!E8:E9)</f>
        <v>1</v>
      </c>
      <c r="E17" s="61" t="n">
        <f aca="false">SUM('Bharosa CR Estimation'!F8:F9)</f>
        <v>0</v>
      </c>
      <c r="F17" s="61" t="n">
        <f aca="false">'Bharosa CR Estimation'!G10</f>
        <v>5</v>
      </c>
      <c r="G17" s="62" t="n">
        <f aca="false">'Bharosa CR Estimation'!C14</f>
        <v>0.19</v>
      </c>
      <c r="H17" s="63" t="n">
        <f aca="false">'Bharosa CR Estimation'!C16</f>
        <v>26.3157894736842</v>
      </c>
      <c r="I17" s="64" t="n">
        <f aca="false">'Bharosa CR Estimation'!C17</f>
        <v>1.01</v>
      </c>
      <c r="J17" s="63" t="n">
        <f aca="false">'Bharosa CR Estimation'!C20</f>
        <v>30.5657894736842</v>
      </c>
      <c r="K17" s="63" t="n">
        <f aca="false">'Bharosa CR Estimation'!D22</f>
        <v>29.0375</v>
      </c>
      <c r="L17" s="63" t="n">
        <f aca="false">'Bharosa CR Estimation'!C22</f>
        <v>32.0940789473684</v>
      </c>
      <c r="M17" s="60" t="str">
        <f aca="false">IF(AND(COUNTIFS('Story Mapping'!$H$9:$H$196,A17,'Story Mapping'!$L$9:$L$196,"Low")=C17,COUNTIFS('Story Mapping'!$H$9:$H$196,A17,'Story Mapping'!$L$9:$L$196,"Medium")=D17,COUNTIFS('Story Mapping'!$H$9:$H$196,A17,'Story Mapping'!$L$9:$L$196,"High")=E17),"OK","MISMATCH")</f>
        <v>OK</v>
      </c>
    </row>
    <row r="18" customFormat="false" ht="15" hidden="false" customHeight="false" outlineLevel="0" collapsed="false">
      <c r="A18" s="60" t="s">
        <v>134</v>
      </c>
      <c r="B18" s="61" t="n">
        <f aca="false">C18+D18+E18</f>
        <v>3</v>
      </c>
      <c r="C18" s="61" t="n">
        <f aca="false">SUM('AI Module Estimation'!D8:D8)</f>
        <v>0</v>
      </c>
      <c r="D18" s="61" t="n">
        <f aca="false">SUM('AI Module Estimation'!E8:E8)</f>
        <v>0</v>
      </c>
      <c r="E18" s="61" t="n">
        <f aca="false">SUM('AI Module Estimation'!F8:F8)</f>
        <v>3</v>
      </c>
      <c r="F18" s="61" t="n">
        <f aca="false">'AI Module Estimation'!G9</f>
        <v>15</v>
      </c>
      <c r="G18" s="62" t="n">
        <f aca="false">'AI Module Estimation'!C13</f>
        <v>0.19</v>
      </c>
      <c r="H18" s="63" t="n">
        <f aca="false">'AI Module Estimation'!C15</f>
        <v>78.9473684210526</v>
      </c>
      <c r="I18" s="64" t="n">
        <f aca="false">'AI Module Estimation'!C16</f>
        <v>1.01</v>
      </c>
      <c r="J18" s="63" t="n">
        <f aca="false">'AI Module Estimation'!C19</f>
        <v>91.6973684210526</v>
      </c>
      <c r="K18" s="63" t="n">
        <f aca="false">'AI Module Estimation'!D21</f>
        <v>87.1125</v>
      </c>
      <c r="L18" s="63" t="n">
        <f aca="false">'AI Module Estimation'!C21</f>
        <v>96.2822368421053</v>
      </c>
      <c r="M18" s="60" t="str">
        <f aca="false">IF(AND(COUNTIFS('Story Mapping'!$H$9:$H$196,A18,'Story Mapping'!$L$9:$L$196,"Low")=C18,COUNTIFS('Story Mapping'!$H$9:$H$196,A18,'Story Mapping'!$L$9:$L$196,"Medium")=D18,COUNTIFS('Story Mapping'!$H$9:$H$196,A18,'Story Mapping'!$L$9:$L$196,"High")=E18),"OK","MISMATCH")</f>
        <v>OK</v>
      </c>
    </row>
    <row r="19" customFormat="false" ht="15" hidden="false" customHeight="false" outlineLevel="0" collapsed="false">
      <c r="A19" s="60" t="s">
        <v>135</v>
      </c>
      <c r="B19" s="61" t="n">
        <f aca="false">C19+D19+E19</f>
        <v>3</v>
      </c>
      <c r="C19" s="61" t="n">
        <f aca="false">SUM('CMMI Doc Estimation'!D8:D9)</f>
        <v>0</v>
      </c>
      <c r="D19" s="61" t="n">
        <f aca="false">SUM('CMMI Doc Estimation'!E8:E9)</f>
        <v>0</v>
      </c>
      <c r="E19" s="61" t="n">
        <f aca="false">SUM('CMMI Doc Estimation'!F8:F9)</f>
        <v>3</v>
      </c>
      <c r="F19" s="61" t="n">
        <f aca="false">'CMMI Doc Estimation'!G10</f>
        <v>15</v>
      </c>
      <c r="G19" s="62" t="n">
        <f aca="false">'CMMI Doc Estimation'!C14</f>
        <v>0.19</v>
      </c>
      <c r="H19" s="63" t="n">
        <f aca="false">'CMMI Doc Estimation'!C16</f>
        <v>78.9473684210526</v>
      </c>
      <c r="I19" s="64" t="n">
        <f aca="false">'CMMI Doc Estimation'!C17</f>
        <v>1.01</v>
      </c>
      <c r="J19" s="63" t="n">
        <f aca="false">'CMMI Doc Estimation'!C20</f>
        <v>91.6973684210526</v>
      </c>
      <c r="K19" s="63" t="n">
        <f aca="false">'CMMI Doc Estimation'!D22</f>
        <v>87.1125</v>
      </c>
      <c r="L19" s="63" t="n">
        <f aca="false">'CMMI Doc Estimation'!C22</f>
        <v>96.2822368421053</v>
      </c>
      <c r="M19" s="60" t="str">
        <f aca="false">IF(AND(COUNTIFS('Story Mapping'!$H$9:$H$196,A19,'Story Mapping'!$L$9:$L$196,"Low")=C19,COUNTIFS('Story Mapping'!$H$9:$H$196,A19,'Story Mapping'!$L$9:$L$196,"Medium")=D19,COUNTIFS('Story Mapping'!$H$9:$H$196,A19,'Story Mapping'!$L$9:$L$196,"High")=E19),"OK","MISMATCH")</f>
        <v>OK</v>
      </c>
    </row>
    <row r="20" customFormat="false" ht="15" hidden="false" customHeight="false" outlineLevel="0" collapsed="false">
      <c r="A20" s="60" t="s">
        <v>136</v>
      </c>
      <c r="B20" s="61" t="n">
        <f aca="false">C20+D20+E20</f>
        <v>5</v>
      </c>
      <c r="C20" s="61" t="n">
        <f aca="false">SUM('e-Sign CDAC Estimation'!D8:D9)</f>
        <v>0</v>
      </c>
      <c r="D20" s="61" t="n">
        <f aca="false">SUM('e-Sign CDAC Estimation'!E8:E9)</f>
        <v>2</v>
      </c>
      <c r="E20" s="61" t="n">
        <f aca="false">SUM('e-Sign CDAC Estimation'!F8:F9)</f>
        <v>3</v>
      </c>
      <c r="F20" s="61" t="n">
        <f aca="false">'e-Sign CDAC Estimation'!G10</f>
        <v>21</v>
      </c>
      <c r="G20" s="62" t="n">
        <f aca="false">'e-Sign CDAC Estimation'!C14</f>
        <v>0.19</v>
      </c>
      <c r="H20" s="63" t="n">
        <f aca="false">'e-Sign CDAC Estimation'!C16</f>
        <v>110.526315789474</v>
      </c>
      <c r="I20" s="64" t="n">
        <f aca="false">'e-Sign CDAC Estimation'!C17</f>
        <v>1.01</v>
      </c>
      <c r="J20" s="63" t="n">
        <f aca="false">'e-Sign CDAC Estimation'!C20</f>
        <v>128.376315789474</v>
      </c>
      <c r="K20" s="63" t="n">
        <f aca="false">'e-Sign CDAC Estimation'!D22</f>
        <v>121.9575</v>
      </c>
      <c r="L20" s="63" t="n">
        <f aca="false">'e-Sign CDAC Estimation'!C22</f>
        <v>134.795131578947</v>
      </c>
      <c r="M20" s="60" t="str">
        <f aca="false">IF(AND(COUNTIFS('Story Mapping'!$H$9:$H$196,A20,'Story Mapping'!$L$9:$L$196,"Low")=C20,COUNTIFS('Story Mapping'!$H$9:$H$196,A20,'Story Mapping'!$L$9:$L$196,"Medium")=D20,COUNTIFS('Story Mapping'!$H$9:$H$196,A20,'Story Mapping'!$L$9:$L$196,"High")=E20),"OK","MISMATCH")</f>
        <v>OK</v>
      </c>
    </row>
    <row r="21" customFormat="false" ht="15" hidden="false" customHeight="false" outlineLevel="0" collapsed="false">
      <c r="A21" s="60" t="s">
        <v>137</v>
      </c>
      <c r="B21" s="61" t="n">
        <f aca="false">C21+D21+E21</f>
        <v>5</v>
      </c>
      <c r="C21" s="61" t="n">
        <f aca="false">SUM('BISAC-BISAG Estimation'!D8:D9)</f>
        <v>0</v>
      </c>
      <c r="D21" s="61" t="n">
        <f aca="false">SUM('BISAC-BISAG Estimation'!E8:E9)</f>
        <v>2</v>
      </c>
      <c r="E21" s="61" t="n">
        <f aca="false">SUM('BISAC-BISAG Estimation'!F8:F9)</f>
        <v>3</v>
      </c>
      <c r="F21" s="61" t="n">
        <f aca="false">'BISAC-BISAG Estimation'!G10</f>
        <v>21</v>
      </c>
      <c r="G21" s="62" t="n">
        <f aca="false">'BISAC-BISAG Estimation'!C14</f>
        <v>0.19</v>
      </c>
      <c r="H21" s="63" t="n">
        <f aca="false">'BISAC-BISAG Estimation'!C16</f>
        <v>110.526315789474</v>
      </c>
      <c r="I21" s="64" t="n">
        <f aca="false">'BISAC-BISAG Estimation'!C17</f>
        <v>1.01</v>
      </c>
      <c r="J21" s="63" t="n">
        <f aca="false">'BISAC-BISAG Estimation'!C20</f>
        <v>128.376315789474</v>
      </c>
      <c r="K21" s="63" t="n">
        <f aca="false">'BISAC-BISAG Estimation'!D22</f>
        <v>121.9575</v>
      </c>
      <c r="L21" s="63" t="n">
        <f aca="false">'BISAC-BISAG Estimation'!C22</f>
        <v>134.795131578947</v>
      </c>
      <c r="M21" s="60" t="str">
        <f aca="false">IF(AND(COUNTIFS('Story Mapping'!$H$9:$H$196,A21,'Story Mapping'!$L$9:$L$196,"Low")=C21,COUNTIFS('Story Mapping'!$H$9:$H$196,A21,'Story Mapping'!$L$9:$L$196,"Medium")=D21,COUNTIFS('Story Mapping'!$H$9:$H$196,A21,'Story Mapping'!$L$9:$L$196,"High")=E21),"OK","MISMATCH")</f>
        <v>OK</v>
      </c>
    </row>
    <row r="22" customFormat="false" ht="15" hidden="false" customHeight="false" outlineLevel="0" collapsed="false">
      <c r="A22" s="60" t="s">
        <v>138</v>
      </c>
      <c r="B22" s="61" t="n">
        <f aca="false">C22+D22+E22</f>
        <v>16</v>
      </c>
      <c r="C22" s="61" t="n">
        <f aca="false">SUM('Other Modules Estimation'!D8:D15)</f>
        <v>2</v>
      </c>
      <c r="D22" s="61" t="n">
        <f aca="false">SUM('Other Modules Estimation'!E8:E15)</f>
        <v>9</v>
      </c>
      <c r="E22" s="61" t="n">
        <f aca="false">SUM('Other Modules Estimation'!F8:F15)</f>
        <v>5</v>
      </c>
      <c r="F22" s="61" t="n">
        <f aca="false">'Other Modules Estimation'!G16</f>
        <v>54</v>
      </c>
      <c r="G22" s="62" t="n">
        <f aca="false">'Other Modules Estimation'!C20</f>
        <v>0.19</v>
      </c>
      <c r="H22" s="63" t="n">
        <f aca="false">'Other Modules Estimation'!C22</f>
        <v>284.21052631579</v>
      </c>
      <c r="I22" s="64" t="n">
        <f aca="false">'Other Modules Estimation'!C23</f>
        <v>1.01</v>
      </c>
      <c r="J22" s="63" t="n">
        <f aca="false">'Other Modules Estimation'!C26</f>
        <v>330.11052631579</v>
      </c>
      <c r="K22" s="63" t="n">
        <f aca="false">'Other Modules Estimation'!D28</f>
        <v>313.605</v>
      </c>
      <c r="L22" s="63" t="n">
        <f aca="false">'Other Modules Estimation'!C28</f>
        <v>346.616052631579</v>
      </c>
      <c r="M22" s="60" t="str">
        <f aca="false">IF(AND(COUNTIFS('Story Mapping'!$H$9:$H$196,A22,'Story Mapping'!$L$9:$L$196,"Low")=C22,COUNTIFS('Story Mapping'!$H$9:$H$196,A22,'Story Mapping'!$L$9:$L$196,"Medium")=D22,COUNTIFS('Story Mapping'!$H$9:$H$196,A22,'Story Mapping'!$L$9:$L$196,"High")=E22),"OK","MISMATCH")</f>
        <v>OK</v>
      </c>
    </row>
    <row r="23" customFormat="false" ht="15" hidden="false" customHeight="false" outlineLevel="0" collapsed="false">
      <c r="A23" s="65" t="s">
        <v>139</v>
      </c>
      <c r="B23" s="66" t="n">
        <f aca="false">SUM(B5:B22)</f>
        <v>163</v>
      </c>
      <c r="C23" s="66" t="n">
        <f aca="false">SUM(C5:C22)</f>
        <v>46</v>
      </c>
      <c r="D23" s="66" t="n">
        <f aca="false">SUM(D5:D22)</f>
        <v>78</v>
      </c>
      <c r="E23" s="66" t="n">
        <f aca="false">SUM(E5:E22)</f>
        <v>39</v>
      </c>
      <c r="F23" s="66" t="n">
        <f aca="false">SUM(F5:F22)</f>
        <v>475</v>
      </c>
      <c r="G23" s="67" t="n">
        <f aca="false">'Baseline Productivity '!C4</f>
        <v>0.19</v>
      </c>
      <c r="H23" s="68" t="n">
        <f aca="false">SUM(H5:H22)</f>
        <v>2500</v>
      </c>
      <c r="I23" s="69"/>
      <c r="J23" s="68" t="n">
        <f aca="false">SUM(J5:J22)</f>
        <v>2903.75</v>
      </c>
      <c r="K23" s="68" t="n">
        <f aca="false">SUM(K5:K22)</f>
        <v>2758.5625</v>
      </c>
      <c r="L23" s="68" t="n">
        <f aca="false">SUM(L5:L22)</f>
        <v>3048.9375</v>
      </c>
      <c r="M23" s="65" t="str">
        <f aca="false">IF(COUNTIF(M5:M22,"OK")=ROWS(M5:M22),"OK","MISMATCH")</f>
        <v>OK</v>
      </c>
    </row>
    <row r="25" customFormat="false" ht="15" hidden="false" customHeight="false" outlineLevel="0" collapsed="false">
      <c r="A25" s="70" t="s">
        <v>140</v>
      </c>
    </row>
    <row r="26" customFormat="false" ht="15" hidden="false" customHeight="false" outlineLevel="0" collapsed="false">
      <c r="A26" s="71" t="s">
        <v>141</v>
      </c>
      <c r="B26" s="72" t="n">
        <v>889</v>
      </c>
    </row>
    <row r="27" customFormat="false" ht="15" hidden="false" customHeight="false" outlineLevel="0" collapsed="false">
      <c r="A27" s="71" t="s">
        <v>142</v>
      </c>
      <c r="B27" s="72" t="n">
        <v>1133</v>
      </c>
    </row>
    <row r="28" customFormat="false" ht="15" hidden="false" customHeight="false" outlineLevel="0" collapsed="false">
      <c r="A28" s="71" t="s">
        <v>143</v>
      </c>
      <c r="B28" s="72" t="n">
        <v>690</v>
      </c>
    </row>
    <row r="29" customFormat="false" ht="15" hidden="false" customHeight="false" outlineLevel="0" collapsed="false">
      <c r="A29" s="71" t="s">
        <v>144</v>
      </c>
      <c r="B29" s="72" t="n">
        <v>730</v>
      </c>
    </row>
    <row r="30" customFormat="false" ht="15" hidden="false" customHeight="false" outlineLevel="0" collapsed="false">
      <c r="A30" s="70" t="s">
        <v>145</v>
      </c>
      <c r="B30" s="70" t="n">
        <f aca="false">SUM(B26:B29)</f>
        <v>3442</v>
      </c>
    </row>
    <row r="31" customFormat="false" ht="15" hidden="false" customHeight="false" outlineLevel="0" collapsed="false">
      <c r="A31" s="70" t="s">
        <v>146</v>
      </c>
      <c r="B31" s="73" t="n">
        <f aca="false">J23/B30</f>
        <v>0.843622893666473</v>
      </c>
    </row>
    <row r="32" customFormat="false" ht="15" hidden="false" customHeight="false" outlineLevel="0" collapsed="false">
      <c r="A32" s="58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153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86" hidden="false" customHeight="true" outlineLevel="0" collapsed="false">
      <c r="A8" s="76" t="s">
        <v>163</v>
      </c>
      <c r="B8" s="76" t="s">
        <v>164</v>
      </c>
      <c r="C8" s="76" t="s">
        <v>165</v>
      </c>
      <c r="D8" s="77" t="n">
        <v>1</v>
      </c>
      <c r="E8" s="77" t="n">
        <v>5</v>
      </c>
      <c r="F8" s="77" t="n">
        <v>1</v>
      </c>
      <c r="G8" s="77" t="n">
        <f aca="false">D8*$D$7+E8*$E$7+F8*$F$7</f>
        <v>21</v>
      </c>
    </row>
    <row r="9" customFormat="false" ht="174" hidden="false" customHeight="true" outlineLevel="0" collapsed="false">
      <c r="A9" s="76" t="s">
        <v>166</v>
      </c>
      <c r="B9" s="76" t="s">
        <v>167</v>
      </c>
      <c r="C9" s="76" t="s">
        <v>168</v>
      </c>
      <c r="D9" s="77" t="n">
        <v>1</v>
      </c>
      <c r="E9" s="77" t="n">
        <v>4</v>
      </c>
      <c r="F9" s="77" t="n">
        <v>1</v>
      </c>
      <c r="G9" s="77" t="n">
        <f aca="false">D9*$D$7+E9*$E$7+F9*$F$7</f>
        <v>18</v>
      </c>
    </row>
    <row r="10" customFormat="false" ht="90" hidden="false" customHeight="true" outlineLevel="0" collapsed="false">
      <c r="A10" s="76" t="s">
        <v>169</v>
      </c>
      <c r="B10" s="76" t="s">
        <v>170</v>
      </c>
      <c r="C10" s="76" t="s">
        <v>171</v>
      </c>
      <c r="D10" s="77" t="n">
        <v>0</v>
      </c>
      <c r="E10" s="77" t="n">
        <v>3</v>
      </c>
      <c r="F10" s="77" t="n">
        <v>0</v>
      </c>
      <c r="G10" s="77" t="n">
        <f aca="false">D10*$D$7+E10*$E$7+F10*$F$7</f>
        <v>9</v>
      </c>
    </row>
    <row r="11" customFormat="false" ht="174" hidden="false" customHeight="true" outlineLevel="0" collapsed="false">
      <c r="A11" s="76" t="s">
        <v>172</v>
      </c>
      <c r="B11" s="76" t="s">
        <v>173</v>
      </c>
      <c r="C11" s="76" t="s">
        <v>174</v>
      </c>
      <c r="D11" s="77" t="n">
        <v>1</v>
      </c>
      <c r="E11" s="77" t="n">
        <v>1</v>
      </c>
      <c r="F11" s="77" t="n">
        <v>4</v>
      </c>
      <c r="G11" s="77" t="n">
        <f aca="false">D11*$D$7+E11*$E$7+F11*$F$7</f>
        <v>24</v>
      </c>
    </row>
    <row r="12" customFormat="false" ht="126" hidden="false" customHeight="true" outlineLevel="0" collapsed="false">
      <c r="A12" s="76" t="s">
        <v>175</v>
      </c>
      <c r="B12" s="76" t="s">
        <v>176</v>
      </c>
      <c r="C12" s="76" t="s">
        <v>177</v>
      </c>
      <c r="D12" s="77" t="n">
        <v>0</v>
      </c>
      <c r="E12" s="77" t="n">
        <v>1</v>
      </c>
      <c r="F12" s="77" t="n">
        <v>3</v>
      </c>
      <c r="G12" s="77" t="n">
        <f aca="false">D12*$D$7+E12*$E$7+F12*$F$7</f>
        <v>18</v>
      </c>
    </row>
    <row r="13" customFormat="false" ht="150" hidden="false" customHeight="true" outlineLevel="0" collapsed="false">
      <c r="A13" s="76" t="s">
        <v>178</v>
      </c>
      <c r="B13" s="76" t="s">
        <v>179</v>
      </c>
      <c r="C13" s="76" t="s">
        <v>180</v>
      </c>
      <c r="D13" s="77" t="n">
        <v>1</v>
      </c>
      <c r="E13" s="77" t="n">
        <v>4</v>
      </c>
      <c r="F13" s="77" t="n">
        <v>0</v>
      </c>
      <c r="G13" s="77" t="n">
        <f aca="false">D13*$D$7+E13*$E$7+F13*$F$7</f>
        <v>13</v>
      </c>
    </row>
    <row r="14" customFormat="false" ht="342" hidden="false" customHeight="true" outlineLevel="0" collapsed="false">
      <c r="A14" s="76" t="s">
        <v>181</v>
      </c>
      <c r="B14" s="76" t="s">
        <v>182</v>
      </c>
      <c r="C14" s="76" t="s">
        <v>183</v>
      </c>
      <c r="D14" s="77" t="n">
        <v>7</v>
      </c>
      <c r="E14" s="77" t="n">
        <v>6</v>
      </c>
      <c r="F14" s="77" t="n">
        <v>0</v>
      </c>
      <c r="G14" s="77" t="n">
        <f aca="false">D14*$D$7+E14*$E$7+F14*$F$7</f>
        <v>25</v>
      </c>
    </row>
    <row r="15" customFormat="false" ht="66" hidden="false" customHeight="true" outlineLevel="0" collapsed="false">
      <c r="A15" s="76" t="s">
        <v>184</v>
      </c>
      <c r="B15" s="76" t="s">
        <v>185</v>
      </c>
      <c r="C15" s="76" t="s">
        <v>186</v>
      </c>
      <c r="D15" s="77" t="n">
        <v>0</v>
      </c>
      <c r="E15" s="77" t="n">
        <v>1</v>
      </c>
      <c r="F15" s="77" t="n">
        <v>1</v>
      </c>
      <c r="G15" s="77" t="n">
        <f aca="false">D15*$D$7+E15*$E$7+F15*$F$7</f>
        <v>8</v>
      </c>
    </row>
    <row r="16" customFormat="false" ht="15" hidden="false" customHeight="true" outlineLevel="0" collapsed="false">
      <c r="A16" s="78" t="s">
        <v>187</v>
      </c>
      <c r="B16" s="78"/>
      <c r="C16" s="78"/>
      <c r="D16" s="78"/>
      <c r="E16" s="78"/>
      <c r="F16" s="78"/>
      <c r="G16" s="79" t="n">
        <f aca="false">SUM(G8:G15)</f>
        <v>136</v>
      </c>
      <c r="J16" s="80"/>
      <c r="K16" s="81"/>
      <c r="L16" s="81"/>
    </row>
    <row r="17" customFormat="false" ht="15" hidden="false" customHeight="true" outlineLevel="0" collapsed="false">
      <c r="J17" s="80" t="s">
        <v>188</v>
      </c>
      <c r="K17" s="80"/>
      <c r="L17" s="80"/>
    </row>
    <row r="18" customFormat="false" ht="15" hidden="false" customHeight="true" outlineLevel="0" collapsed="false">
      <c r="B18" s="0" t="s">
        <v>189</v>
      </c>
      <c r="G18" s="0" t="n">
        <f aca="false">G16</f>
        <v>136</v>
      </c>
      <c r="J18" s="82" t="s">
        <v>190</v>
      </c>
      <c r="K18" s="83"/>
      <c r="L18" s="82" t="s">
        <v>191</v>
      </c>
    </row>
    <row r="19" customFormat="false" ht="15" hidden="false" customHeight="true" outlineLevel="0" collapsed="false">
      <c r="J19" s="83" t="s">
        <v>192</v>
      </c>
      <c r="K19" s="83"/>
      <c r="L19" s="83" t="n">
        <v>0</v>
      </c>
    </row>
    <row r="20" customFormat="false" ht="15" hidden="false" customHeight="true" outlineLevel="0" collapsed="false">
      <c r="B20" s="0" t="s">
        <v>193</v>
      </c>
      <c r="C20" s="84" t="n">
        <f aca="false">'Baseline Productivity '!$C$4</f>
        <v>0.19</v>
      </c>
      <c r="J20" s="83" t="s">
        <v>194</v>
      </c>
      <c r="K20" s="83"/>
      <c r="L20" s="83" t="n">
        <v>0</v>
      </c>
    </row>
    <row r="21" customFormat="false" ht="15" hidden="false" customHeight="true" outlineLevel="0" collapsed="false">
      <c r="B21" s="0" t="s">
        <v>195</v>
      </c>
      <c r="C21" s="0" t="n">
        <f aca="false">G16</f>
        <v>136</v>
      </c>
      <c r="D21" s="0" t="s">
        <v>196</v>
      </c>
      <c r="J21" s="83"/>
      <c r="K21" s="83"/>
      <c r="L21" s="83"/>
    </row>
    <row r="22" customFormat="false" ht="15" hidden="false" customHeight="true" outlineLevel="0" collapsed="false">
      <c r="B22" s="0" t="s">
        <v>197</v>
      </c>
      <c r="C22" s="0" t="n">
        <f aca="false">C21/C20</f>
        <v>715.789473684211</v>
      </c>
      <c r="D22" s="0" t="s">
        <v>198</v>
      </c>
      <c r="J22" s="83" t="s">
        <v>199</v>
      </c>
      <c r="K22" s="83"/>
      <c r="L22" s="83" t="n">
        <v>0</v>
      </c>
    </row>
    <row r="23" customFormat="false" ht="15" hidden="false" customHeight="true" outlineLevel="0" collapsed="false">
      <c r="B23" s="0" t="s">
        <v>116</v>
      </c>
      <c r="C23" s="0" t="n">
        <f aca="false">0.65+0.01*$L$35</f>
        <v>1.01</v>
      </c>
      <c r="J23" s="83" t="s">
        <v>200</v>
      </c>
      <c r="K23" s="83"/>
      <c r="L23" s="83" t="n">
        <v>3</v>
      </c>
    </row>
    <row r="24" customFormat="false" ht="15" hidden="false" customHeight="true" outlineLevel="0" collapsed="false">
      <c r="B24" s="0" t="s">
        <v>201</v>
      </c>
      <c r="C24" s="0" t="n">
        <v>0.05</v>
      </c>
      <c r="J24" s="83" t="s">
        <v>202</v>
      </c>
      <c r="K24" s="83"/>
      <c r="L24" s="83" t="n">
        <v>4</v>
      </c>
    </row>
    <row r="25" customFormat="false" ht="15" hidden="false" customHeight="true" outlineLevel="0" collapsed="false">
      <c r="B25" s="0" t="s">
        <v>203</v>
      </c>
      <c r="C25" s="0" t="n">
        <v>0.1</v>
      </c>
      <c r="J25" s="83"/>
      <c r="K25" s="83"/>
      <c r="L25" s="83"/>
    </row>
    <row r="26" customFormat="false" ht="15" hidden="false" customHeight="true" outlineLevel="0" collapsed="false">
      <c r="B26" s="0" t="s">
        <v>204</v>
      </c>
      <c r="C26" s="0" t="n">
        <f aca="false">C22*C23*(1+C24+C25)</f>
        <v>831.389473684211</v>
      </c>
      <c r="D26" s="0" t="s">
        <v>198</v>
      </c>
      <c r="J26" s="83" t="s">
        <v>205</v>
      </c>
      <c r="K26" s="83"/>
      <c r="L26" s="83" t="n">
        <v>3</v>
      </c>
    </row>
    <row r="27" customFormat="false" ht="15" hidden="false" customHeight="true" outlineLevel="0" collapsed="false">
      <c r="J27" s="83" t="s">
        <v>206</v>
      </c>
      <c r="K27" s="83"/>
      <c r="L27" s="83" t="n">
        <v>2</v>
      </c>
    </row>
    <row r="28" customFormat="false" ht="15" hidden="false" customHeight="true" outlineLevel="0" collapsed="false">
      <c r="B28" s="0" t="s">
        <v>207</v>
      </c>
      <c r="C28" s="0" t="n">
        <f aca="false">C26*1.05</f>
        <v>872.958947368421</v>
      </c>
      <c r="D28" s="0" t="n">
        <f aca="false">C26*0.95</f>
        <v>789.82</v>
      </c>
      <c r="J28" s="83" t="s">
        <v>208</v>
      </c>
      <c r="K28" s="83"/>
      <c r="L28" s="83" t="n">
        <v>1</v>
      </c>
    </row>
    <row r="29" customFormat="false" ht="15" hidden="false" customHeight="true" outlineLevel="0" collapsed="false">
      <c r="J29" s="83" t="s">
        <v>209</v>
      </c>
      <c r="K29" s="83"/>
      <c r="L29" s="83" t="n">
        <v>3</v>
      </c>
    </row>
    <row r="30" customFormat="false" ht="15" hidden="false" customHeight="true" outlineLevel="0" collapsed="false">
      <c r="J30" s="83" t="s">
        <v>210</v>
      </c>
      <c r="K30" s="83"/>
      <c r="L30" s="83" t="n">
        <v>4</v>
      </c>
    </row>
    <row r="31" customFormat="false" ht="15" hidden="false" customHeight="true" outlineLevel="0" collapsed="false">
      <c r="J31" s="83" t="s">
        <v>211</v>
      </c>
      <c r="K31" s="83"/>
      <c r="L31" s="83" t="n">
        <v>4</v>
      </c>
    </row>
    <row r="32" customFormat="false" ht="15" hidden="false" customHeight="true" outlineLevel="0" collapsed="false">
      <c r="J32" s="83" t="s">
        <v>212</v>
      </c>
      <c r="K32" s="83"/>
      <c r="L32" s="83" t="n">
        <v>4</v>
      </c>
    </row>
    <row r="33" customFormat="false" ht="15" hidden="false" customHeight="true" outlineLevel="0" collapsed="false">
      <c r="J33" s="83" t="s">
        <v>213</v>
      </c>
      <c r="K33" s="83"/>
      <c r="L33" s="83" t="n">
        <v>4</v>
      </c>
    </row>
    <row r="34" customFormat="false" ht="15" hidden="false" customHeight="true" outlineLevel="0" collapsed="false">
      <c r="J34" s="83" t="s">
        <v>214</v>
      </c>
      <c r="K34" s="83"/>
      <c r="L34" s="83" t="n">
        <v>4</v>
      </c>
    </row>
    <row r="35" customFormat="false" ht="15" hidden="false" customHeight="true" outlineLevel="0" collapsed="false">
      <c r="J35" s="82" t="s">
        <v>215</v>
      </c>
      <c r="K35" s="82"/>
      <c r="L35" s="82" t="n">
        <f aca="false">SUM(L19:L34)</f>
        <v>36</v>
      </c>
    </row>
  </sheetData>
  <mergeCells count="2">
    <mergeCell ref="A16:F16"/>
    <mergeCell ref="J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216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50" hidden="false" customHeight="true" outlineLevel="0" collapsed="false">
      <c r="A8" s="76" t="s">
        <v>217</v>
      </c>
      <c r="B8" s="76" t="s">
        <v>218</v>
      </c>
      <c r="C8" s="76" t="s">
        <v>219</v>
      </c>
      <c r="D8" s="77" t="n">
        <v>0</v>
      </c>
      <c r="E8" s="77" t="n">
        <v>5</v>
      </c>
      <c r="F8" s="77" t="n">
        <v>0</v>
      </c>
      <c r="G8" s="77" t="n">
        <f aca="false">D8*$D$7+E8*$E$7+F8*$F$7</f>
        <v>15</v>
      </c>
    </row>
    <row r="9" customFormat="false" ht="138" hidden="false" customHeight="true" outlineLevel="0" collapsed="false">
      <c r="A9" s="76" t="s">
        <v>220</v>
      </c>
      <c r="B9" s="76" t="s">
        <v>221</v>
      </c>
      <c r="C9" s="76" t="s">
        <v>222</v>
      </c>
      <c r="D9" s="77" t="n">
        <v>3</v>
      </c>
      <c r="E9" s="77" t="n">
        <v>2</v>
      </c>
      <c r="F9" s="77" t="n">
        <v>0</v>
      </c>
      <c r="G9" s="77" t="n">
        <f aca="false">D9*$D$7+E9*$E$7+F9*$F$7</f>
        <v>9</v>
      </c>
    </row>
    <row r="10" customFormat="false" ht="57" hidden="false" customHeight="true" outlineLevel="0" collapsed="false">
      <c r="A10" s="76" t="s">
        <v>223</v>
      </c>
      <c r="B10" s="76" t="s">
        <v>224</v>
      </c>
      <c r="C10" s="76" t="s">
        <v>225</v>
      </c>
      <c r="D10" s="77" t="n">
        <v>0</v>
      </c>
      <c r="E10" s="77" t="n">
        <v>0</v>
      </c>
      <c r="F10" s="77" t="n">
        <v>1</v>
      </c>
      <c r="G10" s="77" t="n">
        <f aca="false">D10*$D$7+E10*$E$7+F10*$F$7</f>
        <v>5</v>
      </c>
    </row>
    <row r="11" customFormat="false" ht="57" hidden="false" customHeight="true" outlineLevel="0" collapsed="false">
      <c r="A11" s="76" t="s">
        <v>226</v>
      </c>
      <c r="B11" s="76" t="s">
        <v>227</v>
      </c>
      <c r="C11" s="76" t="s">
        <v>228</v>
      </c>
      <c r="D11" s="77" t="n">
        <v>1</v>
      </c>
      <c r="E11" s="77" t="n">
        <v>0</v>
      </c>
      <c r="F11" s="77" t="n">
        <v>0</v>
      </c>
      <c r="G11" s="77" t="n">
        <f aca="false">D11*$D$7+E11*$E$7+F11*$F$7</f>
        <v>1</v>
      </c>
    </row>
    <row r="12" customFormat="false" ht="15" hidden="false" customHeight="true" outlineLevel="0" collapsed="false">
      <c r="A12" s="78" t="s">
        <v>229</v>
      </c>
      <c r="B12" s="78"/>
      <c r="C12" s="78"/>
      <c r="D12" s="78"/>
      <c r="E12" s="78"/>
      <c r="F12" s="78"/>
      <c r="G12" s="79" t="n">
        <f aca="false">SUM(G8:G11)</f>
        <v>30</v>
      </c>
      <c r="J12" s="80"/>
      <c r="K12" s="81"/>
      <c r="L12" s="81"/>
    </row>
    <row r="13" customFormat="false" ht="15" hidden="false" customHeight="true" outlineLevel="0" collapsed="false">
      <c r="J13" s="80" t="s">
        <v>188</v>
      </c>
      <c r="K13" s="80"/>
      <c r="L13" s="80"/>
    </row>
    <row r="14" customFormat="false" ht="15" hidden="false" customHeight="true" outlineLevel="0" collapsed="false">
      <c r="B14" s="0" t="s">
        <v>189</v>
      </c>
      <c r="G14" s="0" t="n">
        <f aca="false">G12</f>
        <v>30</v>
      </c>
      <c r="J14" s="82" t="s">
        <v>190</v>
      </c>
      <c r="K14" s="83"/>
      <c r="L14" s="82" t="s">
        <v>191</v>
      </c>
    </row>
    <row r="15" customFormat="false" ht="15" hidden="false" customHeight="true" outlineLevel="0" collapsed="false">
      <c r="J15" s="83" t="s">
        <v>192</v>
      </c>
      <c r="K15" s="83"/>
      <c r="L15" s="83" t="n">
        <v>0</v>
      </c>
    </row>
    <row r="16" customFormat="false" ht="15" hidden="false" customHeight="true" outlineLevel="0" collapsed="false">
      <c r="B16" s="0" t="s">
        <v>193</v>
      </c>
      <c r="C16" s="84" t="n">
        <f aca="false">'Baseline Productivity '!$C$4</f>
        <v>0.19</v>
      </c>
      <c r="J16" s="83" t="s">
        <v>194</v>
      </c>
      <c r="K16" s="83"/>
      <c r="L16" s="83" t="n">
        <v>0</v>
      </c>
    </row>
    <row r="17" customFormat="false" ht="15" hidden="false" customHeight="true" outlineLevel="0" collapsed="false">
      <c r="B17" s="0" t="s">
        <v>195</v>
      </c>
      <c r="C17" s="0" t="n">
        <f aca="false">G12</f>
        <v>30</v>
      </c>
      <c r="D17" s="0" t="s">
        <v>196</v>
      </c>
      <c r="J17" s="83"/>
      <c r="K17" s="83"/>
      <c r="L17" s="83"/>
    </row>
    <row r="18" customFormat="false" ht="15" hidden="false" customHeight="true" outlineLevel="0" collapsed="false">
      <c r="B18" s="0" t="s">
        <v>197</v>
      </c>
      <c r="C18" s="0" t="n">
        <f aca="false">C17/C16</f>
        <v>157.894736842105</v>
      </c>
      <c r="D18" s="0" t="s">
        <v>198</v>
      </c>
      <c r="J18" s="83" t="s">
        <v>199</v>
      </c>
      <c r="K18" s="83"/>
      <c r="L18" s="83" t="n">
        <v>0</v>
      </c>
    </row>
    <row r="19" customFormat="false" ht="15" hidden="false" customHeight="true" outlineLevel="0" collapsed="false">
      <c r="B19" s="0" t="s">
        <v>116</v>
      </c>
      <c r="C19" s="0" t="n">
        <f aca="false">0.65+0.01*$L$31</f>
        <v>1.01</v>
      </c>
      <c r="J19" s="83" t="s">
        <v>200</v>
      </c>
      <c r="K19" s="83"/>
      <c r="L19" s="83" t="n">
        <v>3</v>
      </c>
    </row>
    <row r="20" customFormat="false" ht="15" hidden="false" customHeight="true" outlineLevel="0" collapsed="false">
      <c r="B20" s="0" t="s">
        <v>201</v>
      </c>
      <c r="C20" s="0" t="n">
        <v>0.05</v>
      </c>
      <c r="J20" s="83" t="s">
        <v>202</v>
      </c>
      <c r="K20" s="83"/>
      <c r="L20" s="83" t="n">
        <v>4</v>
      </c>
    </row>
    <row r="21" customFormat="false" ht="15" hidden="false" customHeight="true" outlineLevel="0" collapsed="false">
      <c r="B21" s="0" t="s">
        <v>203</v>
      </c>
      <c r="C21" s="0" t="n">
        <v>0.1</v>
      </c>
      <c r="J21" s="83"/>
      <c r="K21" s="83"/>
      <c r="L21" s="83"/>
    </row>
    <row r="22" customFormat="false" ht="15" hidden="false" customHeight="true" outlineLevel="0" collapsed="false">
      <c r="B22" s="0" t="s">
        <v>204</v>
      </c>
      <c r="C22" s="0" t="n">
        <f aca="false">C18*C19*(1+C20+C21)</f>
        <v>183.394736842105</v>
      </c>
      <c r="D22" s="0" t="s">
        <v>198</v>
      </c>
      <c r="J22" s="83" t="s">
        <v>205</v>
      </c>
      <c r="K22" s="83"/>
      <c r="L22" s="83" t="n">
        <v>3</v>
      </c>
    </row>
    <row r="23" customFormat="false" ht="15" hidden="false" customHeight="true" outlineLevel="0" collapsed="false">
      <c r="J23" s="83" t="s">
        <v>206</v>
      </c>
      <c r="K23" s="83"/>
      <c r="L23" s="83" t="n">
        <v>2</v>
      </c>
    </row>
    <row r="24" customFormat="false" ht="15" hidden="false" customHeight="true" outlineLevel="0" collapsed="false">
      <c r="B24" s="0" t="s">
        <v>207</v>
      </c>
      <c r="C24" s="0" t="n">
        <f aca="false">C22*1.05</f>
        <v>192.564473684211</v>
      </c>
      <c r="D24" s="0" t="n">
        <f aca="false">C22*0.95</f>
        <v>174.225</v>
      </c>
      <c r="J24" s="83" t="s">
        <v>208</v>
      </c>
      <c r="K24" s="83"/>
      <c r="L24" s="83" t="n">
        <v>1</v>
      </c>
    </row>
    <row r="25" customFormat="false" ht="15" hidden="false" customHeight="true" outlineLevel="0" collapsed="false">
      <c r="J25" s="83" t="s">
        <v>209</v>
      </c>
      <c r="K25" s="83"/>
      <c r="L25" s="83" t="n">
        <v>3</v>
      </c>
    </row>
    <row r="26" customFormat="false" ht="15" hidden="false" customHeight="true" outlineLevel="0" collapsed="false">
      <c r="J26" s="83" t="s">
        <v>210</v>
      </c>
      <c r="K26" s="83"/>
      <c r="L26" s="83" t="n">
        <v>4</v>
      </c>
    </row>
    <row r="27" customFormat="false" ht="15" hidden="false" customHeight="true" outlineLevel="0" collapsed="false">
      <c r="J27" s="83" t="s">
        <v>211</v>
      </c>
      <c r="K27" s="83"/>
      <c r="L27" s="83" t="n">
        <v>4</v>
      </c>
    </row>
    <row r="28" customFormat="false" ht="15" hidden="false" customHeight="true" outlineLevel="0" collapsed="false">
      <c r="J28" s="83" t="s">
        <v>212</v>
      </c>
      <c r="K28" s="83"/>
      <c r="L28" s="83" t="n">
        <v>4</v>
      </c>
    </row>
    <row r="29" customFormat="false" ht="15" hidden="false" customHeight="true" outlineLevel="0" collapsed="false">
      <c r="J29" s="83" t="s">
        <v>213</v>
      </c>
      <c r="K29" s="83"/>
      <c r="L29" s="83" t="n">
        <v>4</v>
      </c>
    </row>
    <row r="30" customFormat="false" ht="15" hidden="false" customHeight="true" outlineLevel="0" collapsed="false">
      <c r="J30" s="83" t="s">
        <v>214</v>
      </c>
      <c r="K30" s="83"/>
      <c r="L30" s="83" t="n">
        <v>4</v>
      </c>
    </row>
    <row r="31" customFormat="false" ht="15" hidden="false" customHeight="true" outlineLevel="0" collapsed="false">
      <c r="J31" s="82" t="s">
        <v>215</v>
      </c>
      <c r="K31" s="82"/>
      <c r="L31" s="82" t="n">
        <f aca="false">SUM(L15:L30)</f>
        <v>36</v>
      </c>
    </row>
  </sheetData>
  <mergeCells count="2">
    <mergeCell ref="A12:F12"/>
    <mergeCell ref="J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230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74" hidden="false" customHeight="true" outlineLevel="0" collapsed="false">
      <c r="A8" s="76" t="s">
        <v>231</v>
      </c>
      <c r="B8" s="76" t="s">
        <v>232</v>
      </c>
      <c r="C8" s="76" t="s">
        <v>233</v>
      </c>
      <c r="D8" s="77" t="n">
        <v>0</v>
      </c>
      <c r="E8" s="77" t="n">
        <v>6</v>
      </c>
      <c r="F8" s="77" t="n">
        <v>0</v>
      </c>
      <c r="G8" s="77" t="n">
        <f aca="false">D8*$D$7+E8*$E$7+F8*$F$7</f>
        <v>18</v>
      </c>
    </row>
    <row r="9" customFormat="false" ht="78" hidden="false" customHeight="true" outlineLevel="0" collapsed="false">
      <c r="A9" s="76" t="s">
        <v>234</v>
      </c>
      <c r="B9" s="76" t="s">
        <v>235</v>
      </c>
      <c r="C9" s="76" t="s">
        <v>236</v>
      </c>
      <c r="D9" s="77" t="n">
        <v>1</v>
      </c>
      <c r="E9" s="77" t="n">
        <v>1</v>
      </c>
      <c r="F9" s="77" t="n">
        <v>0</v>
      </c>
      <c r="G9" s="77" t="n">
        <f aca="false">D9*$D$7+E9*$E$7+F9*$F$7</f>
        <v>4</v>
      </c>
    </row>
    <row r="10" customFormat="false" ht="66" hidden="false" customHeight="true" outlineLevel="0" collapsed="false">
      <c r="A10" s="76" t="s">
        <v>237</v>
      </c>
      <c r="B10" s="76" t="s">
        <v>238</v>
      </c>
      <c r="C10" s="76" t="s">
        <v>239</v>
      </c>
      <c r="D10" s="77" t="n">
        <v>0</v>
      </c>
      <c r="E10" s="77" t="n">
        <v>2</v>
      </c>
      <c r="F10" s="77" t="n">
        <v>0</v>
      </c>
      <c r="G10" s="77" t="n">
        <f aca="false">D10*$D$7+E10*$E$7+F10*$F$7</f>
        <v>6</v>
      </c>
    </row>
    <row r="11" customFormat="false" ht="102" hidden="false" customHeight="true" outlineLevel="0" collapsed="false">
      <c r="A11" s="76" t="s">
        <v>240</v>
      </c>
      <c r="B11" s="76" t="s">
        <v>241</v>
      </c>
      <c r="C11" s="76" t="s">
        <v>242</v>
      </c>
      <c r="D11" s="77" t="n">
        <v>0</v>
      </c>
      <c r="E11" s="77" t="n">
        <v>1</v>
      </c>
      <c r="F11" s="77" t="n">
        <v>2</v>
      </c>
      <c r="G11" s="77" t="n">
        <f aca="false">D11*$D$7+E11*$E$7+F11*$F$7</f>
        <v>13</v>
      </c>
    </row>
    <row r="12" customFormat="false" ht="57" hidden="false" customHeight="true" outlineLevel="0" collapsed="false">
      <c r="A12" s="76" t="s">
        <v>243</v>
      </c>
      <c r="B12" s="76" t="s">
        <v>244</v>
      </c>
      <c r="C12" s="76" t="s">
        <v>245</v>
      </c>
      <c r="D12" s="77" t="n">
        <v>0</v>
      </c>
      <c r="E12" s="77" t="n">
        <v>0</v>
      </c>
      <c r="F12" s="77" t="n">
        <v>1</v>
      </c>
      <c r="G12" s="77" t="n">
        <f aca="false">D12*$D$7+E12*$E$7+F12*$F$7</f>
        <v>5</v>
      </c>
    </row>
    <row r="13" customFormat="false" ht="15" hidden="false" customHeight="true" outlineLevel="0" collapsed="false">
      <c r="A13" s="78" t="s">
        <v>246</v>
      </c>
      <c r="B13" s="78"/>
      <c r="C13" s="78"/>
      <c r="D13" s="78"/>
      <c r="E13" s="78"/>
      <c r="F13" s="78"/>
      <c r="G13" s="79" t="n">
        <f aca="false">SUM(G8:G12)</f>
        <v>46</v>
      </c>
      <c r="J13" s="80"/>
      <c r="K13" s="81"/>
      <c r="L13" s="81"/>
    </row>
    <row r="14" customFormat="false" ht="15" hidden="false" customHeight="true" outlineLevel="0" collapsed="false">
      <c r="J14" s="80" t="s">
        <v>188</v>
      </c>
      <c r="K14" s="80"/>
      <c r="L14" s="80"/>
    </row>
    <row r="15" customFormat="false" ht="15" hidden="false" customHeight="true" outlineLevel="0" collapsed="false">
      <c r="B15" s="0" t="s">
        <v>189</v>
      </c>
      <c r="G15" s="0" t="n">
        <f aca="false">G13</f>
        <v>46</v>
      </c>
      <c r="J15" s="82" t="s">
        <v>190</v>
      </c>
      <c r="K15" s="83"/>
      <c r="L15" s="82" t="s">
        <v>191</v>
      </c>
    </row>
    <row r="16" customFormat="false" ht="15" hidden="false" customHeight="true" outlineLevel="0" collapsed="false">
      <c r="J16" s="83" t="s">
        <v>192</v>
      </c>
      <c r="K16" s="83"/>
      <c r="L16" s="83" t="n">
        <v>0</v>
      </c>
    </row>
    <row r="17" customFormat="false" ht="15" hidden="false" customHeight="true" outlineLevel="0" collapsed="false">
      <c r="B17" s="0" t="s">
        <v>193</v>
      </c>
      <c r="C17" s="84" t="n">
        <f aca="false">'Baseline Productivity '!$C$4</f>
        <v>0.19</v>
      </c>
      <c r="J17" s="83" t="s">
        <v>194</v>
      </c>
      <c r="K17" s="83"/>
      <c r="L17" s="83" t="n">
        <v>0</v>
      </c>
    </row>
    <row r="18" customFormat="false" ht="15" hidden="false" customHeight="true" outlineLevel="0" collapsed="false">
      <c r="B18" s="0" t="s">
        <v>195</v>
      </c>
      <c r="C18" s="0" t="n">
        <f aca="false">G13</f>
        <v>46</v>
      </c>
      <c r="D18" s="0" t="s">
        <v>196</v>
      </c>
      <c r="J18" s="83"/>
      <c r="K18" s="83"/>
      <c r="L18" s="83"/>
    </row>
    <row r="19" customFormat="false" ht="15" hidden="false" customHeight="true" outlineLevel="0" collapsed="false">
      <c r="B19" s="0" t="s">
        <v>197</v>
      </c>
      <c r="C19" s="0" t="n">
        <f aca="false">C18/C17</f>
        <v>242.105263157895</v>
      </c>
      <c r="D19" s="0" t="s">
        <v>198</v>
      </c>
      <c r="J19" s="83" t="s">
        <v>199</v>
      </c>
      <c r="K19" s="83"/>
      <c r="L19" s="83" t="n">
        <v>0</v>
      </c>
    </row>
    <row r="20" customFormat="false" ht="15" hidden="false" customHeight="true" outlineLevel="0" collapsed="false">
      <c r="B20" s="0" t="s">
        <v>116</v>
      </c>
      <c r="C20" s="0" t="n">
        <f aca="false">0.65+0.01*$L$32</f>
        <v>1.01</v>
      </c>
      <c r="J20" s="83" t="s">
        <v>200</v>
      </c>
      <c r="K20" s="83"/>
      <c r="L20" s="83" t="n">
        <v>3</v>
      </c>
    </row>
    <row r="21" customFormat="false" ht="15" hidden="false" customHeight="true" outlineLevel="0" collapsed="false">
      <c r="B21" s="0" t="s">
        <v>201</v>
      </c>
      <c r="C21" s="0" t="n">
        <v>0.05</v>
      </c>
      <c r="J21" s="83" t="s">
        <v>202</v>
      </c>
      <c r="K21" s="83"/>
      <c r="L21" s="83" t="n">
        <v>4</v>
      </c>
    </row>
    <row r="22" customFormat="false" ht="15" hidden="false" customHeight="true" outlineLevel="0" collapsed="false">
      <c r="B22" s="0" t="s">
        <v>203</v>
      </c>
      <c r="C22" s="0" t="n">
        <v>0.1</v>
      </c>
      <c r="J22" s="83"/>
      <c r="K22" s="83"/>
      <c r="L22" s="83"/>
    </row>
    <row r="23" customFormat="false" ht="15" hidden="false" customHeight="true" outlineLevel="0" collapsed="false">
      <c r="B23" s="0" t="s">
        <v>204</v>
      </c>
      <c r="C23" s="0" t="n">
        <f aca="false">C19*C20*(1+C21+C22)</f>
        <v>281.205263157895</v>
      </c>
      <c r="D23" s="0" t="s">
        <v>198</v>
      </c>
      <c r="J23" s="83" t="s">
        <v>205</v>
      </c>
      <c r="K23" s="83"/>
      <c r="L23" s="83" t="n">
        <v>3</v>
      </c>
    </row>
    <row r="24" customFormat="false" ht="15" hidden="false" customHeight="true" outlineLevel="0" collapsed="false">
      <c r="J24" s="83" t="s">
        <v>206</v>
      </c>
      <c r="K24" s="83"/>
      <c r="L24" s="83" t="n">
        <v>2</v>
      </c>
    </row>
    <row r="25" customFormat="false" ht="15" hidden="false" customHeight="true" outlineLevel="0" collapsed="false">
      <c r="B25" s="0" t="s">
        <v>207</v>
      </c>
      <c r="C25" s="0" t="n">
        <f aca="false">C23*1.05</f>
        <v>295.26552631579</v>
      </c>
      <c r="D25" s="0" t="n">
        <f aca="false">C23*0.95</f>
        <v>267.145</v>
      </c>
      <c r="J25" s="83" t="s">
        <v>208</v>
      </c>
      <c r="K25" s="83"/>
      <c r="L25" s="83" t="n">
        <v>1</v>
      </c>
    </row>
    <row r="26" customFormat="false" ht="15" hidden="false" customHeight="true" outlineLevel="0" collapsed="false">
      <c r="J26" s="83" t="s">
        <v>209</v>
      </c>
      <c r="K26" s="83"/>
      <c r="L26" s="83" t="n">
        <v>3</v>
      </c>
    </row>
    <row r="27" customFormat="false" ht="15" hidden="false" customHeight="true" outlineLevel="0" collapsed="false">
      <c r="J27" s="83" t="s">
        <v>210</v>
      </c>
      <c r="K27" s="83"/>
      <c r="L27" s="83" t="n">
        <v>4</v>
      </c>
    </row>
    <row r="28" customFormat="false" ht="15" hidden="false" customHeight="true" outlineLevel="0" collapsed="false">
      <c r="J28" s="83" t="s">
        <v>211</v>
      </c>
      <c r="K28" s="83"/>
      <c r="L28" s="83" t="n">
        <v>4</v>
      </c>
    </row>
    <row r="29" customFormat="false" ht="15" hidden="false" customHeight="true" outlineLevel="0" collapsed="false">
      <c r="J29" s="83" t="s">
        <v>212</v>
      </c>
      <c r="K29" s="83"/>
      <c r="L29" s="83" t="n">
        <v>4</v>
      </c>
    </row>
    <row r="30" customFormat="false" ht="15" hidden="false" customHeight="true" outlineLevel="0" collapsed="false">
      <c r="J30" s="83" t="s">
        <v>213</v>
      </c>
      <c r="K30" s="83"/>
      <c r="L30" s="83" t="n">
        <v>4</v>
      </c>
    </row>
    <row r="31" customFormat="false" ht="15" hidden="false" customHeight="true" outlineLevel="0" collapsed="false">
      <c r="J31" s="83" t="s">
        <v>214</v>
      </c>
      <c r="K31" s="83"/>
      <c r="L31" s="83" t="n">
        <v>4</v>
      </c>
    </row>
    <row r="32" customFormat="false" ht="15" hidden="false" customHeight="true" outlineLevel="0" collapsed="false">
      <c r="J32" s="82" t="s">
        <v>215</v>
      </c>
      <c r="K32" s="82"/>
      <c r="L32" s="82" t="n">
        <f aca="false">SUM(L16:L31)</f>
        <v>36</v>
      </c>
    </row>
  </sheetData>
  <mergeCells count="2">
    <mergeCell ref="A13:F13"/>
    <mergeCell ref="J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247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74" hidden="false" customHeight="true" outlineLevel="0" collapsed="false">
      <c r="A8" s="76" t="s">
        <v>248</v>
      </c>
      <c r="B8" s="76" t="s">
        <v>249</v>
      </c>
      <c r="C8" s="76" t="s">
        <v>250</v>
      </c>
      <c r="D8" s="77" t="n">
        <v>3</v>
      </c>
      <c r="E8" s="77" t="n">
        <v>3</v>
      </c>
      <c r="F8" s="77" t="n">
        <v>0</v>
      </c>
      <c r="G8" s="77" t="n">
        <f aca="false">D8*$D$7+E8*$E$7+F8*$F$7</f>
        <v>12</v>
      </c>
    </row>
    <row r="9" customFormat="false" ht="102" hidden="false" customHeight="true" outlineLevel="0" collapsed="false">
      <c r="A9" s="76" t="s">
        <v>251</v>
      </c>
      <c r="B9" s="76" t="s">
        <v>252</v>
      </c>
      <c r="C9" s="76" t="s">
        <v>253</v>
      </c>
      <c r="D9" s="77" t="n">
        <v>1</v>
      </c>
      <c r="E9" s="77" t="n">
        <v>2</v>
      </c>
      <c r="F9" s="77" t="n">
        <v>0</v>
      </c>
      <c r="G9" s="77" t="n">
        <f aca="false">D9*$D$7+E9*$E$7+F9*$F$7</f>
        <v>7</v>
      </c>
    </row>
    <row r="10" customFormat="false" ht="57" hidden="false" customHeight="true" outlineLevel="0" collapsed="false">
      <c r="A10" s="76" t="s">
        <v>254</v>
      </c>
      <c r="B10" s="76" t="s">
        <v>255</v>
      </c>
      <c r="C10" s="76" t="s">
        <v>256</v>
      </c>
      <c r="D10" s="77" t="n">
        <v>0</v>
      </c>
      <c r="E10" s="77" t="n">
        <v>1</v>
      </c>
      <c r="F10" s="77" t="n">
        <v>0</v>
      </c>
      <c r="G10" s="77" t="n">
        <f aca="false">D10*$D$7+E10*$E$7+F10*$F$7</f>
        <v>3</v>
      </c>
    </row>
    <row r="11" customFormat="false" ht="15" hidden="false" customHeight="true" outlineLevel="0" collapsed="false">
      <c r="A11" s="78" t="s">
        <v>257</v>
      </c>
      <c r="B11" s="78"/>
      <c r="C11" s="78"/>
      <c r="D11" s="78"/>
      <c r="E11" s="78"/>
      <c r="F11" s="78"/>
      <c r="G11" s="79" t="n">
        <f aca="false">SUM(G8:G10)</f>
        <v>22</v>
      </c>
      <c r="J11" s="80"/>
      <c r="K11" s="81"/>
      <c r="L11" s="81"/>
    </row>
    <row r="12" customFormat="false" ht="15" hidden="false" customHeight="true" outlineLevel="0" collapsed="false">
      <c r="J12" s="80" t="s">
        <v>188</v>
      </c>
      <c r="K12" s="80"/>
      <c r="L12" s="80"/>
    </row>
    <row r="13" customFormat="false" ht="15" hidden="false" customHeight="true" outlineLevel="0" collapsed="false">
      <c r="B13" s="0" t="s">
        <v>189</v>
      </c>
      <c r="G13" s="0" t="n">
        <f aca="false">G11</f>
        <v>22</v>
      </c>
      <c r="J13" s="82" t="s">
        <v>190</v>
      </c>
      <c r="K13" s="83"/>
      <c r="L13" s="82" t="s">
        <v>191</v>
      </c>
    </row>
    <row r="14" customFormat="false" ht="15" hidden="false" customHeight="true" outlineLevel="0" collapsed="false">
      <c r="J14" s="83" t="s">
        <v>192</v>
      </c>
      <c r="K14" s="83"/>
      <c r="L14" s="83" t="n">
        <v>0</v>
      </c>
    </row>
    <row r="15" customFormat="false" ht="15" hidden="false" customHeight="true" outlineLevel="0" collapsed="false">
      <c r="B15" s="0" t="s">
        <v>193</v>
      </c>
      <c r="C15" s="84" t="n">
        <f aca="false">'Baseline Productivity '!$C$4</f>
        <v>0.19</v>
      </c>
      <c r="J15" s="83" t="s">
        <v>194</v>
      </c>
      <c r="K15" s="83"/>
      <c r="L15" s="83" t="n">
        <v>0</v>
      </c>
    </row>
    <row r="16" customFormat="false" ht="15" hidden="false" customHeight="true" outlineLevel="0" collapsed="false">
      <c r="B16" s="0" t="s">
        <v>195</v>
      </c>
      <c r="C16" s="0" t="n">
        <f aca="false">G11</f>
        <v>22</v>
      </c>
      <c r="D16" s="0" t="s">
        <v>196</v>
      </c>
      <c r="J16" s="83"/>
      <c r="K16" s="83"/>
      <c r="L16" s="83"/>
    </row>
    <row r="17" customFormat="false" ht="15" hidden="false" customHeight="true" outlineLevel="0" collapsed="false">
      <c r="B17" s="0" t="s">
        <v>197</v>
      </c>
      <c r="C17" s="0" t="n">
        <f aca="false">C16/C15</f>
        <v>115.789473684211</v>
      </c>
      <c r="D17" s="0" t="s">
        <v>198</v>
      </c>
      <c r="J17" s="83" t="s">
        <v>199</v>
      </c>
      <c r="K17" s="83"/>
      <c r="L17" s="83" t="n">
        <v>0</v>
      </c>
    </row>
    <row r="18" customFormat="false" ht="15" hidden="false" customHeight="true" outlineLevel="0" collapsed="false">
      <c r="B18" s="0" t="s">
        <v>116</v>
      </c>
      <c r="C18" s="0" t="n">
        <f aca="false">0.65+0.01*$L$30</f>
        <v>1.01</v>
      </c>
      <c r="J18" s="83" t="s">
        <v>200</v>
      </c>
      <c r="K18" s="83"/>
      <c r="L18" s="83" t="n">
        <v>3</v>
      </c>
    </row>
    <row r="19" customFormat="false" ht="15" hidden="false" customHeight="true" outlineLevel="0" collapsed="false">
      <c r="B19" s="0" t="s">
        <v>201</v>
      </c>
      <c r="C19" s="0" t="n">
        <v>0.05</v>
      </c>
      <c r="J19" s="83" t="s">
        <v>202</v>
      </c>
      <c r="K19" s="83"/>
      <c r="L19" s="83" t="n">
        <v>4</v>
      </c>
    </row>
    <row r="20" customFormat="false" ht="15" hidden="false" customHeight="true" outlineLevel="0" collapsed="false">
      <c r="B20" s="0" t="s">
        <v>203</v>
      </c>
      <c r="C20" s="0" t="n">
        <v>0.1</v>
      </c>
      <c r="J20" s="83"/>
      <c r="K20" s="83"/>
      <c r="L20" s="83"/>
    </row>
    <row r="21" customFormat="false" ht="15" hidden="false" customHeight="true" outlineLevel="0" collapsed="false">
      <c r="B21" s="0" t="s">
        <v>204</v>
      </c>
      <c r="C21" s="0" t="n">
        <f aca="false">C17*C18*(1+C19+C20)</f>
        <v>134.489473684211</v>
      </c>
      <c r="D21" s="0" t="s">
        <v>198</v>
      </c>
      <c r="J21" s="83" t="s">
        <v>205</v>
      </c>
      <c r="K21" s="83"/>
      <c r="L21" s="83" t="n">
        <v>3</v>
      </c>
    </row>
    <row r="22" customFormat="false" ht="15" hidden="false" customHeight="true" outlineLevel="0" collapsed="false">
      <c r="J22" s="83" t="s">
        <v>206</v>
      </c>
      <c r="K22" s="83"/>
      <c r="L22" s="83" t="n">
        <v>2</v>
      </c>
    </row>
    <row r="23" customFormat="false" ht="15" hidden="false" customHeight="true" outlineLevel="0" collapsed="false">
      <c r="B23" s="0" t="s">
        <v>207</v>
      </c>
      <c r="C23" s="0" t="n">
        <f aca="false">C21*1.05</f>
        <v>141.213947368421</v>
      </c>
      <c r="D23" s="0" t="n">
        <f aca="false">C21*0.95</f>
        <v>127.765</v>
      </c>
      <c r="J23" s="83" t="s">
        <v>208</v>
      </c>
      <c r="K23" s="83"/>
      <c r="L23" s="83" t="n">
        <v>1</v>
      </c>
    </row>
    <row r="24" customFormat="false" ht="15" hidden="false" customHeight="true" outlineLevel="0" collapsed="false">
      <c r="J24" s="83" t="s">
        <v>209</v>
      </c>
      <c r="K24" s="83"/>
      <c r="L24" s="83" t="n">
        <v>3</v>
      </c>
    </row>
    <row r="25" customFormat="false" ht="15" hidden="false" customHeight="true" outlineLevel="0" collapsed="false">
      <c r="J25" s="83" t="s">
        <v>210</v>
      </c>
      <c r="K25" s="83"/>
      <c r="L25" s="83" t="n">
        <v>4</v>
      </c>
    </row>
    <row r="26" customFormat="false" ht="15" hidden="false" customHeight="true" outlineLevel="0" collapsed="false">
      <c r="J26" s="83" t="s">
        <v>211</v>
      </c>
      <c r="K26" s="83"/>
      <c r="L26" s="83" t="n">
        <v>4</v>
      </c>
    </row>
    <row r="27" customFormat="false" ht="15" hidden="false" customHeight="true" outlineLevel="0" collapsed="false">
      <c r="J27" s="83" t="s">
        <v>212</v>
      </c>
      <c r="K27" s="83"/>
      <c r="L27" s="83" t="n">
        <v>4</v>
      </c>
    </row>
    <row r="28" customFormat="false" ht="15" hidden="false" customHeight="true" outlineLevel="0" collapsed="false">
      <c r="J28" s="83" t="s">
        <v>213</v>
      </c>
      <c r="K28" s="83"/>
      <c r="L28" s="83" t="n">
        <v>4</v>
      </c>
    </row>
    <row r="29" customFormat="false" ht="15" hidden="false" customHeight="true" outlineLevel="0" collapsed="false">
      <c r="J29" s="83" t="s">
        <v>214</v>
      </c>
      <c r="K29" s="83"/>
      <c r="L29" s="83" t="n">
        <v>4</v>
      </c>
    </row>
    <row r="30" customFormat="false" ht="15" hidden="false" customHeight="true" outlineLevel="0" collapsed="false">
      <c r="J30" s="82" t="s">
        <v>215</v>
      </c>
      <c r="K30" s="82"/>
      <c r="L30" s="82" t="n">
        <f aca="false">SUM(L14:L29)</f>
        <v>36</v>
      </c>
    </row>
  </sheetData>
  <mergeCells count="2">
    <mergeCell ref="A11:F11"/>
    <mergeCell ref="J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258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02" hidden="false" customHeight="true" outlineLevel="0" collapsed="false">
      <c r="A8" s="76" t="s">
        <v>259</v>
      </c>
      <c r="B8" s="76" t="s">
        <v>260</v>
      </c>
      <c r="C8" s="76" t="s">
        <v>261</v>
      </c>
      <c r="D8" s="77" t="n">
        <v>0</v>
      </c>
      <c r="E8" s="77" t="n">
        <v>2</v>
      </c>
      <c r="F8" s="77" t="n">
        <v>1</v>
      </c>
      <c r="G8" s="77" t="n">
        <f aca="false">D8*$D$7+E8*$E$7+F8*$F$7</f>
        <v>11</v>
      </c>
    </row>
    <row r="9" customFormat="false" ht="57" hidden="false" customHeight="true" outlineLevel="0" collapsed="false">
      <c r="A9" s="76" t="s">
        <v>262</v>
      </c>
      <c r="B9" s="76" t="s">
        <v>263</v>
      </c>
      <c r="C9" s="76" t="s">
        <v>264</v>
      </c>
      <c r="D9" s="77" t="n">
        <v>2</v>
      </c>
      <c r="E9" s="77" t="n">
        <v>0</v>
      </c>
      <c r="F9" s="77" t="n">
        <v>0</v>
      </c>
      <c r="G9" s="77" t="n">
        <f aca="false">D9*$D$7+E9*$E$7+F9*$F$7</f>
        <v>2</v>
      </c>
    </row>
    <row r="10" customFormat="false" ht="78" hidden="false" customHeight="true" outlineLevel="0" collapsed="false">
      <c r="A10" s="76" t="s">
        <v>265</v>
      </c>
      <c r="B10" s="76" t="s">
        <v>266</v>
      </c>
      <c r="C10" s="76" t="s">
        <v>267</v>
      </c>
      <c r="D10" s="77" t="n">
        <v>2</v>
      </c>
      <c r="E10" s="77" t="n">
        <v>0</v>
      </c>
      <c r="F10" s="77" t="n">
        <v>0</v>
      </c>
      <c r="G10" s="77" t="n">
        <f aca="false">D10*$D$7+E10*$E$7+F10*$F$7</f>
        <v>2</v>
      </c>
    </row>
    <row r="11" customFormat="false" ht="15" hidden="false" customHeight="true" outlineLevel="0" collapsed="false">
      <c r="A11" s="78" t="s">
        <v>268</v>
      </c>
      <c r="B11" s="78"/>
      <c r="C11" s="78"/>
      <c r="D11" s="78"/>
      <c r="E11" s="78"/>
      <c r="F11" s="78"/>
      <c r="G11" s="79" t="n">
        <f aca="false">SUM(G8:G10)</f>
        <v>15</v>
      </c>
      <c r="J11" s="80"/>
      <c r="K11" s="81"/>
      <c r="L11" s="81"/>
    </row>
    <row r="12" customFormat="false" ht="15" hidden="false" customHeight="true" outlineLevel="0" collapsed="false">
      <c r="J12" s="80" t="s">
        <v>188</v>
      </c>
      <c r="K12" s="80"/>
      <c r="L12" s="80"/>
    </row>
    <row r="13" customFormat="false" ht="15" hidden="false" customHeight="true" outlineLevel="0" collapsed="false">
      <c r="B13" s="0" t="s">
        <v>189</v>
      </c>
      <c r="G13" s="0" t="n">
        <f aca="false">G11</f>
        <v>15</v>
      </c>
      <c r="J13" s="82" t="s">
        <v>190</v>
      </c>
      <c r="K13" s="83"/>
      <c r="L13" s="82" t="s">
        <v>191</v>
      </c>
    </row>
    <row r="14" customFormat="false" ht="15" hidden="false" customHeight="true" outlineLevel="0" collapsed="false">
      <c r="J14" s="83" t="s">
        <v>192</v>
      </c>
      <c r="K14" s="83"/>
      <c r="L14" s="83" t="n">
        <v>0</v>
      </c>
    </row>
    <row r="15" customFormat="false" ht="15" hidden="false" customHeight="true" outlineLevel="0" collapsed="false">
      <c r="B15" s="0" t="s">
        <v>193</v>
      </c>
      <c r="C15" s="84" t="n">
        <f aca="false">'Baseline Productivity '!$C$4</f>
        <v>0.19</v>
      </c>
      <c r="J15" s="83" t="s">
        <v>194</v>
      </c>
      <c r="K15" s="83"/>
      <c r="L15" s="83" t="n">
        <v>0</v>
      </c>
    </row>
    <row r="16" customFormat="false" ht="15" hidden="false" customHeight="true" outlineLevel="0" collapsed="false">
      <c r="B16" s="0" t="s">
        <v>195</v>
      </c>
      <c r="C16" s="0" t="n">
        <f aca="false">G11</f>
        <v>15</v>
      </c>
      <c r="D16" s="0" t="s">
        <v>196</v>
      </c>
      <c r="J16" s="83"/>
      <c r="K16" s="83"/>
      <c r="L16" s="83"/>
    </row>
    <row r="17" customFormat="false" ht="15" hidden="false" customHeight="true" outlineLevel="0" collapsed="false">
      <c r="B17" s="0" t="s">
        <v>197</v>
      </c>
      <c r="C17" s="0" t="n">
        <f aca="false">C16/C15</f>
        <v>78.9473684210526</v>
      </c>
      <c r="D17" s="0" t="s">
        <v>198</v>
      </c>
      <c r="J17" s="83" t="s">
        <v>199</v>
      </c>
      <c r="K17" s="83"/>
      <c r="L17" s="83" t="n">
        <v>0</v>
      </c>
    </row>
    <row r="18" customFormat="false" ht="15" hidden="false" customHeight="true" outlineLevel="0" collapsed="false">
      <c r="B18" s="0" t="s">
        <v>116</v>
      </c>
      <c r="C18" s="0" t="n">
        <f aca="false">0.65+0.01*$L$30</f>
        <v>1.01</v>
      </c>
      <c r="J18" s="83" t="s">
        <v>200</v>
      </c>
      <c r="K18" s="83"/>
      <c r="L18" s="83" t="n">
        <v>3</v>
      </c>
    </row>
    <row r="19" customFormat="false" ht="15" hidden="false" customHeight="true" outlineLevel="0" collapsed="false">
      <c r="B19" s="0" t="s">
        <v>201</v>
      </c>
      <c r="C19" s="0" t="n">
        <v>0.05</v>
      </c>
      <c r="J19" s="83" t="s">
        <v>202</v>
      </c>
      <c r="K19" s="83"/>
      <c r="L19" s="83" t="n">
        <v>4</v>
      </c>
    </row>
    <row r="20" customFormat="false" ht="15" hidden="false" customHeight="true" outlineLevel="0" collapsed="false">
      <c r="B20" s="0" t="s">
        <v>203</v>
      </c>
      <c r="C20" s="0" t="n">
        <v>0.1</v>
      </c>
      <c r="J20" s="83"/>
      <c r="K20" s="83"/>
      <c r="L20" s="83"/>
    </row>
    <row r="21" customFormat="false" ht="15" hidden="false" customHeight="true" outlineLevel="0" collapsed="false">
      <c r="B21" s="0" t="s">
        <v>204</v>
      </c>
      <c r="C21" s="0" t="n">
        <f aca="false">C17*C18*(1+C19+C20)</f>
        <v>91.6973684210526</v>
      </c>
      <c r="D21" s="0" t="s">
        <v>198</v>
      </c>
      <c r="J21" s="83" t="s">
        <v>205</v>
      </c>
      <c r="K21" s="83"/>
      <c r="L21" s="83" t="n">
        <v>3</v>
      </c>
    </row>
    <row r="22" customFormat="false" ht="15" hidden="false" customHeight="true" outlineLevel="0" collapsed="false">
      <c r="J22" s="83" t="s">
        <v>206</v>
      </c>
      <c r="K22" s="83"/>
      <c r="L22" s="83" t="n">
        <v>2</v>
      </c>
    </row>
    <row r="23" customFormat="false" ht="15" hidden="false" customHeight="true" outlineLevel="0" collapsed="false">
      <c r="B23" s="0" t="s">
        <v>207</v>
      </c>
      <c r="C23" s="0" t="n">
        <f aca="false">C21*1.05</f>
        <v>96.2822368421053</v>
      </c>
      <c r="D23" s="0" t="n">
        <f aca="false">C21*0.95</f>
        <v>87.1125</v>
      </c>
      <c r="J23" s="83" t="s">
        <v>208</v>
      </c>
      <c r="K23" s="83"/>
      <c r="L23" s="83" t="n">
        <v>1</v>
      </c>
    </row>
    <row r="24" customFormat="false" ht="15" hidden="false" customHeight="true" outlineLevel="0" collapsed="false">
      <c r="J24" s="83" t="s">
        <v>209</v>
      </c>
      <c r="K24" s="83"/>
      <c r="L24" s="83" t="n">
        <v>3</v>
      </c>
    </row>
    <row r="25" customFormat="false" ht="15" hidden="false" customHeight="true" outlineLevel="0" collapsed="false">
      <c r="J25" s="83" t="s">
        <v>210</v>
      </c>
      <c r="K25" s="83"/>
      <c r="L25" s="83" t="n">
        <v>4</v>
      </c>
    </row>
    <row r="26" customFormat="false" ht="15" hidden="false" customHeight="true" outlineLevel="0" collapsed="false">
      <c r="J26" s="83" t="s">
        <v>211</v>
      </c>
      <c r="K26" s="83"/>
      <c r="L26" s="83" t="n">
        <v>4</v>
      </c>
    </row>
    <row r="27" customFormat="false" ht="15" hidden="false" customHeight="true" outlineLevel="0" collapsed="false">
      <c r="J27" s="83" t="s">
        <v>212</v>
      </c>
      <c r="K27" s="83"/>
      <c r="L27" s="83" t="n">
        <v>4</v>
      </c>
    </row>
    <row r="28" customFormat="false" ht="15" hidden="false" customHeight="true" outlineLevel="0" collapsed="false">
      <c r="J28" s="83" t="s">
        <v>213</v>
      </c>
      <c r="K28" s="83"/>
      <c r="L28" s="83" t="n">
        <v>4</v>
      </c>
    </row>
    <row r="29" customFormat="false" ht="15" hidden="false" customHeight="true" outlineLevel="0" collapsed="false">
      <c r="J29" s="83" t="s">
        <v>214</v>
      </c>
      <c r="K29" s="83"/>
      <c r="L29" s="83" t="n">
        <v>4</v>
      </c>
    </row>
    <row r="30" customFormat="false" ht="15" hidden="false" customHeight="true" outlineLevel="0" collapsed="false">
      <c r="J30" s="82" t="s">
        <v>215</v>
      </c>
      <c r="K30" s="82"/>
      <c r="L30" s="82" t="n">
        <f aca="false">SUM(L14:L29)</f>
        <v>36</v>
      </c>
    </row>
  </sheetData>
  <mergeCells count="2">
    <mergeCell ref="A11:F11"/>
    <mergeCell ref="J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269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02" hidden="false" customHeight="true" outlineLevel="0" collapsed="false">
      <c r="A8" s="76" t="s">
        <v>270</v>
      </c>
      <c r="B8" s="76" t="s">
        <v>271</v>
      </c>
      <c r="C8" s="76" t="s">
        <v>272</v>
      </c>
      <c r="D8" s="77" t="n">
        <v>3</v>
      </c>
      <c r="E8" s="77" t="n">
        <v>0</v>
      </c>
      <c r="F8" s="77" t="n">
        <v>0</v>
      </c>
      <c r="G8" s="77" t="n">
        <f aca="false">D8*$D$7+E8*$E$7+F8*$F$7</f>
        <v>3</v>
      </c>
    </row>
    <row r="9" customFormat="false" ht="78" hidden="false" customHeight="true" outlineLevel="0" collapsed="false">
      <c r="A9" s="76" t="s">
        <v>273</v>
      </c>
      <c r="B9" s="76" t="s">
        <v>274</v>
      </c>
      <c r="C9" s="76" t="s">
        <v>275</v>
      </c>
      <c r="D9" s="77" t="n">
        <v>1</v>
      </c>
      <c r="E9" s="77" t="n">
        <v>1</v>
      </c>
      <c r="F9" s="77" t="n">
        <v>0</v>
      </c>
      <c r="G9" s="77" t="n">
        <f aca="false">D9*$D$7+E9*$E$7+F9*$F$7</f>
        <v>4</v>
      </c>
    </row>
    <row r="10" customFormat="false" ht="66" hidden="false" customHeight="true" outlineLevel="0" collapsed="false">
      <c r="A10" s="76" t="s">
        <v>276</v>
      </c>
      <c r="B10" s="76" t="s">
        <v>277</v>
      </c>
      <c r="C10" s="76" t="s">
        <v>278</v>
      </c>
      <c r="D10" s="77" t="n">
        <v>2</v>
      </c>
      <c r="E10" s="77" t="n">
        <v>0</v>
      </c>
      <c r="F10" s="77" t="n">
        <v>0</v>
      </c>
      <c r="G10" s="77" t="n">
        <f aca="false">D10*$D$7+E10*$E$7+F10*$F$7</f>
        <v>2</v>
      </c>
    </row>
    <row r="11" customFormat="false" ht="15" hidden="false" customHeight="true" outlineLevel="0" collapsed="false">
      <c r="A11" s="78" t="s">
        <v>279</v>
      </c>
      <c r="B11" s="78"/>
      <c r="C11" s="78"/>
      <c r="D11" s="78"/>
      <c r="E11" s="78"/>
      <c r="F11" s="78"/>
      <c r="G11" s="79" t="n">
        <f aca="false">SUM(G8:G10)</f>
        <v>9</v>
      </c>
      <c r="J11" s="80"/>
      <c r="K11" s="81"/>
      <c r="L11" s="81"/>
    </row>
    <row r="12" customFormat="false" ht="15" hidden="false" customHeight="true" outlineLevel="0" collapsed="false">
      <c r="J12" s="80" t="s">
        <v>188</v>
      </c>
      <c r="K12" s="80"/>
      <c r="L12" s="80"/>
    </row>
    <row r="13" customFormat="false" ht="15" hidden="false" customHeight="true" outlineLevel="0" collapsed="false">
      <c r="B13" s="0" t="s">
        <v>189</v>
      </c>
      <c r="G13" s="0" t="n">
        <f aca="false">G11</f>
        <v>9</v>
      </c>
      <c r="J13" s="82" t="s">
        <v>190</v>
      </c>
      <c r="K13" s="83"/>
      <c r="L13" s="82" t="s">
        <v>191</v>
      </c>
    </row>
    <row r="14" customFormat="false" ht="15" hidden="false" customHeight="true" outlineLevel="0" collapsed="false">
      <c r="J14" s="83" t="s">
        <v>192</v>
      </c>
      <c r="K14" s="83"/>
      <c r="L14" s="83" t="n">
        <v>0</v>
      </c>
    </row>
    <row r="15" customFormat="false" ht="15" hidden="false" customHeight="true" outlineLevel="0" collapsed="false">
      <c r="B15" s="0" t="s">
        <v>193</v>
      </c>
      <c r="C15" s="84" t="n">
        <f aca="false">'Baseline Productivity '!$C$4</f>
        <v>0.19</v>
      </c>
      <c r="J15" s="83" t="s">
        <v>194</v>
      </c>
      <c r="K15" s="83"/>
      <c r="L15" s="83" t="n">
        <v>0</v>
      </c>
    </row>
    <row r="16" customFormat="false" ht="15" hidden="false" customHeight="true" outlineLevel="0" collapsed="false">
      <c r="B16" s="0" t="s">
        <v>195</v>
      </c>
      <c r="C16" s="0" t="n">
        <f aca="false">G11</f>
        <v>9</v>
      </c>
      <c r="D16" s="0" t="s">
        <v>196</v>
      </c>
      <c r="J16" s="83"/>
      <c r="K16" s="83"/>
      <c r="L16" s="83"/>
    </row>
    <row r="17" customFormat="false" ht="15" hidden="false" customHeight="true" outlineLevel="0" collapsed="false">
      <c r="B17" s="0" t="s">
        <v>197</v>
      </c>
      <c r="C17" s="0" t="n">
        <f aca="false">C16/C15</f>
        <v>47.3684210526316</v>
      </c>
      <c r="D17" s="0" t="s">
        <v>198</v>
      </c>
      <c r="J17" s="83" t="s">
        <v>199</v>
      </c>
      <c r="K17" s="83"/>
      <c r="L17" s="83" t="n">
        <v>0</v>
      </c>
    </row>
    <row r="18" customFormat="false" ht="15" hidden="false" customHeight="true" outlineLevel="0" collapsed="false">
      <c r="B18" s="0" t="s">
        <v>116</v>
      </c>
      <c r="C18" s="0" t="n">
        <f aca="false">0.65+0.01*$L$30</f>
        <v>1.01</v>
      </c>
      <c r="J18" s="83" t="s">
        <v>200</v>
      </c>
      <c r="K18" s="83"/>
      <c r="L18" s="83" t="n">
        <v>3</v>
      </c>
    </row>
    <row r="19" customFormat="false" ht="15" hidden="false" customHeight="true" outlineLevel="0" collapsed="false">
      <c r="B19" s="0" t="s">
        <v>201</v>
      </c>
      <c r="C19" s="0" t="n">
        <v>0.05</v>
      </c>
      <c r="J19" s="83" t="s">
        <v>202</v>
      </c>
      <c r="K19" s="83"/>
      <c r="L19" s="83" t="n">
        <v>4</v>
      </c>
    </row>
    <row r="20" customFormat="false" ht="15" hidden="false" customHeight="true" outlineLevel="0" collapsed="false">
      <c r="B20" s="0" t="s">
        <v>203</v>
      </c>
      <c r="C20" s="0" t="n">
        <v>0.1</v>
      </c>
      <c r="J20" s="83"/>
      <c r="K20" s="83"/>
      <c r="L20" s="83"/>
    </row>
    <row r="21" customFormat="false" ht="15" hidden="false" customHeight="true" outlineLevel="0" collapsed="false">
      <c r="B21" s="0" t="s">
        <v>204</v>
      </c>
      <c r="C21" s="0" t="n">
        <f aca="false">C17*C18*(1+C19+C20)</f>
        <v>55.0184210526316</v>
      </c>
      <c r="D21" s="0" t="s">
        <v>198</v>
      </c>
      <c r="J21" s="83" t="s">
        <v>205</v>
      </c>
      <c r="K21" s="83"/>
      <c r="L21" s="83" t="n">
        <v>3</v>
      </c>
    </row>
    <row r="22" customFormat="false" ht="15" hidden="false" customHeight="true" outlineLevel="0" collapsed="false">
      <c r="J22" s="83" t="s">
        <v>206</v>
      </c>
      <c r="K22" s="83"/>
      <c r="L22" s="83" t="n">
        <v>2</v>
      </c>
    </row>
    <row r="23" customFormat="false" ht="15" hidden="false" customHeight="true" outlineLevel="0" collapsed="false">
      <c r="B23" s="0" t="s">
        <v>207</v>
      </c>
      <c r="C23" s="0" t="n">
        <f aca="false">C21*1.05</f>
        <v>57.7693421052632</v>
      </c>
      <c r="D23" s="0" t="n">
        <f aca="false">C21*0.95</f>
        <v>52.2675</v>
      </c>
      <c r="J23" s="83" t="s">
        <v>208</v>
      </c>
      <c r="K23" s="83"/>
      <c r="L23" s="83" t="n">
        <v>1</v>
      </c>
    </row>
    <row r="24" customFormat="false" ht="15" hidden="false" customHeight="true" outlineLevel="0" collapsed="false">
      <c r="J24" s="83" t="s">
        <v>209</v>
      </c>
      <c r="K24" s="83"/>
      <c r="L24" s="83" t="n">
        <v>3</v>
      </c>
    </row>
    <row r="25" customFormat="false" ht="15" hidden="false" customHeight="true" outlineLevel="0" collapsed="false">
      <c r="J25" s="83" t="s">
        <v>210</v>
      </c>
      <c r="K25" s="83"/>
      <c r="L25" s="83" t="n">
        <v>4</v>
      </c>
    </row>
    <row r="26" customFormat="false" ht="15" hidden="false" customHeight="true" outlineLevel="0" collapsed="false">
      <c r="J26" s="83" t="s">
        <v>211</v>
      </c>
      <c r="K26" s="83"/>
      <c r="L26" s="83" t="n">
        <v>4</v>
      </c>
    </row>
    <row r="27" customFormat="false" ht="15" hidden="false" customHeight="true" outlineLevel="0" collapsed="false">
      <c r="J27" s="83" t="s">
        <v>212</v>
      </c>
      <c r="K27" s="83"/>
      <c r="L27" s="83" t="n">
        <v>4</v>
      </c>
    </row>
    <row r="28" customFormat="false" ht="15" hidden="false" customHeight="true" outlineLevel="0" collapsed="false">
      <c r="J28" s="83" t="s">
        <v>213</v>
      </c>
      <c r="K28" s="83"/>
      <c r="L28" s="83" t="n">
        <v>4</v>
      </c>
    </row>
    <row r="29" customFormat="false" ht="15" hidden="false" customHeight="true" outlineLevel="0" collapsed="false">
      <c r="J29" s="83" t="s">
        <v>214</v>
      </c>
      <c r="K29" s="83"/>
      <c r="L29" s="83" t="n">
        <v>4</v>
      </c>
    </row>
    <row r="30" customFormat="false" ht="15" hidden="false" customHeight="true" outlineLevel="0" collapsed="false">
      <c r="J30" s="82" t="s">
        <v>215</v>
      </c>
      <c r="K30" s="82"/>
      <c r="L30" s="82" t="n">
        <f aca="false">SUM(L14:L29)</f>
        <v>36</v>
      </c>
    </row>
  </sheetData>
  <mergeCells count="2">
    <mergeCell ref="A11:F11"/>
    <mergeCell ref="J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280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78" hidden="false" customHeight="true" outlineLevel="0" collapsed="false">
      <c r="A8" s="76" t="s">
        <v>281</v>
      </c>
      <c r="B8" s="76" t="s">
        <v>282</v>
      </c>
      <c r="C8" s="76" t="s">
        <v>283</v>
      </c>
      <c r="D8" s="77" t="n">
        <v>1</v>
      </c>
      <c r="E8" s="77" t="n">
        <v>1</v>
      </c>
      <c r="F8" s="77" t="n">
        <v>0</v>
      </c>
      <c r="G8" s="77" t="n">
        <f aca="false">D8*$D$7+E8*$E$7+F8*$F$7</f>
        <v>4</v>
      </c>
    </row>
    <row r="9" customFormat="false" ht="57" hidden="false" customHeight="true" outlineLevel="0" collapsed="false">
      <c r="A9" s="76" t="s">
        <v>284</v>
      </c>
      <c r="B9" s="76" t="s">
        <v>285</v>
      </c>
      <c r="C9" s="76" t="s">
        <v>286</v>
      </c>
      <c r="D9" s="77" t="n">
        <v>0</v>
      </c>
      <c r="E9" s="77" t="n">
        <v>0</v>
      </c>
      <c r="F9" s="77" t="n">
        <v>1</v>
      </c>
      <c r="G9" s="77" t="n">
        <f aca="false">D9*$D$7+E9*$E$7+F9*$F$7</f>
        <v>5</v>
      </c>
    </row>
    <row r="10" customFormat="false" ht="57" hidden="false" customHeight="true" outlineLevel="0" collapsed="false">
      <c r="A10" s="76" t="s">
        <v>287</v>
      </c>
      <c r="B10" s="76" t="s">
        <v>288</v>
      </c>
      <c r="C10" s="76" t="s">
        <v>289</v>
      </c>
      <c r="D10" s="77" t="n">
        <v>1</v>
      </c>
      <c r="E10" s="77" t="n">
        <v>0</v>
      </c>
      <c r="F10" s="77" t="n">
        <v>0</v>
      </c>
      <c r="G10" s="77" t="n">
        <f aca="false">D10*$D$7+E10*$E$7+F10*$F$7</f>
        <v>1</v>
      </c>
    </row>
    <row r="11" customFormat="false" ht="15" hidden="false" customHeight="true" outlineLevel="0" collapsed="false">
      <c r="A11" s="78" t="s">
        <v>290</v>
      </c>
      <c r="B11" s="78"/>
      <c r="C11" s="78"/>
      <c r="D11" s="78"/>
      <c r="E11" s="78"/>
      <c r="F11" s="78"/>
      <c r="G11" s="79" t="n">
        <f aca="false">SUM(G8:G10)</f>
        <v>10</v>
      </c>
      <c r="J11" s="80"/>
      <c r="K11" s="81"/>
      <c r="L11" s="81"/>
    </row>
    <row r="12" customFormat="false" ht="15" hidden="false" customHeight="true" outlineLevel="0" collapsed="false">
      <c r="J12" s="80" t="s">
        <v>188</v>
      </c>
      <c r="K12" s="80"/>
      <c r="L12" s="80"/>
    </row>
    <row r="13" customFormat="false" ht="15" hidden="false" customHeight="true" outlineLevel="0" collapsed="false">
      <c r="B13" s="0" t="s">
        <v>189</v>
      </c>
      <c r="G13" s="0" t="n">
        <f aca="false">G11</f>
        <v>10</v>
      </c>
      <c r="J13" s="82" t="s">
        <v>190</v>
      </c>
      <c r="K13" s="83"/>
      <c r="L13" s="82" t="s">
        <v>191</v>
      </c>
    </row>
    <row r="14" customFormat="false" ht="15" hidden="false" customHeight="true" outlineLevel="0" collapsed="false">
      <c r="J14" s="83" t="s">
        <v>192</v>
      </c>
      <c r="K14" s="83"/>
      <c r="L14" s="83" t="n">
        <v>0</v>
      </c>
    </row>
    <row r="15" customFormat="false" ht="15" hidden="false" customHeight="true" outlineLevel="0" collapsed="false">
      <c r="B15" s="0" t="s">
        <v>193</v>
      </c>
      <c r="C15" s="84" t="n">
        <f aca="false">'Baseline Productivity '!$C$4</f>
        <v>0.19</v>
      </c>
      <c r="J15" s="83" t="s">
        <v>194</v>
      </c>
      <c r="K15" s="83"/>
      <c r="L15" s="83" t="n">
        <v>0</v>
      </c>
    </row>
    <row r="16" customFormat="false" ht="15" hidden="false" customHeight="true" outlineLevel="0" collapsed="false">
      <c r="B16" s="0" t="s">
        <v>195</v>
      </c>
      <c r="C16" s="0" t="n">
        <f aca="false">G11</f>
        <v>10</v>
      </c>
      <c r="D16" s="0" t="s">
        <v>196</v>
      </c>
      <c r="J16" s="83"/>
      <c r="K16" s="83"/>
      <c r="L16" s="83"/>
    </row>
    <row r="17" customFormat="false" ht="15" hidden="false" customHeight="true" outlineLevel="0" collapsed="false">
      <c r="B17" s="0" t="s">
        <v>197</v>
      </c>
      <c r="C17" s="0" t="n">
        <f aca="false">C16/C15</f>
        <v>52.6315789473684</v>
      </c>
      <c r="D17" s="0" t="s">
        <v>198</v>
      </c>
      <c r="J17" s="83" t="s">
        <v>199</v>
      </c>
      <c r="K17" s="83"/>
      <c r="L17" s="83" t="n">
        <v>0</v>
      </c>
    </row>
    <row r="18" customFormat="false" ht="15" hidden="false" customHeight="true" outlineLevel="0" collapsed="false">
      <c r="B18" s="0" t="s">
        <v>116</v>
      </c>
      <c r="C18" s="0" t="n">
        <f aca="false">0.65+0.01*$L$30</f>
        <v>1.01</v>
      </c>
      <c r="J18" s="83" t="s">
        <v>200</v>
      </c>
      <c r="K18" s="83"/>
      <c r="L18" s="83" t="n">
        <v>3</v>
      </c>
    </row>
    <row r="19" customFormat="false" ht="15" hidden="false" customHeight="true" outlineLevel="0" collapsed="false">
      <c r="B19" s="0" t="s">
        <v>201</v>
      </c>
      <c r="C19" s="0" t="n">
        <v>0.05</v>
      </c>
      <c r="J19" s="83" t="s">
        <v>202</v>
      </c>
      <c r="K19" s="83"/>
      <c r="L19" s="83" t="n">
        <v>4</v>
      </c>
    </row>
    <row r="20" customFormat="false" ht="15" hidden="false" customHeight="true" outlineLevel="0" collapsed="false">
      <c r="B20" s="0" t="s">
        <v>203</v>
      </c>
      <c r="C20" s="0" t="n">
        <v>0.1</v>
      </c>
      <c r="J20" s="83"/>
      <c r="K20" s="83"/>
      <c r="L20" s="83"/>
    </row>
    <row r="21" customFormat="false" ht="15" hidden="false" customHeight="true" outlineLevel="0" collapsed="false">
      <c r="B21" s="0" t="s">
        <v>204</v>
      </c>
      <c r="C21" s="0" t="n">
        <f aca="false">C17*C18*(1+C19+C20)</f>
        <v>61.1315789473684</v>
      </c>
      <c r="D21" s="0" t="s">
        <v>198</v>
      </c>
      <c r="J21" s="83" t="s">
        <v>205</v>
      </c>
      <c r="K21" s="83"/>
      <c r="L21" s="83" t="n">
        <v>3</v>
      </c>
    </row>
    <row r="22" customFormat="false" ht="15" hidden="false" customHeight="true" outlineLevel="0" collapsed="false">
      <c r="J22" s="83" t="s">
        <v>206</v>
      </c>
      <c r="K22" s="83"/>
      <c r="L22" s="83" t="n">
        <v>2</v>
      </c>
    </row>
    <row r="23" customFormat="false" ht="15" hidden="false" customHeight="true" outlineLevel="0" collapsed="false">
      <c r="B23" s="0" t="s">
        <v>207</v>
      </c>
      <c r="C23" s="0" t="n">
        <f aca="false">C21*1.05</f>
        <v>64.1881578947369</v>
      </c>
      <c r="D23" s="0" t="n">
        <f aca="false">C21*0.95</f>
        <v>58.075</v>
      </c>
      <c r="J23" s="83" t="s">
        <v>208</v>
      </c>
      <c r="K23" s="83"/>
      <c r="L23" s="83" t="n">
        <v>1</v>
      </c>
    </row>
    <row r="24" customFormat="false" ht="15" hidden="false" customHeight="true" outlineLevel="0" collapsed="false">
      <c r="J24" s="83" t="s">
        <v>209</v>
      </c>
      <c r="K24" s="83"/>
      <c r="L24" s="83" t="n">
        <v>3</v>
      </c>
    </row>
    <row r="25" customFormat="false" ht="15" hidden="false" customHeight="true" outlineLevel="0" collapsed="false">
      <c r="J25" s="83" t="s">
        <v>210</v>
      </c>
      <c r="K25" s="83"/>
      <c r="L25" s="83" t="n">
        <v>4</v>
      </c>
    </row>
    <row r="26" customFormat="false" ht="15" hidden="false" customHeight="true" outlineLevel="0" collapsed="false">
      <c r="J26" s="83" t="s">
        <v>211</v>
      </c>
      <c r="K26" s="83"/>
      <c r="L26" s="83" t="n">
        <v>4</v>
      </c>
    </row>
    <row r="27" customFormat="false" ht="15" hidden="false" customHeight="true" outlineLevel="0" collapsed="false">
      <c r="J27" s="83" t="s">
        <v>212</v>
      </c>
      <c r="K27" s="83"/>
      <c r="L27" s="83" t="n">
        <v>4</v>
      </c>
    </row>
    <row r="28" customFormat="false" ht="15" hidden="false" customHeight="true" outlineLevel="0" collapsed="false">
      <c r="J28" s="83" t="s">
        <v>213</v>
      </c>
      <c r="K28" s="83"/>
      <c r="L28" s="83" t="n">
        <v>4</v>
      </c>
    </row>
    <row r="29" customFormat="false" ht="15" hidden="false" customHeight="true" outlineLevel="0" collapsed="false">
      <c r="J29" s="83" t="s">
        <v>214</v>
      </c>
      <c r="K29" s="83"/>
      <c r="L29" s="83" t="n">
        <v>4</v>
      </c>
    </row>
    <row r="30" customFormat="false" ht="15" hidden="false" customHeight="true" outlineLevel="0" collapsed="false">
      <c r="J30" s="82" t="s">
        <v>215</v>
      </c>
      <c r="K30" s="82"/>
      <c r="L30" s="82" t="n">
        <f aca="false">SUM(L14:L29)</f>
        <v>36</v>
      </c>
    </row>
  </sheetData>
  <mergeCells count="2">
    <mergeCell ref="A11:F11"/>
    <mergeCell ref="J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291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14" hidden="false" customHeight="true" outlineLevel="0" collapsed="false">
      <c r="A8" s="76" t="s">
        <v>292</v>
      </c>
      <c r="B8" s="76" t="s">
        <v>293</v>
      </c>
      <c r="C8" s="76" t="s">
        <v>294</v>
      </c>
      <c r="D8" s="77" t="n">
        <v>2</v>
      </c>
      <c r="E8" s="77" t="n">
        <v>2</v>
      </c>
      <c r="F8" s="77" t="n">
        <v>0</v>
      </c>
      <c r="G8" s="77" t="n">
        <f aca="false">D8*$D$7+E8*$E$7+F8*$F$7</f>
        <v>8</v>
      </c>
    </row>
    <row r="9" customFormat="false" ht="78" hidden="false" customHeight="true" outlineLevel="0" collapsed="false">
      <c r="A9" s="76" t="s">
        <v>295</v>
      </c>
      <c r="B9" s="76" t="s">
        <v>296</v>
      </c>
      <c r="C9" s="76" t="s">
        <v>297</v>
      </c>
      <c r="D9" s="77" t="n">
        <v>0</v>
      </c>
      <c r="E9" s="77" t="n">
        <v>1</v>
      </c>
      <c r="F9" s="77" t="n">
        <v>1</v>
      </c>
      <c r="G9" s="77" t="n">
        <f aca="false">D9*$D$7+E9*$E$7+F9*$F$7</f>
        <v>8</v>
      </c>
    </row>
    <row r="10" customFormat="false" ht="15" hidden="false" customHeight="true" outlineLevel="0" collapsed="false">
      <c r="A10" s="78" t="s">
        <v>298</v>
      </c>
      <c r="B10" s="78"/>
      <c r="C10" s="78"/>
      <c r="D10" s="78"/>
      <c r="E10" s="78"/>
      <c r="F10" s="78"/>
      <c r="G10" s="79" t="n">
        <f aca="false">SUM(G8:G9)</f>
        <v>16</v>
      </c>
      <c r="J10" s="80"/>
      <c r="K10" s="81"/>
      <c r="L10" s="81"/>
    </row>
    <row r="11" customFormat="false" ht="15" hidden="false" customHeight="true" outlineLevel="0" collapsed="false">
      <c r="J11" s="80" t="s">
        <v>188</v>
      </c>
      <c r="K11" s="80"/>
      <c r="L11" s="80"/>
    </row>
    <row r="12" customFormat="false" ht="15" hidden="false" customHeight="true" outlineLevel="0" collapsed="false">
      <c r="B12" s="0" t="s">
        <v>189</v>
      </c>
      <c r="G12" s="0" t="n">
        <f aca="false">G10</f>
        <v>16</v>
      </c>
      <c r="J12" s="82" t="s">
        <v>190</v>
      </c>
      <c r="K12" s="83"/>
      <c r="L12" s="82" t="s">
        <v>191</v>
      </c>
    </row>
    <row r="13" customFormat="false" ht="15" hidden="false" customHeight="true" outlineLevel="0" collapsed="false">
      <c r="J13" s="83" t="s">
        <v>192</v>
      </c>
      <c r="K13" s="83"/>
      <c r="L13" s="83" t="n">
        <v>0</v>
      </c>
    </row>
    <row r="14" customFormat="false" ht="15" hidden="false" customHeight="true" outlineLevel="0" collapsed="false">
      <c r="B14" s="0" t="s">
        <v>193</v>
      </c>
      <c r="C14" s="84" t="n">
        <f aca="false">'Baseline Productivity '!$C$4</f>
        <v>0.19</v>
      </c>
      <c r="J14" s="83" t="s">
        <v>194</v>
      </c>
      <c r="K14" s="83"/>
      <c r="L14" s="83" t="n">
        <v>0</v>
      </c>
    </row>
    <row r="15" customFormat="false" ht="15" hidden="false" customHeight="true" outlineLevel="0" collapsed="false">
      <c r="B15" s="0" t="s">
        <v>195</v>
      </c>
      <c r="C15" s="0" t="n">
        <f aca="false">G10</f>
        <v>16</v>
      </c>
      <c r="D15" s="0" t="s">
        <v>196</v>
      </c>
      <c r="J15" s="83"/>
      <c r="K15" s="83"/>
      <c r="L15" s="83"/>
    </row>
    <row r="16" customFormat="false" ht="15" hidden="false" customHeight="true" outlineLevel="0" collapsed="false">
      <c r="B16" s="0" t="s">
        <v>197</v>
      </c>
      <c r="C16" s="0" t="n">
        <f aca="false">C15/C14</f>
        <v>84.2105263157895</v>
      </c>
      <c r="D16" s="0" t="s">
        <v>198</v>
      </c>
      <c r="J16" s="83" t="s">
        <v>199</v>
      </c>
      <c r="K16" s="83"/>
      <c r="L16" s="83" t="n">
        <v>0</v>
      </c>
    </row>
    <row r="17" customFormat="false" ht="15" hidden="false" customHeight="true" outlineLevel="0" collapsed="false">
      <c r="B17" s="0" t="s">
        <v>116</v>
      </c>
      <c r="C17" s="0" t="n">
        <f aca="false">0.65+0.01*$L$29</f>
        <v>1.01</v>
      </c>
      <c r="J17" s="83" t="s">
        <v>200</v>
      </c>
      <c r="K17" s="83"/>
      <c r="L17" s="83" t="n">
        <v>3</v>
      </c>
    </row>
    <row r="18" customFormat="false" ht="15" hidden="false" customHeight="true" outlineLevel="0" collapsed="false">
      <c r="B18" s="0" t="s">
        <v>201</v>
      </c>
      <c r="C18" s="0" t="n">
        <v>0.05</v>
      </c>
      <c r="J18" s="83" t="s">
        <v>202</v>
      </c>
      <c r="K18" s="83"/>
      <c r="L18" s="83" t="n">
        <v>4</v>
      </c>
    </row>
    <row r="19" customFormat="false" ht="15" hidden="false" customHeight="true" outlineLevel="0" collapsed="false">
      <c r="B19" s="0" t="s">
        <v>203</v>
      </c>
      <c r="C19" s="0" t="n">
        <v>0.1</v>
      </c>
      <c r="J19" s="83"/>
      <c r="K19" s="83"/>
      <c r="L19" s="83"/>
    </row>
    <row r="20" customFormat="false" ht="15" hidden="false" customHeight="true" outlineLevel="0" collapsed="false">
      <c r="B20" s="0" t="s">
        <v>204</v>
      </c>
      <c r="C20" s="0" t="n">
        <f aca="false">C16*C17*(1+C18+C19)</f>
        <v>97.8105263157895</v>
      </c>
      <c r="D20" s="0" t="s">
        <v>198</v>
      </c>
      <c r="J20" s="83" t="s">
        <v>205</v>
      </c>
      <c r="K20" s="83"/>
      <c r="L20" s="83" t="n">
        <v>3</v>
      </c>
    </row>
    <row r="21" customFormat="false" ht="15" hidden="false" customHeight="true" outlineLevel="0" collapsed="false">
      <c r="J21" s="83" t="s">
        <v>206</v>
      </c>
      <c r="K21" s="83"/>
      <c r="L21" s="83" t="n">
        <v>2</v>
      </c>
    </row>
    <row r="22" customFormat="false" ht="15" hidden="false" customHeight="true" outlineLevel="0" collapsed="false">
      <c r="B22" s="0" t="s">
        <v>207</v>
      </c>
      <c r="C22" s="0" t="n">
        <f aca="false">C20*1.05</f>
        <v>102.701052631579</v>
      </c>
      <c r="D22" s="0" t="n">
        <f aca="false">C20*0.95</f>
        <v>92.92</v>
      </c>
      <c r="J22" s="83" t="s">
        <v>208</v>
      </c>
      <c r="K22" s="83"/>
      <c r="L22" s="83" t="n">
        <v>1</v>
      </c>
    </row>
    <row r="23" customFormat="false" ht="15" hidden="false" customHeight="true" outlineLevel="0" collapsed="false">
      <c r="J23" s="83" t="s">
        <v>209</v>
      </c>
      <c r="K23" s="83"/>
      <c r="L23" s="83" t="n">
        <v>3</v>
      </c>
    </row>
    <row r="24" customFormat="false" ht="15" hidden="false" customHeight="true" outlineLevel="0" collapsed="false">
      <c r="J24" s="83" t="s">
        <v>210</v>
      </c>
      <c r="K24" s="83"/>
      <c r="L24" s="83" t="n">
        <v>4</v>
      </c>
    </row>
    <row r="25" customFormat="false" ht="15" hidden="false" customHeight="true" outlineLevel="0" collapsed="false">
      <c r="J25" s="83" t="s">
        <v>211</v>
      </c>
      <c r="K25" s="83"/>
      <c r="L25" s="83" t="n">
        <v>4</v>
      </c>
    </row>
    <row r="26" customFormat="false" ht="15" hidden="false" customHeight="true" outlineLevel="0" collapsed="false">
      <c r="J26" s="83" t="s">
        <v>212</v>
      </c>
      <c r="K26" s="83"/>
      <c r="L26" s="83" t="n">
        <v>4</v>
      </c>
    </row>
    <row r="27" customFormat="false" ht="15" hidden="false" customHeight="true" outlineLevel="0" collapsed="false">
      <c r="J27" s="83" t="s">
        <v>213</v>
      </c>
      <c r="K27" s="83"/>
      <c r="L27" s="83" t="n">
        <v>4</v>
      </c>
    </row>
    <row r="28" customFormat="false" ht="15" hidden="false" customHeight="true" outlineLevel="0" collapsed="false">
      <c r="J28" s="83" t="s">
        <v>214</v>
      </c>
      <c r="K28" s="83"/>
      <c r="L28" s="83" t="n">
        <v>4</v>
      </c>
    </row>
    <row r="29" customFormat="false" ht="15" hidden="false" customHeight="true" outlineLevel="0" collapsed="false">
      <c r="J29" s="82" t="s">
        <v>215</v>
      </c>
      <c r="K29" s="82"/>
      <c r="L29" s="82" t="n">
        <f aca="false">SUM(L13:L28)</f>
        <v>36</v>
      </c>
    </row>
  </sheetData>
  <mergeCells count="2">
    <mergeCell ref="A10:F10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299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26" hidden="false" customHeight="true" outlineLevel="0" collapsed="false">
      <c r="A8" s="76" t="s">
        <v>300</v>
      </c>
      <c r="B8" s="76" t="s">
        <v>301</v>
      </c>
      <c r="C8" s="76" t="s">
        <v>302</v>
      </c>
      <c r="D8" s="77" t="n">
        <v>3</v>
      </c>
      <c r="E8" s="77" t="n">
        <v>1</v>
      </c>
      <c r="F8" s="77" t="n">
        <v>0</v>
      </c>
      <c r="G8" s="77" t="n">
        <f aca="false">D8*$D$7+E8*$E$7+F8*$F$7</f>
        <v>6</v>
      </c>
    </row>
    <row r="9" customFormat="false" ht="78" hidden="false" customHeight="true" outlineLevel="0" collapsed="false">
      <c r="A9" s="76" t="s">
        <v>303</v>
      </c>
      <c r="B9" s="76" t="s">
        <v>304</v>
      </c>
      <c r="C9" s="76" t="s">
        <v>305</v>
      </c>
      <c r="D9" s="77" t="n">
        <v>0</v>
      </c>
      <c r="E9" s="77" t="n">
        <v>0</v>
      </c>
      <c r="F9" s="77" t="n">
        <v>2</v>
      </c>
      <c r="G9" s="77" t="n">
        <f aca="false">D9*$D$7+E9*$E$7+F9*$F$7</f>
        <v>10</v>
      </c>
    </row>
    <row r="10" customFormat="false" ht="57" hidden="false" customHeight="true" outlineLevel="0" collapsed="false">
      <c r="A10" s="76" t="s">
        <v>306</v>
      </c>
      <c r="B10" s="76" t="s">
        <v>307</v>
      </c>
      <c r="C10" s="76" t="s">
        <v>308</v>
      </c>
      <c r="D10" s="77" t="n">
        <v>0</v>
      </c>
      <c r="E10" s="77" t="n">
        <v>1</v>
      </c>
      <c r="F10" s="77" t="n">
        <v>0</v>
      </c>
      <c r="G10" s="77" t="n">
        <f aca="false">D10*$D$7+E10*$E$7+F10*$F$7</f>
        <v>3</v>
      </c>
    </row>
    <row r="11" customFormat="false" ht="57" hidden="false" customHeight="true" outlineLevel="0" collapsed="false">
      <c r="A11" s="76" t="s">
        <v>309</v>
      </c>
      <c r="B11" s="76" t="s">
        <v>310</v>
      </c>
      <c r="C11" s="76" t="s">
        <v>311</v>
      </c>
      <c r="D11" s="77" t="n">
        <v>1</v>
      </c>
      <c r="E11" s="77" t="n">
        <v>0</v>
      </c>
      <c r="F11" s="77" t="n">
        <v>0</v>
      </c>
      <c r="G11" s="77" t="n">
        <f aca="false">D11*$D$7+E11*$E$7+F11*$F$7</f>
        <v>1</v>
      </c>
    </row>
    <row r="12" customFormat="false" ht="15" hidden="false" customHeight="true" outlineLevel="0" collapsed="false">
      <c r="A12" s="78" t="s">
        <v>312</v>
      </c>
      <c r="B12" s="78"/>
      <c r="C12" s="78"/>
      <c r="D12" s="78"/>
      <c r="E12" s="78"/>
      <c r="F12" s="78"/>
      <c r="G12" s="79" t="n">
        <f aca="false">SUM(G8:G11)</f>
        <v>20</v>
      </c>
      <c r="J12" s="80"/>
      <c r="K12" s="81"/>
      <c r="L12" s="81"/>
    </row>
    <row r="13" customFormat="false" ht="15" hidden="false" customHeight="true" outlineLevel="0" collapsed="false">
      <c r="J13" s="80" t="s">
        <v>188</v>
      </c>
      <c r="K13" s="80"/>
      <c r="L13" s="80"/>
    </row>
    <row r="14" customFormat="false" ht="15" hidden="false" customHeight="true" outlineLevel="0" collapsed="false">
      <c r="B14" s="0" t="s">
        <v>189</v>
      </c>
      <c r="G14" s="0" t="n">
        <f aca="false">G12</f>
        <v>20</v>
      </c>
      <c r="J14" s="82" t="s">
        <v>190</v>
      </c>
      <c r="K14" s="83"/>
      <c r="L14" s="82" t="s">
        <v>191</v>
      </c>
    </row>
    <row r="15" customFormat="false" ht="15" hidden="false" customHeight="true" outlineLevel="0" collapsed="false">
      <c r="J15" s="83" t="s">
        <v>192</v>
      </c>
      <c r="K15" s="83"/>
      <c r="L15" s="83" t="n">
        <v>0</v>
      </c>
    </row>
    <row r="16" customFormat="false" ht="15" hidden="false" customHeight="true" outlineLevel="0" collapsed="false">
      <c r="B16" s="0" t="s">
        <v>193</v>
      </c>
      <c r="C16" s="84" t="n">
        <f aca="false">'Baseline Productivity '!$C$4</f>
        <v>0.19</v>
      </c>
      <c r="J16" s="83" t="s">
        <v>194</v>
      </c>
      <c r="K16" s="83"/>
      <c r="L16" s="83" t="n">
        <v>0</v>
      </c>
    </row>
    <row r="17" customFormat="false" ht="15" hidden="false" customHeight="true" outlineLevel="0" collapsed="false">
      <c r="B17" s="0" t="s">
        <v>195</v>
      </c>
      <c r="C17" s="0" t="n">
        <f aca="false">G12</f>
        <v>20</v>
      </c>
      <c r="D17" s="0" t="s">
        <v>196</v>
      </c>
      <c r="J17" s="83"/>
      <c r="K17" s="83"/>
      <c r="L17" s="83"/>
    </row>
    <row r="18" customFormat="false" ht="15" hidden="false" customHeight="true" outlineLevel="0" collapsed="false">
      <c r="B18" s="0" t="s">
        <v>197</v>
      </c>
      <c r="C18" s="0" t="n">
        <f aca="false">C17/C16</f>
        <v>105.263157894737</v>
      </c>
      <c r="D18" s="0" t="s">
        <v>198</v>
      </c>
      <c r="J18" s="83" t="s">
        <v>199</v>
      </c>
      <c r="K18" s="83"/>
      <c r="L18" s="83" t="n">
        <v>0</v>
      </c>
    </row>
    <row r="19" customFormat="false" ht="15" hidden="false" customHeight="true" outlineLevel="0" collapsed="false">
      <c r="B19" s="0" t="s">
        <v>116</v>
      </c>
      <c r="C19" s="0" t="n">
        <f aca="false">0.65+0.01*$L$31</f>
        <v>1.01</v>
      </c>
      <c r="J19" s="83" t="s">
        <v>200</v>
      </c>
      <c r="K19" s="83"/>
      <c r="L19" s="83" t="n">
        <v>3</v>
      </c>
    </row>
    <row r="20" customFormat="false" ht="15" hidden="false" customHeight="true" outlineLevel="0" collapsed="false">
      <c r="B20" s="0" t="s">
        <v>201</v>
      </c>
      <c r="C20" s="0" t="n">
        <v>0.05</v>
      </c>
      <c r="J20" s="83" t="s">
        <v>202</v>
      </c>
      <c r="K20" s="83"/>
      <c r="L20" s="83" t="n">
        <v>4</v>
      </c>
    </row>
    <row r="21" customFormat="false" ht="15" hidden="false" customHeight="true" outlineLevel="0" collapsed="false">
      <c r="B21" s="0" t="s">
        <v>203</v>
      </c>
      <c r="C21" s="0" t="n">
        <v>0.1</v>
      </c>
      <c r="J21" s="83"/>
      <c r="K21" s="83"/>
      <c r="L21" s="83"/>
    </row>
    <row r="22" customFormat="false" ht="15" hidden="false" customHeight="true" outlineLevel="0" collapsed="false">
      <c r="B22" s="0" t="s">
        <v>204</v>
      </c>
      <c r="C22" s="0" t="n">
        <f aca="false">C18*C19*(1+C20+C21)</f>
        <v>122.263157894737</v>
      </c>
      <c r="D22" s="0" t="s">
        <v>198</v>
      </c>
      <c r="J22" s="83" t="s">
        <v>205</v>
      </c>
      <c r="K22" s="83"/>
      <c r="L22" s="83" t="n">
        <v>3</v>
      </c>
    </row>
    <row r="23" customFormat="false" ht="15" hidden="false" customHeight="true" outlineLevel="0" collapsed="false">
      <c r="J23" s="83" t="s">
        <v>206</v>
      </c>
      <c r="K23" s="83"/>
      <c r="L23" s="83" t="n">
        <v>2</v>
      </c>
    </row>
    <row r="24" customFormat="false" ht="15" hidden="false" customHeight="true" outlineLevel="0" collapsed="false">
      <c r="B24" s="0" t="s">
        <v>207</v>
      </c>
      <c r="C24" s="0" t="n">
        <f aca="false">C22*1.05</f>
        <v>128.376315789474</v>
      </c>
      <c r="D24" s="0" t="n">
        <f aca="false">C22*0.95</f>
        <v>116.15</v>
      </c>
      <c r="J24" s="83" t="s">
        <v>208</v>
      </c>
      <c r="K24" s="83"/>
      <c r="L24" s="83" t="n">
        <v>1</v>
      </c>
    </row>
    <row r="25" customFormat="false" ht="15" hidden="false" customHeight="true" outlineLevel="0" collapsed="false">
      <c r="J25" s="83" t="s">
        <v>209</v>
      </c>
      <c r="K25" s="83"/>
      <c r="L25" s="83" t="n">
        <v>3</v>
      </c>
    </row>
    <row r="26" customFormat="false" ht="15" hidden="false" customHeight="true" outlineLevel="0" collapsed="false">
      <c r="J26" s="83" t="s">
        <v>210</v>
      </c>
      <c r="K26" s="83"/>
      <c r="L26" s="83" t="n">
        <v>4</v>
      </c>
    </row>
    <row r="27" customFormat="false" ht="15" hidden="false" customHeight="true" outlineLevel="0" collapsed="false">
      <c r="J27" s="83" t="s">
        <v>211</v>
      </c>
      <c r="K27" s="83"/>
      <c r="L27" s="83" t="n">
        <v>4</v>
      </c>
    </row>
    <row r="28" customFormat="false" ht="15" hidden="false" customHeight="true" outlineLevel="0" collapsed="false">
      <c r="J28" s="83" t="s">
        <v>212</v>
      </c>
      <c r="K28" s="83"/>
      <c r="L28" s="83" t="n">
        <v>4</v>
      </c>
    </row>
    <row r="29" customFormat="false" ht="15" hidden="false" customHeight="true" outlineLevel="0" collapsed="false">
      <c r="J29" s="83" t="s">
        <v>213</v>
      </c>
      <c r="K29" s="83"/>
      <c r="L29" s="83" t="n">
        <v>4</v>
      </c>
    </row>
    <row r="30" customFormat="false" ht="15" hidden="false" customHeight="true" outlineLevel="0" collapsed="false">
      <c r="J30" s="83" t="s">
        <v>214</v>
      </c>
      <c r="K30" s="83"/>
      <c r="L30" s="83" t="n">
        <v>4</v>
      </c>
    </row>
    <row r="31" customFormat="false" ht="15" hidden="false" customHeight="true" outlineLevel="0" collapsed="false">
      <c r="J31" s="82" t="s">
        <v>215</v>
      </c>
      <c r="K31" s="82"/>
      <c r="L31" s="82" t="n">
        <f aca="false">SUM(L15:L30)</f>
        <v>36</v>
      </c>
    </row>
  </sheetData>
  <mergeCells count="2">
    <mergeCell ref="A12:F12"/>
    <mergeCell ref="J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313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78" hidden="false" customHeight="true" outlineLevel="0" collapsed="false">
      <c r="A8" s="76" t="s">
        <v>314</v>
      </c>
      <c r="B8" s="76" t="s">
        <v>315</v>
      </c>
      <c r="C8" s="76" t="s">
        <v>316</v>
      </c>
      <c r="D8" s="77" t="n">
        <v>0</v>
      </c>
      <c r="E8" s="77" t="n">
        <v>2</v>
      </c>
      <c r="F8" s="77" t="n">
        <v>0</v>
      </c>
      <c r="G8" s="77" t="n">
        <f aca="false">D8*$D$7+E8*$E$7+F8*$F$7</f>
        <v>6</v>
      </c>
    </row>
    <row r="9" customFormat="false" ht="102" hidden="false" customHeight="true" outlineLevel="0" collapsed="false">
      <c r="A9" s="76" t="s">
        <v>317</v>
      </c>
      <c r="B9" s="76" t="s">
        <v>318</v>
      </c>
      <c r="C9" s="76" t="s">
        <v>319</v>
      </c>
      <c r="D9" s="77" t="n">
        <v>0</v>
      </c>
      <c r="E9" s="77" t="n">
        <v>1</v>
      </c>
      <c r="F9" s="77" t="n">
        <v>2</v>
      </c>
      <c r="G9" s="77" t="n">
        <f aca="false">D9*$D$7+E9*$E$7+F9*$F$7</f>
        <v>13</v>
      </c>
    </row>
    <row r="10" customFormat="false" ht="78" hidden="false" customHeight="true" outlineLevel="0" collapsed="false">
      <c r="A10" s="76" t="s">
        <v>320</v>
      </c>
      <c r="B10" s="76" t="s">
        <v>321</v>
      </c>
      <c r="C10" s="76" t="s">
        <v>322</v>
      </c>
      <c r="D10" s="77" t="n">
        <v>0</v>
      </c>
      <c r="E10" s="77" t="n">
        <v>1</v>
      </c>
      <c r="F10" s="77" t="n">
        <v>1</v>
      </c>
      <c r="G10" s="77" t="n">
        <f aca="false">D10*$D$7+E10*$E$7+F10*$F$7</f>
        <v>8</v>
      </c>
    </row>
    <row r="11" customFormat="false" ht="15" hidden="false" customHeight="true" outlineLevel="0" collapsed="false">
      <c r="A11" s="78" t="s">
        <v>323</v>
      </c>
      <c r="B11" s="78"/>
      <c r="C11" s="78"/>
      <c r="D11" s="78"/>
      <c r="E11" s="78"/>
      <c r="F11" s="78"/>
      <c r="G11" s="79" t="n">
        <f aca="false">SUM(G8:G10)</f>
        <v>27</v>
      </c>
      <c r="J11" s="80"/>
      <c r="K11" s="81"/>
      <c r="L11" s="81"/>
    </row>
    <row r="12" customFormat="false" ht="15" hidden="false" customHeight="true" outlineLevel="0" collapsed="false">
      <c r="J12" s="80" t="s">
        <v>188</v>
      </c>
      <c r="K12" s="80"/>
      <c r="L12" s="80"/>
    </row>
    <row r="13" customFormat="false" ht="15" hidden="false" customHeight="true" outlineLevel="0" collapsed="false">
      <c r="B13" s="0" t="s">
        <v>189</v>
      </c>
      <c r="G13" s="0" t="n">
        <f aca="false">G11</f>
        <v>27</v>
      </c>
      <c r="J13" s="82" t="s">
        <v>190</v>
      </c>
      <c r="K13" s="83"/>
      <c r="L13" s="82" t="s">
        <v>191</v>
      </c>
    </row>
    <row r="14" customFormat="false" ht="15" hidden="false" customHeight="true" outlineLevel="0" collapsed="false">
      <c r="J14" s="83" t="s">
        <v>192</v>
      </c>
      <c r="K14" s="83"/>
      <c r="L14" s="83" t="n">
        <v>0</v>
      </c>
    </row>
    <row r="15" customFormat="false" ht="15" hidden="false" customHeight="true" outlineLevel="0" collapsed="false">
      <c r="B15" s="0" t="s">
        <v>193</v>
      </c>
      <c r="C15" s="84" t="n">
        <f aca="false">'Baseline Productivity '!$C$4</f>
        <v>0.19</v>
      </c>
      <c r="J15" s="83" t="s">
        <v>194</v>
      </c>
      <c r="K15" s="83"/>
      <c r="L15" s="83" t="n">
        <v>0</v>
      </c>
    </row>
    <row r="16" customFormat="false" ht="15" hidden="false" customHeight="true" outlineLevel="0" collapsed="false">
      <c r="B16" s="0" t="s">
        <v>195</v>
      </c>
      <c r="C16" s="0" t="n">
        <f aca="false">G11</f>
        <v>27</v>
      </c>
      <c r="D16" s="0" t="s">
        <v>196</v>
      </c>
      <c r="J16" s="83"/>
      <c r="K16" s="83"/>
      <c r="L16" s="83"/>
    </row>
    <row r="17" customFormat="false" ht="15" hidden="false" customHeight="true" outlineLevel="0" collapsed="false">
      <c r="B17" s="0" t="s">
        <v>197</v>
      </c>
      <c r="C17" s="0" t="n">
        <f aca="false">C16/C15</f>
        <v>142.105263157895</v>
      </c>
      <c r="D17" s="0" t="s">
        <v>198</v>
      </c>
      <c r="J17" s="83" t="s">
        <v>199</v>
      </c>
      <c r="K17" s="83"/>
      <c r="L17" s="83" t="n">
        <v>0</v>
      </c>
    </row>
    <row r="18" customFormat="false" ht="15" hidden="false" customHeight="true" outlineLevel="0" collapsed="false">
      <c r="B18" s="0" t="s">
        <v>116</v>
      </c>
      <c r="C18" s="0" t="n">
        <f aca="false">0.65+0.01*$L$30</f>
        <v>1.01</v>
      </c>
      <c r="J18" s="83" t="s">
        <v>200</v>
      </c>
      <c r="K18" s="83"/>
      <c r="L18" s="83" t="n">
        <v>3</v>
      </c>
    </row>
    <row r="19" customFormat="false" ht="15" hidden="false" customHeight="true" outlineLevel="0" collapsed="false">
      <c r="B19" s="0" t="s">
        <v>201</v>
      </c>
      <c r="C19" s="0" t="n">
        <v>0.05</v>
      </c>
      <c r="J19" s="83" t="s">
        <v>202</v>
      </c>
      <c r="K19" s="83"/>
      <c r="L19" s="83" t="n">
        <v>4</v>
      </c>
    </row>
    <row r="20" customFormat="false" ht="15" hidden="false" customHeight="true" outlineLevel="0" collapsed="false">
      <c r="B20" s="0" t="s">
        <v>203</v>
      </c>
      <c r="C20" s="0" t="n">
        <v>0.1</v>
      </c>
      <c r="J20" s="83"/>
      <c r="K20" s="83"/>
      <c r="L20" s="83"/>
    </row>
    <row r="21" customFormat="false" ht="15" hidden="false" customHeight="true" outlineLevel="0" collapsed="false">
      <c r="B21" s="0" t="s">
        <v>204</v>
      </c>
      <c r="C21" s="0" t="n">
        <f aca="false">C17*C18*(1+C19+C20)</f>
        <v>165.055263157895</v>
      </c>
      <c r="D21" s="0" t="s">
        <v>198</v>
      </c>
      <c r="J21" s="83" t="s">
        <v>205</v>
      </c>
      <c r="K21" s="83"/>
      <c r="L21" s="83" t="n">
        <v>3</v>
      </c>
    </row>
    <row r="22" customFormat="false" ht="15" hidden="false" customHeight="true" outlineLevel="0" collapsed="false">
      <c r="J22" s="83" t="s">
        <v>206</v>
      </c>
      <c r="K22" s="83"/>
      <c r="L22" s="83" t="n">
        <v>2</v>
      </c>
    </row>
    <row r="23" customFormat="false" ht="15" hidden="false" customHeight="true" outlineLevel="0" collapsed="false">
      <c r="B23" s="0" t="s">
        <v>207</v>
      </c>
      <c r="C23" s="0" t="n">
        <f aca="false">C21*1.05</f>
        <v>173.30802631579</v>
      </c>
      <c r="D23" s="0" t="n">
        <f aca="false">C21*0.95</f>
        <v>156.8025</v>
      </c>
      <c r="J23" s="83" t="s">
        <v>208</v>
      </c>
      <c r="K23" s="83"/>
      <c r="L23" s="83" t="n">
        <v>1</v>
      </c>
    </row>
    <row r="24" customFormat="false" ht="15" hidden="false" customHeight="true" outlineLevel="0" collapsed="false">
      <c r="J24" s="83" t="s">
        <v>209</v>
      </c>
      <c r="K24" s="83"/>
      <c r="L24" s="83" t="n">
        <v>3</v>
      </c>
    </row>
    <row r="25" customFormat="false" ht="15" hidden="false" customHeight="true" outlineLevel="0" collapsed="false">
      <c r="J25" s="83" t="s">
        <v>210</v>
      </c>
      <c r="K25" s="83"/>
      <c r="L25" s="83" t="n">
        <v>4</v>
      </c>
    </row>
    <row r="26" customFormat="false" ht="15" hidden="false" customHeight="true" outlineLevel="0" collapsed="false">
      <c r="J26" s="83" t="s">
        <v>211</v>
      </c>
      <c r="K26" s="83"/>
      <c r="L26" s="83" t="n">
        <v>4</v>
      </c>
    </row>
    <row r="27" customFormat="false" ht="15" hidden="false" customHeight="true" outlineLevel="0" collapsed="false">
      <c r="J27" s="83" t="s">
        <v>212</v>
      </c>
      <c r="K27" s="83"/>
      <c r="L27" s="83" t="n">
        <v>4</v>
      </c>
    </row>
    <row r="28" customFormat="false" ht="15" hidden="false" customHeight="true" outlineLevel="0" collapsed="false">
      <c r="J28" s="83" t="s">
        <v>213</v>
      </c>
      <c r="K28" s="83"/>
      <c r="L28" s="83" t="n">
        <v>4</v>
      </c>
    </row>
    <row r="29" customFormat="false" ht="15" hidden="false" customHeight="true" outlineLevel="0" collapsed="false">
      <c r="J29" s="83" t="s">
        <v>214</v>
      </c>
      <c r="K29" s="83"/>
      <c r="L29" s="83" t="n">
        <v>4</v>
      </c>
    </row>
    <row r="30" customFormat="false" ht="15" hidden="false" customHeight="true" outlineLevel="0" collapsed="false">
      <c r="J30" s="82" t="s">
        <v>215</v>
      </c>
      <c r="K30" s="82"/>
      <c r="L30" s="82" t="n">
        <f aca="false">SUM(L14:L29)</f>
        <v>36</v>
      </c>
    </row>
  </sheetData>
  <mergeCells count="2">
    <mergeCell ref="A11:F11"/>
    <mergeCell ref="J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324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90" hidden="false" customHeight="true" outlineLevel="0" collapsed="false">
      <c r="A8" s="76" t="s">
        <v>325</v>
      </c>
      <c r="B8" s="76" t="s">
        <v>326</v>
      </c>
      <c r="C8" s="76" t="s">
        <v>327</v>
      </c>
      <c r="D8" s="77" t="n">
        <v>2</v>
      </c>
      <c r="E8" s="77" t="n">
        <v>1</v>
      </c>
      <c r="F8" s="77" t="n">
        <v>0</v>
      </c>
      <c r="G8" s="77" t="n">
        <f aca="false">D8*$D$7+E8*$E$7+F8*$F$7</f>
        <v>5</v>
      </c>
    </row>
    <row r="9" customFormat="false" ht="57" hidden="false" customHeight="true" outlineLevel="0" collapsed="false">
      <c r="A9" s="76" t="s">
        <v>328</v>
      </c>
      <c r="B9" s="76" t="s">
        <v>329</v>
      </c>
      <c r="C9" s="76" t="s">
        <v>330</v>
      </c>
      <c r="D9" s="77" t="n">
        <v>1</v>
      </c>
      <c r="E9" s="77" t="n">
        <v>0</v>
      </c>
      <c r="F9" s="77" t="n">
        <v>0</v>
      </c>
      <c r="G9" s="77" t="n">
        <f aca="false">D9*$D$7+E9*$E$7+F9*$F$7</f>
        <v>1</v>
      </c>
    </row>
    <row r="10" customFormat="false" ht="15" hidden="false" customHeight="true" outlineLevel="0" collapsed="false">
      <c r="A10" s="78" t="s">
        <v>331</v>
      </c>
      <c r="B10" s="78"/>
      <c r="C10" s="78"/>
      <c r="D10" s="78"/>
      <c r="E10" s="78"/>
      <c r="F10" s="78"/>
      <c r="G10" s="79" t="n">
        <f aca="false">SUM(G8:G9)</f>
        <v>6</v>
      </c>
      <c r="J10" s="80"/>
      <c r="K10" s="81"/>
      <c r="L10" s="81"/>
    </row>
    <row r="11" customFormat="false" ht="15" hidden="false" customHeight="true" outlineLevel="0" collapsed="false">
      <c r="J11" s="80" t="s">
        <v>188</v>
      </c>
      <c r="K11" s="80"/>
      <c r="L11" s="80"/>
    </row>
    <row r="12" customFormat="false" ht="15" hidden="false" customHeight="true" outlineLevel="0" collapsed="false">
      <c r="B12" s="0" t="s">
        <v>189</v>
      </c>
      <c r="G12" s="0" t="n">
        <f aca="false">G10</f>
        <v>6</v>
      </c>
      <c r="J12" s="82" t="s">
        <v>190</v>
      </c>
      <c r="K12" s="83"/>
      <c r="L12" s="82" t="s">
        <v>191</v>
      </c>
    </row>
    <row r="13" customFormat="false" ht="15" hidden="false" customHeight="true" outlineLevel="0" collapsed="false">
      <c r="J13" s="83" t="s">
        <v>192</v>
      </c>
      <c r="K13" s="83"/>
      <c r="L13" s="83" t="n">
        <v>0</v>
      </c>
    </row>
    <row r="14" customFormat="false" ht="15" hidden="false" customHeight="true" outlineLevel="0" collapsed="false">
      <c r="B14" s="0" t="s">
        <v>193</v>
      </c>
      <c r="C14" s="84" t="n">
        <f aca="false">'Baseline Productivity '!$C$4</f>
        <v>0.19</v>
      </c>
      <c r="J14" s="83" t="s">
        <v>194</v>
      </c>
      <c r="K14" s="83"/>
      <c r="L14" s="83" t="n">
        <v>0</v>
      </c>
    </row>
    <row r="15" customFormat="false" ht="15" hidden="false" customHeight="true" outlineLevel="0" collapsed="false">
      <c r="B15" s="0" t="s">
        <v>195</v>
      </c>
      <c r="C15" s="0" t="n">
        <f aca="false">G10</f>
        <v>6</v>
      </c>
      <c r="D15" s="0" t="s">
        <v>196</v>
      </c>
      <c r="J15" s="83"/>
      <c r="K15" s="83"/>
      <c r="L15" s="83"/>
    </row>
    <row r="16" customFormat="false" ht="15" hidden="false" customHeight="true" outlineLevel="0" collapsed="false">
      <c r="B16" s="0" t="s">
        <v>197</v>
      </c>
      <c r="C16" s="0" t="n">
        <f aca="false">C15/C14</f>
        <v>31.5789473684211</v>
      </c>
      <c r="D16" s="0" t="s">
        <v>198</v>
      </c>
      <c r="J16" s="83" t="s">
        <v>199</v>
      </c>
      <c r="K16" s="83"/>
      <c r="L16" s="83" t="n">
        <v>0</v>
      </c>
    </row>
    <row r="17" customFormat="false" ht="15" hidden="false" customHeight="true" outlineLevel="0" collapsed="false">
      <c r="B17" s="0" t="s">
        <v>116</v>
      </c>
      <c r="C17" s="0" t="n">
        <f aca="false">0.65+0.01*$L$29</f>
        <v>1.01</v>
      </c>
      <c r="J17" s="83" t="s">
        <v>200</v>
      </c>
      <c r="K17" s="83"/>
      <c r="L17" s="83" t="n">
        <v>3</v>
      </c>
    </row>
    <row r="18" customFormat="false" ht="15" hidden="false" customHeight="true" outlineLevel="0" collapsed="false">
      <c r="B18" s="0" t="s">
        <v>201</v>
      </c>
      <c r="C18" s="0" t="n">
        <v>0.05</v>
      </c>
      <c r="J18" s="83" t="s">
        <v>202</v>
      </c>
      <c r="K18" s="83"/>
      <c r="L18" s="83" t="n">
        <v>4</v>
      </c>
    </row>
    <row r="19" customFormat="false" ht="15" hidden="false" customHeight="true" outlineLevel="0" collapsed="false">
      <c r="B19" s="0" t="s">
        <v>203</v>
      </c>
      <c r="C19" s="0" t="n">
        <v>0.1</v>
      </c>
      <c r="J19" s="83"/>
      <c r="K19" s="83"/>
      <c r="L19" s="83"/>
    </row>
    <row r="20" customFormat="false" ht="15" hidden="false" customHeight="true" outlineLevel="0" collapsed="false">
      <c r="B20" s="0" t="s">
        <v>204</v>
      </c>
      <c r="C20" s="0" t="n">
        <f aca="false">C16*C17*(1+C18+C19)</f>
        <v>36.6789473684211</v>
      </c>
      <c r="D20" s="0" t="s">
        <v>198</v>
      </c>
      <c r="J20" s="83" t="s">
        <v>205</v>
      </c>
      <c r="K20" s="83"/>
      <c r="L20" s="83" t="n">
        <v>3</v>
      </c>
    </row>
    <row r="21" customFormat="false" ht="15" hidden="false" customHeight="true" outlineLevel="0" collapsed="false">
      <c r="J21" s="83" t="s">
        <v>206</v>
      </c>
      <c r="K21" s="83"/>
      <c r="L21" s="83" t="n">
        <v>2</v>
      </c>
    </row>
    <row r="22" customFormat="false" ht="15" hidden="false" customHeight="true" outlineLevel="0" collapsed="false">
      <c r="B22" s="0" t="s">
        <v>207</v>
      </c>
      <c r="C22" s="0" t="n">
        <f aca="false">C20*1.05</f>
        <v>38.5128947368421</v>
      </c>
      <c r="D22" s="0" t="n">
        <f aca="false">C20*0.95</f>
        <v>34.845</v>
      </c>
      <c r="J22" s="83" t="s">
        <v>208</v>
      </c>
      <c r="K22" s="83"/>
      <c r="L22" s="83" t="n">
        <v>1</v>
      </c>
    </row>
    <row r="23" customFormat="false" ht="15" hidden="false" customHeight="true" outlineLevel="0" collapsed="false">
      <c r="J23" s="83" t="s">
        <v>209</v>
      </c>
      <c r="K23" s="83"/>
      <c r="L23" s="83" t="n">
        <v>3</v>
      </c>
    </row>
    <row r="24" customFormat="false" ht="15" hidden="false" customHeight="true" outlineLevel="0" collapsed="false">
      <c r="J24" s="83" t="s">
        <v>210</v>
      </c>
      <c r="K24" s="83"/>
      <c r="L24" s="83" t="n">
        <v>4</v>
      </c>
    </row>
    <row r="25" customFormat="false" ht="15" hidden="false" customHeight="true" outlineLevel="0" collapsed="false">
      <c r="J25" s="83" t="s">
        <v>211</v>
      </c>
      <c r="K25" s="83"/>
      <c r="L25" s="83" t="n">
        <v>4</v>
      </c>
    </row>
    <row r="26" customFormat="false" ht="15" hidden="false" customHeight="true" outlineLevel="0" collapsed="false">
      <c r="J26" s="83" t="s">
        <v>212</v>
      </c>
      <c r="K26" s="83"/>
      <c r="L26" s="83" t="n">
        <v>4</v>
      </c>
    </row>
    <row r="27" customFormat="false" ht="15" hidden="false" customHeight="true" outlineLevel="0" collapsed="false">
      <c r="J27" s="83" t="s">
        <v>213</v>
      </c>
      <c r="K27" s="83"/>
      <c r="L27" s="83" t="n">
        <v>4</v>
      </c>
    </row>
    <row r="28" customFormat="false" ht="15" hidden="false" customHeight="true" outlineLevel="0" collapsed="false">
      <c r="J28" s="83" t="s">
        <v>214</v>
      </c>
      <c r="K28" s="83"/>
      <c r="L28" s="83" t="n">
        <v>4</v>
      </c>
    </row>
    <row r="29" customFormat="false" ht="15" hidden="false" customHeight="true" outlineLevel="0" collapsed="false">
      <c r="J29" s="82" t="s">
        <v>215</v>
      </c>
      <c r="K29" s="82"/>
      <c r="L29" s="82" t="n">
        <f aca="false">SUM(L13:L28)</f>
        <v>36</v>
      </c>
    </row>
  </sheetData>
  <mergeCells count="2">
    <mergeCell ref="A10:F10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332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78" hidden="false" customHeight="true" outlineLevel="0" collapsed="false">
      <c r="A8" s="76" t="s">
        <v>333</v>
      </c>
      <c r="B8" s="76" t="s">
        <v>334</v>
      </c>
      <c r="C8" s="76" t="s">
        <v>335</v>
      </c>
      <c r="D8" s="77" t="n">
        <v>0</v>
      </c>
      <c r="E8" s="77" t="n">
        <v>2</v>
      </c>
      <c r="F8" s="77" t="n">
        <v>0</v>
      </c>
      <c r="G8" s="77" t="n">
        <f aca="false">D8*$D$7+E8*$E$7+F8*$F$7</f>
        <v>6</v>
      </c>
    </row>
    <row r="9" customFormat="false" ht="57" hidden="false" customHeight="true" outlineLevel="0" collapsed="false">
      <c r="A9" s="76" t="s">
        <v>336</v>
      </c>
      <c r="B9" s="76" t="s">
        <v>337</v>
      </c>
      <c r="C9" s="76" t="s">
        <v>338</v>
      </c>
      <c r="D9" s="77" t="n">
        <v>1</v>
      </c>
      <c r="E9" s="77" t="n">
        <v>0</v>
      </c>
      <c r="F9" s="77" t="n">
        <v>0</v>
      </c>
      <c r="G9" s="77" t="n">
        <f aca="false">D9*$D$7+E9*$E$7+F9*$F$7</f>
        <v>1</v>
      </c>
    </row>
    <row r="10" customFormat="false" ht="15" hidden="false" customHeight="true" outlineLevel="0" collapsed="false">
      <c r="A10" s="78" t="s">
        <v>339</v>
      </c>
      <c r="B10" s="78"/>
      <c r="C10" s="78"/>
      <c r="D10" s="78"/>
      <c r="E10" s="78"/>
      <c r="F10" s="78"/>
      <c r="G10" s="79" t="n">
        <f aca="false">SUM(G8:G9)</f>
        <v>7</v>
      </c>
      <c r="J10" s="80"/>
      <c r="K10" s="81"/>
      <c r="L10" s="81"/>
    </row>
    <row r="11" customFormat="false" ht="15" hidden="false" customHeight="true" outlineLevel="0" collapsed="false">
      <c r="J11" s="80" t="s">
        <v>188</v>
      </c>
      <c r="K11" s="80"/>
      <c r="L11" s="80"/>
    </row>
    <row r="12" customFormat="false" ht="15" hidden="false" customHeight="true" outlineLevel="0" collapsed="false">
      <c r="B12" s="0" t="s">
        <v>189</v>
      </c>
      <c r="G12" s="0" t="n">
        <f aca="false">G10</f>
        <v>7</v>
      </c>
      <c r="J12" s="82" t="s">
        <v>190</v>
      </c>
      <c r="K12" s="83"/>
      <c r="L12" s="82" t="s">
        <v>191</v>
      </c>
    </row>
    <row r="13" customFormat="false" ht="15" hidden="false" customHeight="true" outlineLevel="0" collapsed="false">
      <c r="J13" s="83" t="s">
        <v>192</v>
      </c>
      <c r="K13" s="83"/>
      <c r="L13" s="83" t="n">
        <v>0</v>
      </c>
    </row>
    <row r="14" customFormat="false" ht="15" hidden="false" customHeight="true" outlineLevel="0" collapsed="false">
      <c r="B14" s="0" t="s">
        <v>193</v>
      </c>
      <c r="C14" s="84" t="n">
        <f aca="false">'Baseline Productivity '!$C$4</f>
        <v>0.19</v>
      </c>
      <c r="J14" s="83" t="s">
        <v>194</v>
      </c>
      <c r="K14" s="83"/>
      <c r="L14" s="83" t="n">
        <v>0</v>
      </c>
    </row>
    <row r="15" customFormat="false" ht="15" hidden="false" customHeight="true" outlineLevel="0" collapsed="false">
      <c r="B15" s="0" t="s">
        <v>195</v>
      </c>
      <c r="C15" s="0" t="n">
        <f aca="false">G10</f>
        <v>7</v>
      </c>
      <c r="D15" s="0" t="s">
        <v>196</v>
      </c>
      <c r="J15" s="83"/>
      <c r="K15" s="83"/>
      <c r="L15" s="83"/>
    </row>
    <row r="16" customFormat="false" ht="15" hidden="false" customHeight="true" outlineLevel="0" collapsed="false">
      <c r="B16" s="0" t="s">
        <v>197</v>
      </c>
      <c r="C16" s="0" t="n">
        <f aca="false">C15/C14</f>
        <v>36.8421052631579</v>
      </c>
      <c r="D16" s="0" t="s">
        <v>198</v>
      </c>
      <c r="J16" s="83" t="s">
        <v>199</v>
      </c>
      <c r="K16" s="83"/>
      <c r="L16" s="83" t="n">
        <v>0</v>
      </c>
    </row>
    <row r="17" customFormat="false" ht="15" hidden="false" customHeight="true" outlineLevel="0" collapsed="false">
      <c r="B17" s="0" t="s">
        <v>116</v>
      </c>
      <c r="C17" s="0" t="n">
        <f aca="false">0.65+0.01*$L$29</f>
        <v>1.01</v>
      </c>
      <c r="J17" s="83" t="s">
        <v>200</v>
      </c>
      <c r="K17" s="83"/>
      <c r="L17" s="83" t="n">
        <v>3</v>
      </c>
    </row>
    <row r="18" customFormat="false" ht="15" hidden="false" customHeight="true" outlineLevel="0" collapsed="false">
      <c r="B18" s="0" t="s">
        <v>201</v>
      </c>
      <c r="C18" s="0" t="n">
        <v>0.05</v>
      </c>
      <c r="J18" s="83" t="s">
        <v>202</v>
      </c>
      <c r="K18" s="83"/>
      <c r="L18" s="83" t="n">
        <v>4</v>
      </c>
    </row>
    <row r="19" customFormat="false" ht="15" hidden="false" customHeight="true" outlineLevel="0" collapsed="false">
      <c r="B19" s="0" t="s">
        <v>203</v>
      </c>
      <c r="C19" s="0" t="n">
        <v>0.1</v>
      </c>
      <c r="J19" s="83"/>
      <c r="K19" s="83"/>
      <c r="L19" s="83"/>
    </row>
    <row r="20" customFormat="false" ht="15" hidden="false" customHeight="true" outlineLevel="0" collapsed="false">
      <c r="B20" s="0" t="s">
        <v>204</v>
      </c>
      <c r="C20" s="0" t="n">
        <f aca="false">C16*C17*(1+C18+C19)</f>
        <v>42.7921052631579</v>
      </c>
      <c r="D20" s="0" t="s">
        <v>198</v>
      </c>
      <c r="J20" s="83" t="s">
        <v>205</v>
      </c>
      <c r="K20" s="83"/>
      <c r="L20" s="83" t="n">
        <v>3</v>
      </c>
    </row>
    <row r="21" customFormat="false" ht="15" hidden="false" customHeight="true" outlineLevel="0" collapsed="false">
      <c r="J21" s="83" t="s">
        <v>206</v>
      </c>
      <c r="K21" s="83"/>
      <c r="L21" s="83" t="n">
        <v>2</v>
      </c>
    </row>
    <row r="22" customFormat="false" ht="15" hidden="false" customHeight="true" outlineLevel="0" collapsed="false">
      <c r="B22" s="0" t="s">
        <v>207</v>
      </c>
      <c r="C22" s="0" t="n">
        <f aca="false">C20*1.05</f>
        <v>44.9317105263158</v>
      </c>
      <c r="D22" s="0" t="n">
        <f aca="false">C20*0.95</f>
        <v>40.6525</v>
      </c>
      <c r="J22" s="83" t="s">
        <v>208</v>
      </c>
      <c r="K22" s="83"/>
      <c r="L22" s="83" t="n">
        <v>1</v>
      </c>
    </row>
    <row r="23" customFormat="false" ht="15" hidden="false" customHeight="true" outlineLevel="0" collapsed="false">
      <c r="J23" s="83" t="s">
        <v>209</v>
      </c>
      <c r="K23" s="83"/>
      <c r="L23" s="83" t="n">
        <v>3</v>
      </c>
    </row>
    <row r="24" customFormat="false" ht="15" hidden="false" customHeight="true" outlineLevel="0" collapsed="false">
      <c r="J24" s="83" t="s">
        <v>210</v>
      </c>
      <c r="K24" s="83"/>
      <c r="L24" s="83" t="n">
        <v>4</v>
      </c>
    </row>
    <row r="25" customFormat="false" ht="15" hidden="false" customHeight="true" outlineLevel="0" collapsed="false">
      <c r="J25" s="83" t="s">
        <v>211</v>
      </c>
      <c r="K25" s="83"/>
      <c r="L25" s="83" t="n">
        <v>4</v>
      </c>
    </row>
    <row r="26" customFormat="false" ht="15" hidden="false" customHeight="true" outlineLevel="0" collapsed="false">
      <c r="J26" s="83" t="s">
        <v>212</v>
      </c>
      <c r="K26" s="83"/>
      <c r="L26" s="83" t="n">
        <v>4</v>
      </c>
    </row>
    <row r="27" customFormat="false" ht="15" hidden="false" customHeight="true" outlineLevel="0" collapsed="false">
      <c r="J27" s="83" t="s">
        <v>213</v>
      </c>
      <c r="K27" s="83"/>
      <c r="L27" s="83" t="n">
        <v>4</v>
      </c>
    </row>
    <row r="28" customFormat="false" ht="15" hidden="false" customHeight="true" outlineLevel="0" collapsed="false">
      <c r="J28" s="83" t="s">
        <v>214</v>
      </c>
      <c r="K28" s="83"/>
      <c r="L28" s="83" t="n">
        <v>4</v>
      </c>
    </row>
    <row r="29" customFormat="false" ht="15" hidden="false" customHeight="true" outlineLevel="0" collapsed="false">
      <c r="J29" s="82" t="s">
        <v>215</v>
      </c>
      <c r="K29" s="82"/>
      <c r="L29" s="82" t="n">
        <f aca="false">SUM(L13:L28)</f>
        <v>36</v>
      </c>
    </row>
  </sheetData>
  <mergeCells count="2">
    <mergeCell ref="A10:F10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340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66" hidden="false" customHeight="true" outlineLevel="0" collapsed="false">
      <c r="A8" s="76" t="s">
        <v>341</v>
      </c>
      <c r="B8" s="76" t="s">
        <v>342</v>
      </c>
      <c r="C8" s="76" t="s">
        <v>343</v>
      </c>
      <c r="D8" s="77" t="n">
        <v>1</v>
      </c>
      <c r="E8" s="77" t="n">
        <v>1</v>
      </c>
      <c r="F8" s="77" t="n">
        <v>0</v>
      </c>
      <c r="G8" s="77" t="n">
        <f aca="false">D8*$D$7+E8*$E$7+F8*$F$7</f>
        <v>4</v>
      </c>
    </row>
    <row r="9" customFormat="false" ht="57" hidden="false" customHeight="true" outlineLevel="0" collapsed="false">
      <c r="A9" s="76" t="s">
        <v>344</v>
      </c>
      <c r="B9" s="76" t="s">
        <v>345</v>
      </c>
      <c r="C9" s="76" t="s">
        <v>346</v>
      </c>
      <c r="D9" s="77" t="n">
        <v>1</v>
      </c>
      <c r="E9" s="77" t="n">
        <v>0</v>
      </c>
      <c r="F9" s="77" t="n">
        <v>0</v>
      </c>
      <c r="G9" s="77" t="n">
        <f aca="false">D9*$D$7+E9*$E$7+F9*$F$7</f>
        <v>1</v>
      </c>
    </row>
    <row r="10" customFormat="false" ht="15" hidden="false" customHeight="true" outlineLevel="0" collapsed="false">
      <c r="A10" s="78" t="s">
        <v>347</v>
      </c>
      <c r="B10" s="78"/>
      <c r="C10" s="78"/>
      <c r="D10" s="78"/>
      <c r="E10" s="78"/>
      <c r="F10" s="78"/>
      <c r="G10" s="79" t="n">
        <f aca="false">SUM(G8:G9)</f>
        <v>5</v>
      </c>
      <c r="J10" s="80"/>
      <c r="K10" s="81"/>
      <c r="L10" s="81"/>
    </row>
    <row r="11" customFormat="false" ht="15" hidden="false" customHeight="true" outlineLevel="0" collapsed="false">
      <c r="J11" s="80" t="s">
        <v>188</v>
      </c>
      <c r="K11" s="80"/>
      <c r="L11" s="80"/>
    </row>
    <row r="12" customFormat="false" ht="15" hidden="false" customHeight="true" outlineLevel="0" collapsed="false">
      <c r="B12" s="0" t="s">
        <v>189</v>
      </c>
      <c r="G12" s="0" t="n">
        <f aca="false">G10</f>
        <v>5</v>
      </c>
      <c r="J12" s="82" t="s">
        <v>190</v>
      </c>
      <c r="K12" s="83"/>
      <c r="L12" s="82" t="s">
        <v>191</v>
      </c>
    </row>
    <row r="13" customFormat="false" ht="15" hidden="false" customHeight="true" outlineLevel="0" collapsed="false">
      <c r="J13" s="83" t="s">
        <v>192</v>
      </c>
      <c r="K13" s="83"/>
      <c r="L13" s="83" t="n">
        <v>0</v>
      </c>
    </row>
    <row r="14" customFormat="false" ht="15" hidden="false" customHeight="true" outlineLevel="0" collapsed="false">
      <c r="B14" s="0" t="s">
        <v>193</v>
      </c>
      <c r="C14" s="84" t="n">
        <f aca="false">'Baseline Productivity '!$C$4</f>
        <v>0.19</v>
      </c>
      <c r="J14" s="83" t="s">
        <v>194</v>
      </c>
      <c r="K14" s="83"/>
      <c r="L14" s="83" t="n">
        <v>0</v>
      </c>
    </row>
    <row r="15" customFormat="false" ht="15" hidden="false" customHeight="true" outlineLevel="0" collapsed="false">
      <c r="B15" s="0" t="s">
        <v>195</v>
      </c>
      <c r="C15" s="0" t="n">
        <f aca="false">G10</f>
        <v>5</v>
      </c>
      <c r="D15" s="0" t="s">
        <v>196</v>
      </c>
      <c r="J15" s="83"/>
      <c r="K15" s="83"/>
      <c r="L15" s="83"/>
    </row>
    <row r="16" customFormat="false" ht="15" hidden="false" customHeight="true" outlineLevel="0" collapsed="false">
      <c r="B16" s="0" t="s">
        <v>197</v>
      </c>
      <c r="C16" s="0" t="n">
        <f aca="false">C15/C14</f>
        <v>26.3157894736842</v>
      </c>
      <c r="D16" s="0" t="s">
        <v>198</v>
      </c>
      <c r="J16" s="83" t="s">
        <v>199</v>
      </c>
      <c r="K16" s="83"/>
      <c r="L16" s="83" t="n">
        <v>0</v>
      </c>
    </row>
    <row r="17" customFormat="false" ht="15" hidden="false" customHeight="true" outlineLevel="0" collapsed="false">
      <c r="B17" s="0" t="s">
        <v>116</v>
      </c>
      <c r="C17" s="0" t="n">
        <f aca="false">0.65+0.01*$L$29</f>
        <v>1.01</v>
      </c>
      <c r="J17" s="83" t="s">
        <v>200</v>
      </c>
      <c r="K17" s="83"/>
      <c r="L17" s="83" t="n">
        <v>3</v>
      </c>
    </row>
    <row r="18" customFormat="false" ht="15" hidden="false" customHeight="true" outlineLevel="0" collapsed="false">
      <c r="B18" s="0" t="s">
        <v>201</v>
      </c>
      <c r="C18" s="0" t="n">
        <v>0.05</v>
      </c>
      <c r="J18" s="83" t="s">
        <v>202</v>
      </c>
      <c r="K18" s="83"/>
      <c r="L18" s="83" t="n">
        <v>4</v>
      </c>
    </row>
    <row r="19" customFormat="false" ht="15" hidden="false" customHeight="true" outlineLevel="0" collapsed="false">
      <c r="B19" s="0" t="s">
        <v>203</v>
      </c>
      <c r="C19" s="0" t="n">
        <v>0.1</v>
      </c>
      <c r="J19" s="83"/>
      <c r="K19" s="83"/>
      <c r="L19" s="83"/>
    </row>
    <row r="20" customFormat="false" ht="15" hidden="false" customHeight="true" outlineLevel="0" collapsed="false">
      <c r="B20" s="0" t="s">
        <v>204</v>
      </c>
      <c r="C20" s="0" t="n">
        <f aca="false">C16*C17*(1+C18+C19)</f>
        <v>30.5657894736842</v>
      </c>
      <c r="D20" s="0" t="s">
        <v>198</v>
      </c>
      <c r="J20" s="83" t="s">
        <v>205</v>
      </c>
      <c r="K20" s="83"/>
      <c r="L20" s="83" t="n">
        <v>3</v>
      </c>
    </row>
    <row r="21" customFormat="false" ht="15" hidden="false" customHeight="true" outlineLevel="0" collapsed="false">
      <c r="J21" s="83" t="s">
        <v>206</v>
      </c>
      <c r="K21" s="83"/>
      <c r="L21" s="83" t="n">
        <v>2</v>
      </c>
    </row>
    <row r="22" customFormat="false" ht="15" hidden="false" customHeight="true" outlineLevel="0" collapsed="false">
      <c r="B22" s="0" t="s">
        <v>207</v>
      </c>
      <c r="C22" s="0" t="n">
        <f aca="false">C20*1.05</f>
        <v>32.0940789473684</v>
      </c>
      <c r="D22" s="0" t="n">
        <f aca="false">C20*0.95</f>
        <v>29.0375</v>
      </c>
      <c r="J22" s="83" t="s">
        <v>208</v>
      </c>
      <c r="K22" s="83"/>
      <c r="L22" s="83" t="n">
        <v>1</v>
      </c>
    </row>
    <row r="23" customFormat="false" ht="15" hidden="false" customHeight="true" outlineLevel="0" collapsed="false">
      <c r="J23" s="83" t="s">
        <v>209</v>
      </c>
      <c r="K23" s="83"/>
      <c r="L23" s="83" t="n">
        <v>3</v>
      </c>
    </row>
    <row r="24" customFormat="false" ht="15" hidden="false" customHeight="true" outlineLevel="0" collapsed="false">
      <c r="J24" s="83" t="s">
        <v>210</v>
      </c>
      <c r="K24" s="83"/>
      <c r="L24" s="83" t="n">
        <v>4</v>
      </c>
    </row>
    <row r="25" customFormat="false" ht="15" hidden="false" customHeight="true" outlineLevel="0" collapsed="false">
      <c r="J25" s="83" t="s">
        <v>211</v>
      </c>
      <c r="K25" s="83"/>
      <c r="L25" s="83" t="n">
        <v>4</v>
      </c>
    </row>
    <row r="26" customFormat="false" ht="15" hidden="false" customHeight="true" outlineLevel="0" collapsed="false">
      <c r="J26" s="83" t="s">
        <v>212</v>
      </c>
      <c r="K26" s="83"/>
      <c r="L26" s="83" t="n">
        <v>4</v>
      </c>
    </row>
    <row r="27" customFormat="false" ht="15" hidden="false" customHeight="true" outlineLevel="0" collapsed="false">
      <c r="J27" s="83" t="s">
        <v>213</v>
      </c>
      <c r="K27" s="83"/>
      <c r="L27" s="83" t="n">
        <v>4</v>
      </c>
    </row>
    <row r="28" customFormat="false" ht="15" hidden="false" customHeight="true" outlineLevel="0" collapsed="false">
      <c r="J28" s="83" t="s">
        <v>214</v>
      </c>
      <c r="K28" s="83"/>
      <c r="L28" s="83" t="n">
        <v>4</v>
      </c>
    </row>
    <row r="29" customFormat="false" ht="15" hidden="false" customHeight="true" outlineLevel="0" collapsed="false">
      <c r="J29" s="82" t="s">
        <v>215</v>
      </c>
      <c r="K29" s="82"/>
      <c r="L29" s="82" t="n">
        <f aca="false">SUM(L13:L28)</f>
        <v>36</v>
      </c>
    </row>
  </sheetData>
  <mergeCells count="2">
    <mergeCell ref="A10:F10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348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02" hidden="false" customHeight="true" outlineLevel="0" collapsed="false">
      <c r="A8" s="76" t="s">
        <v>349</v>
      </c>
      <c r="B8" s="76" t="s">
        <v>350</v>
      </c>
      <c r="C8" s="76" t="s">
        <v>351</v>
      </c>
      <c r="D8" s="77" t="n">
        <v>0</v>
      </c>
      <c r="E8" s="77" t="n">
        <v>0</v>
      </c>
      <c r="F8" s="77" t="n">
        <v>3</v>
      </c>
      <c r="G8" s="77" t="n">
        <f aca="false">D8*$D$7+E8*$E$7+F8*$F$7</f>
        <v>15</v>
      </c>
    </row>
    <row r="9" customFormat="false" ht="15" hidden="false" customHeight="true" outlineLevel="0" collapsed="false">
      <c r="A9" s="78" t="s">
        <v>352</v>
      </c>
      <c r="B9" s="78"/>
      <c r="C9" s="78"/>
      <c r="D9" s="78"/>
      <c r="E9" s="78"/>
      <c r="F9" s="78"/>
      <c r="G9" s="79" t="n">
        <f aca="false">SUM(G8:G8)</f>
        <v>15</v>
      </c>
      <c r="J9" s="80"/>
      <c r="K9" s="81"/>
      <c r="L9" s="81"/>
    </row>
    <row r="10" customFormat="false" ht="15" hidden="false" customHeight="true" outlineLevel="0" collapsed="false">
      <c r="J10" s="80" t="s">
        <v>188</v>
      </c>
      <c r="K10" s="80"/>
      <c r="L10" s="80"/>
    </row>
    <row r="11" customFormat="false" ht="15" hidden="false" customHeight="true" outlineLevel="0" collapsed="false">
      <c r="B11" s="0" t="s">
        <v>189</v>
      </c>
      <c r="G11" s="0" t="n">
        <f aca="false">G9</f>
        <v>15</v>
      </c>
      <c r="J11" s="82" t="s">
        <v>190</v>
      </c>
      <c r="K11" s="83"/>
      <c r="L11" s="82" t="s">
        <v>191</v>
      </c>
    </row>
    <row r="12" customFormat="false" ht="15" hidden="false" customHeight="true" outlineLevel="0" collapsed="false">
      <c r="J12" s="83" t="s">
        <v>192</v>
      </c>
      <c r="K12" s="83"/>
      <c r="L12" s="83" t="n">
        <v>0</v>
      </c>
    </row>
    <row r="13" customFormat="false" ht="15" hidden="false" customHeight="true" outlineLevel="0" collapsed="false">
      <c r="B13" s="0" t="s">
        <v>193</v>
      </c>
      <c r="C13" s="84" t="n">
        <f aca="false">'Baseline Productivity '!$C$4</f>
        <v>0.19</v>
      </c>
      <c r="J13" s="83" t="s">
        <v>194</v>
      </c>
      <c r="K13" s="83"/>
      <c r="L13" s="83" t="n">
        <v>0</v>
      </c>
    </row>
    <row r="14" customFormat="false" ht="15" hidden="false" customHeight="true" outlineLevel="0" collapsed="false">
      <c r="B14" s="0" t="s">
        <v>195</v>
      </c>
      <c r="C14" s="0" t="n">
        <f aca="false">G9</f>
        <v>15</v>
      </c>
      <c r="D14" s="0" t="s">
        <v>196</v>
      </c>
      <c r="J14" s="83"/>
      <c r="K14" s="83"/>
      <c r="L14" s="83"/>
    </row>
    <row r="15" customFormat="false" ht="15" hidden="false" customHeight="true" outlineLevel="0" collapsed="false">
      <c r="B15" s="0" t="s">
        <v>197</v>
      </c>
      <c r="C15" s="0" t="n">
        <f aca="false">C14/C13</f>
        <v>78.9473684210526</v>
      </c>
      <c r="D15" s="0" t="s">
        <v>198</v>
      </c>
      <c r="J15" s="83" t="s">
        <v>199</v>
      </c>
      <c r="K15" s="83"/>
      <c r="L15" s="83" t="n">
        <v>0</v>
      </c>
    </row>
    <row r="16" customFormat="false" ht="15" hidden="false" customHeight="true" outlineLevel="0" collapsed="false">
      <c r="B16" s="0" t="s">
        <v>116</v>
      </c>
      <c r="C16" s="0" t="n">
        <f aca="false">0.65+0.01*$L$28</f>
        <v>1.01</v>
      </c>
      <c r="J16" s="83" t="s">
        <v>200</v>
      </c>
      <c r="K16" s="83"/>
      <c r="L16" s="83" t="n">
        <v>3</v>
      </c>
    </row>
    <row r="17" customFormat="false" ht="15" hidden="false" customHeight="true" outlineLevel="0" collapsed="false">
      <c r="B17" s="0" t="s">
        <v>201</v>
      </c>
      <c r="C17" s="0" t="n">
        <v>0.05</v>
      </c>
      <c r="J17" s="83" t="s">
        <v>202</v>
      </c>
      <c r="K17" s="83"/>
      <c r="L17" s="83" t="n">
        <v>4</v>
      </c>
    </row>
    <row r="18" customFormat="false" ht="15" hidden="false" customHeight="true" outlineLevel="0" collapsed="false">
      <c r="B18" s="0" t="s">
        <v>203</v>
      </c>
      <c r="C18" s="0" t="n">
        <v>0.1</v>
      </c>
      <c r="J18" s="83"/>
      <c r="K18" s="83"/>
      <c r="L18" s="83"/>
    </row>
    <row r="19" customFormat="false" ht="15" hidden="false" customHeight="true" outlineLevel="0" collapsed="false">
      <c r="B19" s="0" t="s">
        <v>204</v>
      </c>
      <c r="C19" s="0" t="n">
        <f aca="false">C15*C16*(1+C17+C18)</f>
        <v>91.6973684210526</v>
      </c>
      <c r="D19" s="0" t="s">
        <v>198</v>
      </c>
      <c r="J19" s="83" t="s">
        <v>205</v>
      </c>
      <c r="K19" s="83"/>
      <c r="L19" s="83" t="n">
        <v>3</v>
      </c>
    </row>
    <row r="20" customFormat="false" ht="15" hidden="false" customHeight="true" outlineLevel="0" collapsed="false">
      <c r="J20" s="83" t="s">
        <v>206</v>
      </c>
      <c r="K20" s="83"/>
      <c r="L20" s="83" t="n">
        <v>2</v>
      </c>
    </row>
    <row r="21" customFormat="false" ht="15" hidden="false" customHeight="true" outlineLevel="0" collapsed="false">
      <c r="B21" s="0" t="s">
        <v>207</v>
      </c>
      <c r="C21" s="0" t="n">
        <f aca="false">C19*1.05</f>
        <v>96.2822368421053</v>
      </c>
      <c r="D21" s="0" t="n">
        <f aca="false">C19*0.95</f>
        <v>87.1125</v>
      </c>
      <c r="J21" s="83" t="s">
        <v>208</v>
      </c>
      <c r="K21" s="83"/>
      <c r="L21" s="83" t="n">
        <v>1</v>
      </c>
    </row>
    <row r="22" customFormat="false" ht="15" hidden="false" customHeight="true" outlineLevel="0" collapsed="false">
      <c r="J22" s="83" t="s">
        <v>209</v>
      </c>
      <c r="K22" s="83"/>
      <c r="L22" s="83" t="n">
        <v>3</v>
      </c>
    </row>
    <row r="23" customFormat="false" ht="15" hidden="false" customHeight="true" outlineLevel="0" collapsed="false">
      <c r="J23" s="83" t="s">
        <v>210</v>
      </c>
      <c r="K23" s="83"/>
      <c r="L23" s="83" t="n">
        <v>4</v>
      </c>
    </row>
    <row r="24" customFormat="false" ht="15" hidden="false" customHeight="true" outlineLevel="0" collapsed="false">
      <c r="J24" s="83" t="s">
        <v>211</v>
      </c>
      <c r="K24" s="83"/>
      <c r="L24" s="83" t="n">
        <v>4</v>
      </c>
    </row>
    <row r="25" customFormat="false" ht="15" hidden="false" customHeight="true" outlineLevel="0" collapsed="false">
      <c r="J25" s="83" t="s">
        <v>212</v>
      </c>
      <c r="K25" s="83"/>
      <c r="L25" s="83" t="n">
        <v>4</v>
      </c>
    </row>
    <row r="26" customFormat="false" ht="15" hidden="false" customHeight="true" outlineLevel="0" collapsed="false">
      <c r="J26" s="83" t="s">
        <v>213</v>
      </c>
      <c r="K26" s="83"/>
      <c r="L26" s="83" t="n">
        <v>4</v>
      </c>
    </row>
    <row r="27" customFormat="false" ht="15" hidden="false" customHeight="true" outlineLevel="0" collapsed="false">
      <c r="J27" s="83" t="s">
        <v>214</v>
      </c>
      <c r="K27" s="83"/>
      <c r="L27" s="83" t="n">
        <v>4</v>
      </c>
    </row>
    <row r="28" customFormat="false" ht="15" hidden="false" customHeight="true" outlineLevel="0" collapsed="false">
      <c r="J28" s="82" t="s">
        <v>215</v>
      </c>
      <c r="K28" s="82"/>
      <c r="L28" s="82" t="n">
        <f aca="false">SUM(L12:L27)</f>
        <v>36</v>
      </c>
    </row>
  </sheetData>
  <mergeCells count="2">
    <mergeCell ref="A9:F9"/>
    <mergeCell ref="J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353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78" hidden="false" customHeight="true" outlineLevel="0" collapsed="false">
      <c r="A8" s="76" t="s">
        <v>354</v>
      </c>
      <c r="B8" s="76" t="s">
        <v>355</v>
      </c>
      <c r="C8" s="76" t="s">
        <v>356</v>
      </c>
      <c r="D8" s="77" t="n">
        <v>0</v>
      </c>
      <c r="E8" s="77" t="n">
        <v>0</v>
      </c>
      <c r="F8" s="77" t="n">
        <v>2</v>
      </c>
      <c r="G8" s="77" t="n">
        <f aca="false">D8*$D$7+E8*$E$7+F8*$F$7</f>
        <v>10</v>
      </c>
    </row>
    <row r="9" customFormat="false" ht="57" hidden="false" customHeight="true" outlineLevel="0" collapsed="false">
      <c r="A9" s="76" t="s">
        <v>357</v>
      </c>
      <c r="B9" s="76" t="s">
        <v>358</v>
      </c>
      <c r="C9" s="76" t="s">
        <v>359</v>
      </c>
      <c r="D9" s="77" t="n">
        <v>0</v>
      </c>
      <c r="E9" s="77" t="n">
        <v>0</v>
      </c>
      <c r="F9" s="77" t="n">
        <v>1</v>
      </c>
      <c r="G9" s="77" t="n">
        <f aca="false">D9*$D$7+E9*$E$7+F9*$F$7</f>
        <v>5</v>
      </c>
    </row>
    <row r="10" customFormat="false" ht="15" hidden="false" customHeight="true" outlineLevel="0" collapsed="false">
      <c r="A10" s="78" t="s">
        <v>360</v>
      </c>
      <c r="B10" s="78"/>
      <c r="C10" s="78"/>
      <c r="D10" s="78"/>
      <c r="E10" s="78"/>
      <c r="F10" s="78"/>
      <c r="G10" s="79" t="n">
        <f aca="false">SUM(G8:G9)</f>
        <v>15</v>
      </c>
      <c r="J10" s="80"/>
      <c r="K10" s="81"/>
      <c r="L10" s="81"/>
    </row>
    <row r="11" customFormat="false" ht="15" hidden="false" customHeight="true" outlineLevel="0" collapsed="false">
      <c r="J11" s="80" t="s">
        <v>188</v>
      </c>
      <c r="K11" s="80"/>
      <c r="L11" s="80"/>
    </row>
    <row r="12" customFormat="false" ht="15" hidden="false" customHeight="true" outlineLevel="0" collapsed="false">
      <c r="B12" s="0" t="s">
        <v>189</v>
      </c>
      <c r="G12" s="0" t="n">
        <f aca="false">G10</f>
        <v>15</v>
      </c>
      <c r="J12" s="82" t="s">
        <v>190</v>
      </c>
      <c r="K12" s="83"/>
      <c r="L12" s="82" t="s">
        <v>191</v>
      </c>
    </row>
    <row r="13" customFormat="false" ht="15" hidden="false" customHeight="true" outlineLevel="0" collapsed="false">
      <c r="J13" s="83" t="s">
        <v>192</v>
      </c>
      <c r="K13" s="83"/>
      <c r="L13" s="83" t="n">
        <v>0</v>
      </c>
    </row>
    <row r="14" customFormat="false" ht="15" hidden="false" customHeight="true" outlineLevel="0" collapsed="false">
      <c r="B14" s="0" t="s">
        <v>193</v>
      </c>
      <c r="C14" s="84" t="n">
        <f aca="false">'Baseline Productivity '!$C$4</f>
        <v>0.19</v>
      </c>
      <c r="J14" s="83" t="s">
        <v>194</v>
      </c>
      <c r="K14" s="83"/>
      <c r="L14" s="83" t="n">
        <v>0</v>
      </c>
    </row>
    <row r="15" customFormat="false" ht="15" hidden="false" customHeight="true" outlineLevel="0" collapsed="false">
      <c r="B15" s="0" t="s">
        <v>195</v>
      </c>
      <c r="C15" s="0" t="n">
        <f aca="false">G10</f>
        <v>15</v>
      </c>
      <c r="D15" s="0" t="s">
        <v>196</v>
      </c>
      <c r="J15" s="83"/>
      <c r="K15" s="83"/>
      <c r="L15" s="83"/>
    </row>
    <row r="16" customFormat="false" ht="15" hidden="false" customHeight="true" outlineLevel="0" collapsed="false">
      <c r="B16" s="0" t="s">
        <v>197</v>
      </c>
      <c r="C16" s="0" t="n">
        <f aca="false">C15/C14</f>
        <v>78.9473684210526</v>
      </c>
      <c r="D16" s="0" t="s">
        <v>198</v>
      </c>
      <c r="J16" s="83" t="s">
        <v>199</v>
      </c>
      <c r="K16" s="83"/>
      <c r="L16" s="83" t="n">
        <v>0</v>
      </c>
    </row>
    <row r="17" customFormat="false" ht="15" hidden="false" customHeight="true" outlineLevel="0" collapsed="false">
      <c r="B17" s="0" t="s">
        <v>116</v>
      </c>
      <c r="C17" s="0" t="n">
        <f aca="false">0.65+0.01*$L$29</f>
        <v>1.01</v>
      </c>
      <c r="J17" s="83" t="s">
        <v>200</v>
      </c>
      <c r="K17" s="83"/>
      <c r="L17" s="83" t="n">
        <v>3</v>
      </c>
    </row>
    <row r="18" customFormat="false" ht="15" hidden="false" customHeight="true" outlineLevel="0" collapsed="false">
      <c r="B18" s="0" t="s">
        <v>201</v>
      </c>
      <c r="C18" s="0" t="n">
        <v>0.05</v>
      </c>
      <c r="J18" s="83" t="s">
        <v>202</v>
      </c>
      <c r="K18" s="83"/>
      <c r="L18" s="83" t="n">
        <v>4</v>
      </c>
    </row>
    <row r="19" customFormat="false" ht="15" hidden="false" customHeight="true" outlineLevel="0" collapsed="false">
      <c r="B19" s="0" t="s">
        <v>203</v>
      </c>
      <c r="C19" s="0" t="n">
        <v>0.1</v>
      </c>
      <c r="J19" s="83"/>
      <c r="K19" s="83"/>
      <c r="L19" s="83"/>
    </row>
    <row r="20" customFormat="false" ht="15" hidden="false" customHeight="true" outlineLevel="0" collapsed="false">
      <c r="B20" s="0" t="s">
        <v>204</v>
      </c>
      <c r="C20" s="0" t="n">
        <f aca="false">C16*C17*(1+C18+C19)</f>
        <v>91.6973684210526</v>
      </c>
      <c r="D20" s="0" t="s">
        <v>198</v>
      </c>
      <c r="J20" s="83" t="s">
        <v>205</v>
      </c>
      <c r="K20" s="83"/>
      <c r="L20" s="83" t="n">
        <v>3</v>
      </c>
    </row>
    <row r="21" customFormat="false" ht="15" hidden="false" customHeight="true" outlineLevel="0" collapsed="false">
      <c r="J21" s="83" t="s">
        <v>206</v>
      </c>
      <c r="K21" s="83"/>
      <c r="L21" s="83" t="n">
        <v>2</v>
      </c>
    </row>
    <row r="22" customFormat="false" ht="15" hidden="false" customHeight="true" outlineLevel="0" collapsed="false">
      <c r="B22" s="0" t="s">
        <v>207</v>
      </c>
      <c r="C22" s="0" t="n">
        <f aca="false">C20*1.05</f>
        <v>96.2822368421053</v>
      </c>
      <c r="D22" s="0" t="n">
        <f aca="false">C20*0.95</f>
        <v>87.1125</v>
      </c>
      <c r="J22" s="83" t="s">
        <v>208</v>
      </c>
      <c r="K22" s="83"/>
      <c r="L22" s="83" t="n">
        <v>1</v>
      </c>
    </row>
    <row r="23" customFormat="false" ht="15" hidden="false" customHeight="true" outlineLevel="0" collapsed="false">
      <c r="J23" s="83" t="s">
        <v>209</v>
      </c>
      <c r="K23" s="83"/>
      <c r="L23" s="83" t="n">
        <v>3</v>
      </c>
    </row>
    <row r="24" customFormat="false" ht="15" hidden="false" customHeight="true" outlineLevel="0" collapsed="false">
      <c r="J24" s="83" t="s">
        <v>210</v>
      </c>
      <c r="K24" s="83"/>
      <c r="L24" s="83" t="n">
        <v>4</v>
      </c>
    </row>
    <row r="25" customFormat="false" ht="15" hidden="false" customHeight="true" outlineLevel="0" collapsed="false">
      <c r="J25" s="83" t="s">
        <v>211</v>
      </c>
      <c r="K25" s="83"/>
      <c r="L25" s="83" t="n">
        <v>4</v>
      </c>
    </row>
    <row r="26" customFormat="false" ht="15" hidden="false" customHeight="true" outlineLevel="0" collapsed="false">
      <c r="J26" s="83" t="s">
        <v>212</v>
      </c>
      <c r="K26" s="83"/>
      <c r="L26" s="83" t="n">
        <v>4</v>
      </c>
    </row>
    <row r="27" customFormat="false" ht="15" hidden="false" customHeight="true" outlineLevel="0" collapsed="false">
      <c r="J27" s="83" t="s">
        <v>213</v>
      </c>
      <c r="K27" s="83"/>
      <c r="L27" s="83" t="n">
        <v>4</v>
      </c>
    </row>
    <row r="28" customFormat="false" ht="15" hidden="false" customHeight="true" outlineLevel="0" collapsed="false">
      <c r="J28" s="83" t="s">
        <v>214</v>
      </c>
      <c r="K28" s="83"/>
      <c r="L28" s="83" t="n">
        <v>4</v>
      </c>
    </row>
    <row r="29" customFormat="false" ht="15" hidden="false" customHeight="true" outlineLevel="0" collapsed="false">
      <c r="J29" s="82" t="s">
        <v>215</v>
      </c>
      <c r="K29" s="82"/>
      <c r="L29" s="82" t="n">
        <f aca="false">SUM(L13:L28)</f>
        <v>36</v>
      </c>
    </row>
  </sheetData>
  <mergeCells count="2">
    <mergeCell ref="A10:F10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361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02" hidden="false" customHeight="true" outlineLevel="0" collapsed="false">
      <c r="A8" s="76" t="s">
        <v>362</v>
      </c>
      <c r="B8" s="76" t="s">
        <v>363</v>
      </c>
      <c r="C8" s="76" t="s">
        <v>364</v>
      </c>
      <c r="D8" s="77" t="n">
        <v>0</v>
      </c>
      <c r="E8" s="77" t="n">
        <v>0</v>
      </c>
      <c r="F8" s="77" t="n">
        <v>3</v>
      </c>
      <c r="G8" s="77" t="n">
        <f aca="false">D8*$D$7+E8*$E$7+F8*$F$7</f>
        <v>15</v>
      </c>
    </row>
    <row r="9" customFormat="false" ht="78" hidden="false" customHeight="true" outlineLevel="0" collapsed="false">
      <c r="A9" s="76" t="s">
        <v>365</v>
      </c>
      <c r="B9" s="76" t="s">
        <v>366</v>
      </c>
      <c r="C9" s="76" t="s">
        <v>367</v>
      </c>
      <c r="D9" s="77" t="n">
        <v>0</v>
      </c>
      <c r="E9" s="77" t="n">
        <v>2</v>
      </c>
      <c r="F9" s="77" t="n">
        <v>0</v>
      </c>
      <c r="G9" s="77" t="n">
        <f aca="false">D9*$D$7+E9*$E$7+F9*$F$7</f>
        <v>6</v>
      </c>
    </row>
    <row r="10" customFormat="false" ht="15" hidden="false" customHeight="true" outlineLevel="0" collapsed="false">
      <c r="A10" s="78" t="s">
        <v>368</v>
      </c>
      <c r="B10" s="78"/>
      <c r="C10" s="78"/>
      <c r="D10" s="78"/>
      <c r="E10" s="78"/>
      <c r="F10" s="78"/>
      <c r="G10" s="79" t="n">
        <f aca="false">SUM(G8:G9)</f>
        <v>21</v>
      </c>
      <c r="J10" s="80"/>
      <c r="K10" s="81"/>
      <c r="L10" s="81"/>
    </row>
    <row r="11" customFormat="false" ht="15" hidden="false" customHeight="true" outlineLevel="0" collapsed="false">
      <c r="J11" s="80" t="s">
        <v>188</v>
      </c>
      <c r="K11" s="80"/>
      <c r="L11" s="80"/>
    </row>
    <row r="12" customFormat="false" ht="15" hidden="false" customHeight="true" outlineLevel="0" collapsed="false">
      <c r="B12" s="0" t="s">
        <v>189</v>
      </c>
      <c r="G12" s="0" t="n">
        <f aca="false">G10</f>
        <v>21</v>
      </c>
      <c r="J12" s="82" t="s">
        <v>190</v>
      </c>
      <c r="K12" s="83"/>
      <c r="L12" s="82" t="s">
        <v>191</v>
      </c>
    </row>
    <row r="13" customFormat="false" ht="15" hidden="false" customHeight="true" outlineLevel="0" collapsed="false">
      <c r="J13" s="83" t="s">
        <v>192</v>
      </c>
      <c r="K13" s="83"/>
      <c r="L13" s="83" t="n">
        <v>0</v>
      </c>
    </row>
    <row r="14" customFormat="false" ht="15" hidden="false" customHeight="true" outlineLevel="0" collapsed="false">
      <c r="B14" s="0" t="s">
        <v>193</v>
      </c>
      <c r="C14" s="84" t="n">
        <f aca="false">'Baseline Productivity '!$C$4</f>
        <v>0.19</v>
      </c>
      <c r="J14" s="83" t="s">
        <v>194</v>
      </c>
      <c r="K14" s="83"/>
      <c r="L14" s="83" t="n">
        <v>0</v>
      </c>
    </row>
    <row r="15" customFormat="false" ht="15" hidden="false" customHeight="true" outlineLevel="0" collapsed="false">
      <c r="B15" s="0" t="s">
        <v>195</v>
      </c>
      <c r="C15" s="0" t="n">
        <f aca="false">G10</f>
        <v>21</v>
      </c>
      <c r="D15" s="0" t="s">
        <v>196</v>
      </c>
      <c r="J15" s="83"/>
      <c r="K15" s="83"/>
      <c r="L15" s="83"/>
    </row>
    <row r="16" customFormat="false" ht="15" hidden="false" customHeight="true" outlineLevel="0" collapsed="false">
      <c r="B16" s="0" t="s">
        <v>197</v>
      </c>
      <c r="C16" s="0" t="n">
        <f aca="false">C15/C14</f>
        <v>110.526315789474</v>
      </c>
      <c r="D16" s="0" t="s">
        <v>198</v>
      </c>
      <c r="J16" s="83" t="s">
        <v>199</v>
      </c>
      <c r="K16" s="83"/>
      <c r="L16" s="83" t="n">
        <v>0</v>
      </c>
    </row>
    <row r="17" customFormat="false" ht="15" hidden="false" customHeight="true" outlineLevel="0" collapsed="false">
      <c r="B17" s="0" t="s">
        <v>116</v>
      </c>
      <c r="C17" s="0" t="n">
        <f aca="false">0.65+0.01*$L$29</f>
        <v>1.01</v>
      </c>
      <c r="J17" s="83" t="s">
        <v>200</v>
      </c>
      <c r="K17" s="83"/>
      <c r="L17" s="83" t="n">
        <v>3</v>
      </c>
    </row>
    <row r="18" customFormat="false" ht="15" hidden="false" customHeight="true" outlineLevel="0" collapsed="false">
      <c r="B18" s="0" t="s">
        <v>201</v>
      </c>
      <c r="C18" s="0" t="n">
        <v>0.05</v>
      </c>
      <c r="J18" s="83" t="s">
        <v>202</v>
      </c>
      <c r="K18" s="83"/>
      <c r="L18" s="83" t="n">
        <v>4</v>
      </c>
    </row>
    <row r="19" customFormat="false" ht="15" hidden="false" customHeight="true" outlineLevel="0" collapsed="false">
      <c r="B19" s="0" t="s">
        <v>203</v>
      </c>
      <c r="C19" s="0" t="n">
        <v>0.1</v>
      </c>
      <c r="J19" s="83"/>
      <c r="K19" s="83"/>
      <c r="L19" s="83"/>
    </row>
    <row r="20" customFormat="false" ht="15" hidden="false" customHeight="true" outlineLevel="0" collapsed="false">
      <c r="B20" s="0" t="s">
        <v>204</v>
      </c>
      <c r="C20" s="0" t="n">
        <f aca="false">C16*C17*(1+C18+C19)</f>
        <v>128.376315789474</v>
      </c>
      <c r="D20" s="0" t="s">
        <v>198</v>
      </c>
      <c r="J20" s="83" t="s">
        <v>205</v>
      </c>
      <c r="K20" s="83"/>
      <c r="L20" s="83" t="n">
        <v>3</v>
      </c>
    </row>
    <row r="21" customFormat="false" ht="15" hidden="false" customHeight="true" outlineLevel="0" collapsed="false">
      <c r="J21" s="83" t="s">
        <v>206</v>
      </c>
      <c r="K21" s="83"/>
      <c r="L21" s="83" t="n">
        <v>2</v>
      </c>
    </row>
    <row r="22" customFormat="false" ht="15" hidden="false" customHeight="true" outlineLevel="0" collapsed="false">
      <c r="B22" s="0" t="s">
        <v>207</v>
      </c>
      <c r="C22" s="0" t="n">
        <f aca="false">C20*1.05</f>
        <v>134.795131578947</v>
      </c>
      <c r="D22" s="0" t="n">
        <f aca="false">C20*0.95</f>
        <v>121.9575</v>
      </c>
      <c r="J22" s="83" t="s">
        <v>208</v>
      </c>
      <c r="K22" s="83"/>
      <c r="L22" s="83" t="n">
        <v>1</v>
      </c>
    </row>
    <row r="23" customFormat="false" ht="15" hidden="false" customHeight="true" outlineLevel="0" collapsed="false">
      <c r="J23" s="83" t="s">
        <v>209</v>
      </c>
      <c r="K23" s="83"/>
      <c r="L23" s="83" t="n">
        <v>3</v>
      </c>
    </row>
    <row r="24" customFormat="false" ht="15" hidden="false" customHeight="true" outlineLevel="0" collapsed="false">
      <c r="J24" s="83" t="s">
        <v>210</v>
      </c>
      <c r="K24" s="83"/>
      <c r="L24" s="83" t="n">
        <v>4</v>
      </c>
    </row>
    <row r="25" customFormat="false" ht="15" hidden="false" customHeight="true" outlineLevel="0" collapsed="false">
      <c r="J25" s="83" t="s">
        <v>211</v>
      </c>
      <c r="K25" s="83"/>
      <c r="L25" s="83" t="n">
        <v>4</v>
      </c>
    </row>
    <row r="26" customFormat="false" ht="15" hidden="false" customHeight="true" outlineLevel="0" collapsed="false">
      <c r="J26" s="83" t="s">
        <v>212</v>
      </c>
      <c r="K26" s="83"/>
      <c r="L26" s="83" t="n">
        <v>4</v>
      </c>
    </row>
    <row r="27" customFormat="false" ht="15" hidden="false" customHeight="true" outlineLevel="0" collapsed="false">
      <c r="J27" s="83" t="s">
        <v>213</v>
      </c>
      <c r="K27" s="83"/>
      <c r="L27" s="83" t="n">
        <v>4</v>
      </c>
    </row>
    <row r="28" customFormat="false" ht="15" hidden="false" customHeight="true" outlineLevel="0" collapsed="false">
      <c r="J28" s="83" t="s">
        <v>214</v>
      </c>
      <c r="K28" s="83"/>
      <c r="L28" s="83" t="n">
        <v>4</v>
      </c>
    </row>
    <row r="29" customFormat="false" ht="15" hidden="false" customHeight="true" outlineLevel="0" collapsed="false">
      <c r="J29" s="82" t="s">
        <v>215</v>
      </c>
      <c r="K29" s="82"/>
      <c r="L29" s="82" t="n">
        <f aca="false">SUM(L13:L28)</f>
        <v>36</v>
      </c>
    </row>
  </sheetData>
  <mergeCells count="2">
    <mergeCell ref="A10:F10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369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102" hidden="false" customHeight="true" outlineLevel="0" collapsed="false">
      <c r="A8" s="76" t="s">
        <v>370</v>
      </c>
      <c r="B8" s="76" t="s">
        <v>371</v>
      </c>
      <c r="C8" s="76" t="s">
        <v>372</v>
      </c>
      <c r="D8" s="77" t="n">
        <v>0</v>
      </c>
      <c r="E8" s="77" t="n">
        <v>1</v>
      </c>
      <c r="F8" s="77" t="n">
        <v>2</v>
      </c>
      <c r="G8" s="77" t="n">
        <f aca="false">D8*$D$7+E8*$E$7+F8*$F$7</f>
        <v>13</v>
      </c>
    </row>
    <row r="9" customFormat="false" ht="78" hidden="false" customHeight="true" outlineLevel="0" collapsed="false">
      <c r="A9" s="76" t="s">
        <v>373</v>
      </c>
      <c r="B9" s="76" t="s">
        <v>374</v>
      </c>
      <c r="C9" s="76" t="s">
        <v>375</v>
      </c>
      <c r="D9" s="77" t="n">
        <v>0</v>
      </c>
      <c r="E9" s="77" t="n">
        <v>1</v>
      </c>
      <c r="F9" s="77" t="n">
        <v>1</v>
      </c>
      <c r="G9" s="77" t="n">
        <f aca="false">D9*$D$7+E9*$E$7+F9*$F$7</f>
        <v>8</v>
      </c>
    </row>
    <row r="10" customFormat="false" ht="15" hidden="false" customHeight="true" outlineLevel="0" collapsed="false">
      <c r="A10" s="78" t="s">
        <v>376</v>
      </c>
      <c r="B10" s="78"/>
      <c r="C10" s="78"/>
      <c r="D10" s="78"/>
      <c r="E10" s="78"/>
      <c r="F10" s="78"/>
      <c r="G10" s="79" t="n">
        <f aca="false">SUM(G8:G9)</f>
        <v>21</v>
      </c>
      <c r="J10" s="80"/>
      <c r="K10" s="81"/>
      <c r="L10" s="81"/>
    </row>
    <row r="11" customFormat="false" ht="15" hidden="false" customHeight="true" outlineLevel="0" collapsed="false">
      <c r="J11" s="80" t="s">
        <v>188</v>
      </c>
      <c r="K11" s="80"/>
      <c r="L11" s="80"/>
    </row>
    <row r="12" customFormat="false" ht="15" hidden="false" customHeight="true" outlineLevel="0" collapsed="false">
      <c r="B12" s="0" t="s">
        <v>189</v>
      </c>
      <c r="G12" s="0" t="n">
        <f aca="false">G10</f>
        <v>21</v>
      </c>
      <c r="J12" s="82" t="s">
        <v>190</v>
      </c>
      <c r="K12" s="83"/>
      <c r="L12" s="82" t="s">
        <v>191</v>
      </c>
    </row>
    <row r="13" customFormat="false" ht="15" hidden="false" customHeight="true" outlineLevel="0" collapsed="false">
      <c r="J13" s="83" t="s">
        <v>192</v>
      </c>
      <c r="K13" s="83"/>
      <c r="L13" s="83" t="n">
        <v>0</v>
      </c>
    </row>
    <row r="14" customFormat="false" ht="15" hidden="false" customHeight="true" outlineLevel="0" collapsed="false">
      <c r="B14" s="0" t="s">
        <v>193</v>
      </c>
      <c r="C14" s="84" t="n">
        <f aca="false">'Baseline Productivity '!$C$4</f>
        <v>0.19</v>
      </c>
      <c r="J14" s="83" t="s">
        <v>194</v>
      </c>
      <c r="K14" s="83"/>
      <c r="L14" s="83" t="n">
        <v>0</v>
      </c>
    </row>
    <row r="15" customFormat="false" ht="15" hidden="false" customHeight="true" outlineLevel="0" collapsed="false">
      <c r="B15" s="0" t="s">
        <v>195</v>
      </c>
      <c r="C15" s="0" t="n">
        <f aca="false">G10</f>
        <v>21</v>
      </c>
      <c r="D15" s="0" t="s">
        <v>196</v>
      </c>
      <c r="J15" s="83"/>
      <c r="K15" s="83"/>
      <c r="L15" s="83"/>
    </row>
    <row r="16" customFormat="false" ht="15" hidden="false" customHeight="true" outlineLevel="0" collapsed="false">
      <c r="B16" s="0" t="s">
        <v>197</v>
      </c>
      <c r="C16" s="0" t="n">
        <f aca="false">C15/C14</f>
        <v>110.526315789474</v>
      </c>
      <c r="D16" s="0" t="s">
        <v>198</v>
      </c>
      <c r="J16" s="83" t="s">
        <v>199</v>
      </c>
      <c r="K16" s="83"/>
      <c r="L16" s="83" t="n">
        <v>0</v>
      </c>
    </row>
    <row r="17" customFormat="false" ht="15" hidden="false" customHeight="true" outlineLevel="0" collapsed="false">
      <c r="B17" s="0" t="s">
        <v>116</v>
      </c>
      <c r="C17" s="0" t="n">
        <f aca="false">0.65+0.01*$L$29</f>
        <v>1.01</v>
      </c>
      <c r="J17" s="83" t="s">
        <v>200</v>
      </c>
      <c r="K17" s="83"/>
      <c r="L17" s="83" t="n">
        <v>3</v>
      </c>
    </row>
    <row r="18" customFormat="false" ht="15" hidden="false" customHeight="true" outlineLevel="0" collapsed="false">
      <c r="B18" s="0" t="s">
        <v>201</v>
      </c>
      <c r="C18" s="0" t="n">
        <v>0.05</v>
      </c>
      <c r="J18" s="83" t="s">
        <v>202</v>
      </c>
      <c r="K18" s="83"/>
      <c r="L18" s="83" t="n">
        <v>4</v>
      </c>
    </row>
    <row r="19" customFormat="false" ht="15" hidden="false" customHeight="true" outlineLevel="0" collapsed="false">
      <c r="B19" s="0" t="s">
        <v>203</v>
      </c>
      <c r="C19" s="0" t="n">
        <v>0.1</v>
      </c>
      <c r="J19" s="83"/>
      <c r="K19" s="83"/>
      <c r="L19" s="83"/>
    </row>
    <row r="20" customFormat="false" ht="15" hidden="false" customHeight="true" outlineLevel="0" collapsed="false">
      <c r="B20" s="0" t="s">
        <v>204</v>
      </c>
      <c r="C20" s="0" t="n">
        <f aca="false">C16*C17*(1+C18+C19)</f>
        <v>128.376315789474</v>
      </c>
      <c r="D20" s="0" t="s">
        <v>198</v>
      </c>
      <c r="J20" s="83" t="s">
        <v>205</v>
      </c>
      <c r="K20" s="83"/>
      <c r="L20" s="83" t="n">
        <v>3</v>
      </c>
    </row>
    <row r="21" customFormat="false" ht="15" hidden="false" customHeight="true" outlineLevel="0" collapsed="false">
      <c r="J21" s="83" t="s">
        <v>206</v>
      </c>
      <c r="K21" s="83"/>
      <c r="L21" s="83" t="n">
        <v>2</v>
      </c>
    </row>
    <row r="22" customFormat="false" ht="15" hidden="false" customHeight="true" outlineLevel="0" collapsed="false">
      <c r="B22" s="0" t="s">
        <v>207</v>
      </c>
      <c r="C22" s="0" t="n">
        <f aca="false">C20*1.05</f>
        <v>134.795131578947</v>
      </c>
      <c r="D22" s="0" t="n">
        <f aca="false">C20*0.95</f>
        <v>121.9575</v>
      </c>
      <c r="J22" s="83" t="s">
        <v>208</v>
      </c>
      <c r="K22" s="83"/>
      <c r="L22" s="83" t="n">
        <v>1</v>
      </c>
    </row>
    <row r="23" customFormat="false" ht="15" hidden="false" customHeight="true" outlineLevel="0" collapsed="false">
      <c r="J23" s="83" t="s">
        <v>209</v>
      </c>
      <c r="K23" s="83"/>
      <c r="L23" s="83" t="n">
        <v>3</v>
      </c>
    </row>
    <row r="24" customFormat="false" ht="15" hidden="false" customHeight="true" outlineLevel="0" collapsed="false">
      <c r="J24" s="83" t="s">
        <v>210</v>
      </c>
      <c r="K24" s="83"/>
      <c r="L24" s="83" t="n">
        <v>4</v>
      </c>
    </row>
    <row r="25" customFormat="false" ht="15" hidden="false" customHeight="true" outlineLevel="0" collapsed="false">
      <c r="J25" s="83" t="s">
        <v>211</v>
      </c>
      <c r="K25" s="83"/>
      <c r="L25" s="83" t="n">
        <v>4</v>
      </c>
    </row>
    <row r="26" customFormat="false" ht="15" hidden="false" customHeight="true" outlineLevel="0" collapsed="false">
      <c r="J26" s="83" t="s">
        <v>212</v>
      </c>
      <c r="K26" s="83"/>
      <c r="L26" s="83" t="n">
        <v>4</v>
      </c>
    </row>
    <row r="27" customFormat="false" ht="15" hidden="false" customHeight="true" outlineLevel="0" collapsed="false">
      <c r="J27" s="83" t="s">
        <v>213</v>
      </c>
      <c r="K27" s="83"/>
      <c r="L27" s="83" t="n">
        <v>4</v>
      </c>
    </row>
    <row r="28" customFormat="false" ht="15" hidden="false" customHeight="true" outlineLevel="0" collapsed="false">
      <c r="J28" s="83" t="s">
        <v>214</v>
      </c>
      <c r="K28" s="83"/>
      <c r="L28" s="83" t="n">
        <v>4</v>
      </c>
    </row>
    <row r="29" customFormat="false" ht="15" hidden="false" customHeight="true" outlineLevel="0" collapsed="false">
      <c r="J29" s="82" t="s">
        <v>215</v>
      </c>
      <c r="K29" s="82"/>
      <c r="L29" s="82" t="n">
        <f aca="false">SUM(L13:L28)</f>
        <v>36</v>
      </c>
    </row>
  </sheetData>
  <mergeCells count="2">
    <mergeCell ref="A10:F10"/>
    <mergeCell ref="J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B1" s="0" t="s">
        <v>148</v>
      </c>
      <c r="C1" s="0" t="s">
        <v>149</v>
      </c>
      <c r="D1" s="0" t="s">
        <v>17</v>
      </c>
    </row>
    <row r="2" customFormat="false" ht="15" hidden="false" customHeight="false" outlineLevel="0" collapsed="false">
      <c r="B2" s="0" t="s">
        <v>150</v>
      </c>
      <c r="C2" s="0" t="s">
        <v>151</v>
      </c>
    </row>
    <row r="3" customFormat="false" ht="15" hidden="false" customHeight="false" outlineLevel="0" collapsed="false">
      <c r="B3" s="0" t="s">
        <v>152</v>
      </c>
      <c r="C3" s="0" t="s">
        <v>377</v>
      </c>
    </row>
    <row r="5" customFormat="false" ht="15" hidden="false" customHeight="false" outlineLevel="0" collapsed="false">
      <c r="D5" s="0" t="s">
        <v>154</v>
      </c>
      <c r="H5" s="0" t="s">
        <v>155</v>
      </c>
    </row>
    <row r="6" customFormat="false" ht="39" hidden="false" customHeight="true" outlineLevel="0" collapsed="false">
      <c r="A6" s="74" t="s">
        <v>156</v>
      </c>
      <c r="B6" s="74" t="s">
        <v>157</v>
      </c>
      <c r="C6" s="74" t="s">
        <v>158</v>
      </c>
      <c r="D6" s="74" t="s">
        <v>159</v>
      </c>
      <c r="E6" s="74" t="s">
        <v>160</v>
      </c>
      <c r="F6" s="74" t="s">
        <v>161</v>
      </c>
      <c r="G6" s="74" t="s">
        <v>162</v>
      </c>
      <c r="H6" s="74" t="s">
        <v>159</v>
      </c>
      <c r="I6" s="74" t="s">
        <v>160</v>
      </c>
      <c r="J6" s="74" t="s">
        <v>161</v>
      </c>
    </row>
    <row r="7" customFormat="false" ht="15" hidden="false" customHeight="false" outlineLevel="0" collapsed="false">
      <c r="D7" s="75" t="n">
        <v>1</v>
      </c>
      <c r="E7" s="75" t="n">
        <v>3</v>
      </c>
      <c r="F7" s="75" t="n">
        <v>5</v>
      </c>
    </row>
    <row r="8" customFormat="false" ht="66" hidden="false" customHeight="true" outlineLevel="0" collapsed="false">
      <c r="A8" s="76" t="s">
        <v>378</v>
      </c>
      <c r="B8" s="76" t="s">
        <v>379</v>
      </c>
      <c r="C8" s="76" t="s">
        <v>380</v>
      </c>
      <c r="D8" s="77" t="n">
        <v>1</v>
      </c>
      <c r="E8" s="77" t="n">
        <v>1</v>
      </c>
      <c r="F8" s="77" t="n">
        <v>0</v>
      </c>
      <c r="G8" s="77" t="n">
        <f aca="false">D8*$D$7+E8*$E$7+F8*$F$7</f>
        <v>4</v>
      </c>
    </row>
    <row r="9" customFormat="false" ht="57" hidden="false" customHeight="true" outlineLevel="0" collapsed="false">
      <c r="A9" s="76" t="s">
        <v>381</v>
      </c>
      <c r="B9" s="76" t="s">
        <v>382</v>
      </c>
      <c r="C9" s="76" t="s">
        <v>383</v>
      </c>
      <c r="D9" s="77" t="n">
        <v>0</v>
      </c>
      <c r="E9" s="77" t="n">
        <v>1</v>
      </c>
      <c r="F9" s="77" t="n">
        <v>0</v>
      </c>
      <c r="G9" s="77" t="n">
        <f aca="false">D9*$D$7+E9*$E$7+F9*$F$7</f>
        <v>3</v>
      </c>
    </row>
    <row r="10" customFormat="false" ht="102" hidden="false" customHeight="true" outlineLevel="0" collapsed="false">
      <c r="A10" s="76" t="s">
        <v>384</v>
      </c>
      <c r="B10" s="76" t="s">
        <v>385</v>
      </c>
      <c r="C10" s="76" t="s">
        <v>386</v>
      </c>
      <c r="D10" s="77" t="n">
        <v>1</v>
      </c>
      <c r="E10" s="77" t="n">
        <v>2</v>
      </c>
      <c r="F10" s="77" t="n">
        <v>0</v>
      </c>
      <c r="G10" s="77" t="n">
        <f aca="false">D10*$D$7+E10*$E$7+F10*$F$7</f>
        <v>7</v>
      </c>
    </row>
    <row r="11" customFormat="false" ht="102" hidden="false" customHeight="true" outlineLevel="0" collapsed="false">
      <c r="A11" s="76" t="s">
        <v>387</v>
      </c>
      <c r="B11" s="76" t="s">
        <v>388</v>
      </c>
      <c r="C11" s="76" t="s">
        <v>389</v>
      </c>
      <c r="D11" s="77" t="n">
        <v>0</v>
      </c>
      <c r="E11" s="77" t="n">
        <v>2</v>
      </c>
      <c r="F11" s="77" t="n">
        <v>1</v>
      </c>
      <c r="G11" s="77" t="n">
        <f aca="false">D11*$D$7+E11*$E$7+F11*$F$7</f>
        <v>11</v>
      </c>
    </row>
    <row r="12" customFormat="false" ht="102" hidden="false" customHeight="true" outlineLevel="0" collapsed="false">
      <c r="A12" s="76" t="s">
        <v>390</v>
      </c>
      <c r="B12" s="76" t="s">
        <v>391</v>
      </c>
      <c r="C12" s="76" t="s">
        <v>392</v>
      </c>
      <c r="D12" s="77" t="n">
        <v>0</v>
      </c>
      <c r="E12" s="77" t="n">
        <v>2</v>
      </c>
      <c r="F12" s="77" t="n">
        <v>1</v>
      </c>
      <c r="G12" s="77" t="n">
        <f aca="false">D12*$D$7+E12*$E$7+F12*$F$7</f>
        <v>11</v>
      </c>
    </row>
    <row r="13" customFormat="false" ht="57" hidden="false" customHeight="true" outlineLevel="0" collapsed="false">
      <c r="A13" s="76" t="s">
        <v>393</v>
      </c>
      <c r="B13" s="76" t="s">
        <v>394</v>
      </c>
      <c r="C13" s="76" t="s">
        <v>395</v>
      </c>
      <c r="D13" s="77" t="n">
        <v>0</v>
      </c>
      <c r="E13" s="77" t="n">
        <v>0</v>
      </c>
      <c r="F13" s="77" t="n">
        <v>1</v>
      </c>
      <c r="G13" s="77" t="n">
        <f aca="false">D13*$D$7+E13*$E$7+F13*$F$7</f>
        <v>5</v>
      </c>
    </row>
    <row r="14" customFormat="false" ht="66" hidden="false" customHeight="true" outlineLevel="0" collapsed="false">
      <c r="A14" s="76" t="s">
        <v>396</v>
      </c>
      <c r="B14" s="76" t="s">
        <v>397</v>
      </c>
      <c r="C14" s="76" t="s">
        <v>398</v>
      </c>
      <c r="D14" s="77" t="n">
        <v>0</v>
      </c>
      <c r="E14" s="77" t="n">
        <v>1</v>
      </c>
      <c r="F14" s="77" t="n">
        <v>1</v>
      </c>
      <c r="G14" s="77" t="n">
        <f aca="false">D14*$D$7+E14*$E$7+F14*$F$7</f>
        <v>8</v>
      </c>
    </row>
    <row r="15" customFormat="false" ht="57" hidden="false" customHeight="true" outlineLevel="0" collapsed="false">
      <c r="A15" s="76" t="s">
        <v>399</v>
      </c>
      <c r="B15" s="76" t="s">
        <v>400</v>
      </c>
      <c r="C15" s="76" t="s">
        <v>401</v>
      </c>
      <c r="D15" s="77" t="n">
        <v>0</v>
      </c>
      <c r="E15" s="77" t="n">
        <v>0</v>
      </c>
      <c r="F15" s="77" t="n">
        <v>1</v>
      </c>
      <c r="G15" s="77" t="n">
        <f aca="false">D15*$D$7+E15*$E$7+F15*$F$7</f>
        <v>5</v>
      </c>
    </row>
    <row r="16" customFormat="false" ht="15" hidden="false" customHeight="true" outlineLevel="0" collapsed="false">
      <c r="A16" s="78" t="s">
        <v>402</v>
      </c>
      <c r="B16" s="78"/>
      <c r="C16" s="78"/>
      <c r="D16" s="78"/>
      <c r="E16" s="78"/>
      <c r="F16" s="78"/>
      <c r="G16" s="79" t="n">
        <f aca="false">SUM(G8:G15)</f>
        <v>54</v>
      </c>
      <c r="J16" s="80"/>
      <c r="K16" s="81"/>
      <c r="L16" s="81"/>
    </row>
    <row r="17" customFormat="false" ht="15" hidden="false" customHeight="true" outlineLevel="0" collapsed="false">
      <c r="J17" s="80" t="s">
        <v>188</v>
      </c>
      <c r="K17" s="80"/>
      <c r="L17" s="80"/>
    </row>
    <row r="18" customFormat="false" ht="15" hidden="false" customHeight="true" outlineLevel="0" collapsed="false">
      <c r="B18" s="0" t="s">
        <v>189</v>
      </c>
      <c r="G18" s="0" t="n">
        <f aca="false">G16</f>
        <v>54</v>
      </c>
      <c r="J18" s="82" t="s">
        <v>190</v>
      </c>
      <c r="K18" s="83"/>
      <c r="L18" s="82" t="s">
        <v>191</v>
      </c>
    </row>
    <row r="19" customFormat="false" ht="15" hidden="false" customHeight="true" outlineLevel="0" collapsed="false">
      <c r="J19" s="83" t="s">
        <v>192</v>
      </c>
      <c r="K19" s="83"/>
      <c r="L19" s="83" t="n">
        <v>0</v>
      </c>
    </row>
    <row r="20" customFormat="false" ht="15" hidden="false" customHeight="true" outlineLevel="0" collapsed="false">
      <c r="B20" s="0" t="s">
        <v>193</v>
      </c>
      <c r="C20" s="84" t="n">
        <f aca="false">'Baseline Productivity '!$C$4</f>
        <v>0.19</v>
      </c>
      <c r="J20" s="83" t="s">
        <v>194</v>
      </c>
      <c r="K20" s="83"/>
      <c r="L20" s="83" t="n">
        <v>0</v>
      </c>
    </row>
    <row r="21" customFormat="false" ht="15" hidden="false" customHeight="true" outlineLevel="0" collapsed="false">
      <c r="B21" s="0" t="s">
        <v>195</v>
      </c>
      <c r="C21" s="0" t="n">
        <f aca="false">G16</f>
        <v>54</v>
      </c>
      <c r="D21" s="0" t="s">
        <v>196</v>
      </c>
      <c r="J21" s="83"/>
      <c r="K21" s="83"/>
      <c r="L21" s="83"/>
    </row>
    <row r="22" customFormat="false" ht="15" hidden="false" customHeight="true" outlineLevel="0" collapsed="false">
      <c r="B22" s="0" t="s">
        <v>197</v>
      </c>
      <c r="C22" s="0" t="n">
        <f aca="false">C21/C20</f>
        <v>284.21052631579</v>
      </c>
      <c r="D22" s="0" t="s">
        <v>198</v>
      </c>
      <c r="J22" s="83" t="s">
        <v>199</v>
      </c>
      <c r="K22" s="83"/>
      <c r="L22" s="83" t="n">
        <v>0</v>
      </c>
    </row>
    <row r="23" customFormat="false" ht="15" hidden="false" customHeight="true" outlineLevel="0" collapsed="false">
      <c r="B23" s="0" t="s">
        <v>116</v>
      </c>
      <c r="C23" s="0" t="n">
        <f aca="false">0.65+0.01*$L$35</f>
        <v>1.01</v>
      </c>
      <c r="J23" s="83" t="s">
        <v>200</v>
      </c>
      <c r="K23" s="83"/>
      <c r="L23" s="83" t="n">
        <v>3</v>
      </c>
    </row>
    <row r="24" customFormat="false" ht="15" hidden="false" customHeight="true" outlineLevel="0" collapsed="false">
      <c r="B24" s="0" t="s">
        <v>201</v>
      </c>
      <c r="C24" s="0" t="n">
        <v>0.05</v>
      </c>
      <c r="J24" s="83" t="s">
        <v>202</v>
      </c>
      <c r="K24" s="83"/>
      <c r="L24" s="83" t="n">
        <v>4</v>
      </c>
    </row>
    <row r="25" customFormat="false" ht="15" hidden="false" customHeight="true" outlineLevel="0" collapsed="false">
      <c r="B25" s="0" t="s">
        <v>203</v>
      </c>
      <c r="C25" s="0" t="n">
        <v>0.1</v>
      </c>
      <c r="J25" s="83"/>
      <c r="K25" s="83"/>
      <c r="L25" s="83"/>
    </row>
    <row r="26" customFormat="false" ht="15" hidden="false" customHeight="true" outlineLevel="0" collapsed="false">
      <c r="B26" s="0" t="s">
        <v>204</v>
      </c>
      <c r="C26" s="0" t="n">
        <f aca="false">C22*C23*(1+C24+C25)</f>
        <v>330.11052631579</v>
      </c>
      <c r="D26" s="0" t="s">
        <v>198</v>
      </c>
      <c r="J26" s="83" t="s">
        <v>205</v>
      </c>
      <c r="K26" s="83"/>
      <c r="L26" s="83" t="n">
        <v>3</v>
      </c>
    </row>
    <row r="27" customFormat="false" ht="15" hidden="false" customHeight="true" outlineLevel="0" collapsed="false">
      <c r="J27" s="83" t="s">
        <v>206</v>
      </c>
      <c r="K27" s="83"/>
      <c r="L27" s="83" t="n">
        <v>2</v>
      </c>
    </row>
    <row r="28" customFormat="false" ht="15" hidden="false" customHeight="true" outlineLevel="0" collapsed="false">
      <c r="B28" s="0" t="s">
        <v>207</v>
      </c>
      <c r="C28" s="0" t="n">
        <f aca="false">C26*1.05</f>
        <v>346.616052631579</v>
      </c>
      <c r="D28" s="0" t="n">
        <f aca="false">C26*0.95</f>
        <v>313.605</v>
      </c>
      <c r="J28" s="83" t="s">
        <v>208</v>
      </c>
      <c r="K28" s="83"/>
      <c r="L28" s="83" t="n">
        <v>1</v>
      </c>
    </row>
    <row r="29" customFormat="false" ht="15" hidden="false" customHeight="true" outlineLevel="0" collapsed="false">
      <c r="J29" s="83" t="s">
        <v>209</v>
      </c>
      <c r="K29" s="83"/>
      <c r="L29" s="83" t="n">
        <v>3</v>
      </c>
    </row>
    <row r="30" customFormat="false" ht="15" hidden="false" customHeight="true" outlineLevel="0" collapsed="false">
      <c r="J30" s="83" t="s">
        <v>210</v>
      </c>
      <c r="K30" s="83"/>
      <c r="L30" s="83" t="n">
        <v>4</v>
      </c>
    </row>
    <row r="31" customFormat="false" ht="15" hidden="false" customHeight="true" outlineLevel="0" collapsed="false">
      <c r="J31" s="83" t="s">
        <v>211</v>
      </c>
      <c r="K31" s="83"/>
      <c r="L31" s="83" t="n">
        <v>4</v>
      </c>
    </row>
    <row r="32" customFormat="false" ht="15" hidden="false" customHeight="true" outlineLevel="0" collapsed="false">
      <c r="J32" s="83" t="s">
        <v>212</v>
      </c>
      <c r="K32" s="83"/>
      <c r="L32" s="83" t="n">
        <v>4</v>
      </c>
    </row>
    <row r="33" customFormat="false" ht="15" hidden="false" customHeight="true" outlineLevel="0" collapsed="false">
      <c r="J33" s="83" t="s">
        <v>213</v>
      </c>
      <c r="K33" s="83"/>
      <c r="L33" s="83" t="n">
        <v>4</v>
      </c>
    </row>
    <row r="34" customFormat="false" ht="15" hidden="false" customHeight="true" outlineLevel="0" collapsed="false">
      <c r="J34" s="83" t="s">
        <v>214</v>
      </c>
      <c r="K34" s="83"/>
      <c r="L34" s="83" t="n">
        <v>4</v>
      </c>
    </row>
    <row r="35" customFormat="false" ht="15" hidden="false" customHeight="true" outlineLevel="0" collapsed="false">
      <c r="J35" s="82" t="s">
        <v>215</v>
      </c>
      <c r="K35" s="82"/>
      <c r="L35" s="82" t="n">
        <f aca="false">SUM(L19:L34)</f>
        <v>36</v>
      </c>
    </row>
  </sheetData>
  <mergeCells count="2">
    <mergeCell ref="A16:F16"/>
    <mergeCell ref="J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52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28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8"/>
    <col collapsed="false" customWidth="true" hidden="false" outlineLevel="0" max="14" min="14" style="0" width="70"/>
  </cols>
  <sheetData>
    <row r="1" customFormat="false" ht="15" hidden="false" customHeight="false" outlineLevel="0" collapsed="false">
      <c r="A1" s="57" t="s">
        <v>403</v>
      </c>
    </row>
    <row r="2" customFormat="false" ht="15" hidden="false" customHeight="false" outlineLevel="0" collapsed="false">
      <c r="A2" s="58" t="s">
        <v>404</v>
      </c>
    </row>
    <row r="3" customFormat="false" ht="15" hidden="false" customHeight="false" outlineLevel="0" collapsed="false">
      <c r="A3" s="58" t="s">
        <v>405</v>
      </c>
    </row>
    <row r="4" customFormat="false" ht="15" hidden="false" customHeight="false" outlineLevel="0" collapsed="false">
      <c r="A4" s="58" t="s">
        <v>406</v>
      </c>
    </row>
    <row r="5" customFormat="false" ht="15" hidden="false" customHeight="false" outlineLevel="0" collapsed="false">
      <c r="A5" s="58" t="s">
        <v>407</v>
      </c>
    </row>
    <row r="6" customFormat="false" ht="15" hidden="false" customHeight="false" outlineLevel="0" collapsed="false">
      <c r="A6" s="58" t="s">
        <v>408</v>
      </c>
    </row>
    <row r="8" customFormat="false" ht="35.05" hidden="false" customHeight="false" outlineLevel="0" collapsed="false">
      <c r="A8" s="59" t="s">
        <v>409</v>
      </c>
      <c r="B8" s="59" t="s">
        <v>410</v>
      </c>
      <c r="C8" s="59" t="s">
        <v>411</v>
      </c>
      <c r="D8" s="59" t="s">
        <v>412</v>
      </c>
      <c r="E8" s="59" t="s">
        <v>413</v>
      </c>
      <c r="F8" s="59" t="s">
        <v>414</v>
      </c>
      <c r="G8" s="59" t="s">
        <v>415</v>
      </c>
      <c r="H8" s="59" t="s">
        <v>111</v>
      </c>
      <c r="I8" s="59" t="s">
        <v>416</v>
      </c>
      <c r="J8" s="59" t="s">
        <v>417</v>
      </c>
      <c r="K8" s="59" t="s">
        <v>418</v>
      </c>
      <c r="L8" s="59" t="s">
        <v>30</v>
      </c>
      <c r="M8" s="59" t="s">
        <v>419</v>
      </c>
      <c r="N8" s="59" t="s">
        <v>420</v>
      </c>
    </row>
    <row r="9" customFormat="false" ht="22.35" hidden="false" customHeight="false" outlineLevel="0" collapsed="false">
      <c r="A9" s="85" t="n">
        <v>1</v>
      </c>
      <c r="B9" s="85" t="s">
        <v>421</v>
      </c>
      <c r="C9" s="85" t="s">
        <v>422</v>
      </c>
      <c r="D9" s="85" t="s">
        <v>423</v>
      </c>
      <c r="E9" s="85" t="s">
        <v>424</v>
      </c>
      <c r="F9" s="85" t="s">
        <v>425</v>
      </c>
      <c r="G9" s="85" t="s">
        <v>426</v>
      </c>
      <c r="H9" s="85" t="s">
        <v>121</v>
      </c>
      <c r="I9" s="85" t="s">
        <v>163</v>
      </c>
      <c r="J9" s="85" t="n">
        <v>6</v>
      </c>
      <c r="K9" s="85" t="n">
        <v>20</v>
      </c>
      <c r="L9" s="85" t="s">
        <v>37</v>
      </c>
      <c r="M9" s="85" t="n">
        <f aca="false">IF(L9="Low",1,IF(L9="Medium",3,IF(L9="High",5,0)))</f>
        <v>5</v>
      </c>
      <c r="N9" s="85" t="s">
        <v>427</v>
      </c>
    </row>
    <row r="10" customFormat="false" ht="22.35" hidden="false" customHeight="false" outlineLevel="0" collapsed="false">
      <c r="A10" s="85" t="n">
        <v>2</v>
      </c>
      <c r="B10" s="85" t="s">
        <v>428</v>
      </c>
      <c r="C10" s="85" t="s">
        <v>422</v>
      </c>
      <c r="D10" s="85" t="s">
        <v>429</v>
      </c>
      <c r="E10" s="85" t="s">
        <v>424</v>
      </c>
      <c r="F10" s="85" t="s">
        <v>425</v>
      </c>
      <c r="G10" s="85" t="s">
        <v>426</v>
      </c>
      <c r="H10" s="85" t="s">
        <v>121</v>
      </c>
      <c r="I10" s="85" t="s">
        <v>163</v>
      </c>
      <c r="J10" s="85" t="n">
        <v>5</v>
      </c>
      <c r="K10" s="85" t="n">
        <v>16</v>
      </c>
      <c r="L10" s="85" t="s">
        <v>35</v>
      </c>
      <c r="M10" s="85" t="n">
        <f aca="false">IF(L10="Low",1,IF(L10="Medium",3,IF(L10="High",5,0)))</f>
        <v>3</v>
      </c>
      <c r="N10" s="85" t="s">
        <v>430</v>
      </c>
    </row>
    <row r="11" customFormat="false" ht="22.35" hidden="false" customHeight="false" outlineLevel="0" collapsed="false">
      <c r="A11" s="85" t="n">
        <v>3</v>
      </c>
      <c r="B11" s="85" t="s">
        <v>431</v>
      </c>
      <c r="C11" s="85" t="s">
        <v>422</v>
      </c>
      <c r="D11" s="85" t="s">
        <v>432</v>
      </c>
      <c r="E11" s="85" t="s">
        <v>424</v>
      </c>
      <c r="F11" s="85" t="s">
        <v>425</v>
      </c>
      <c r="G11" s="85" t="s">
        <v>426</v>
      </c>
      <c r="H11" s="85" t="s">
        <v>121</v>
      </c>
      <c r="I11" s="85" t="s">
        <v>163</v>
      </c>
      <c r="J11" s="85" t="n">
        <v>6</v>
      </c>
      <c r="K11" s="85" t="n">
        <v>8</v>
      </c>
      <c r="L11" s="85" t="s">
        <v>35</v>
      </c>
      <c r="M11" s="85" t="n">
        <f aca="false">IF(L11="Low",1,IF(L11="Medium",3,IF(L11="High",5,0)))</f>
        <v>3</v>
      </c>
      <c r="N11" s="85" t="s">
        <v>433</v>
      </c>
    </row>
    <row r="12" customFormat="false" ht="22.35" hidden="false" customHeight="false" outlineLevel="0" collapsed="false">
      <c r="A12" s="85" t="n">
        <v>4</v>
      </c>
      <c r="B12" s="85" t="s">
        <v>434</v>
      </c>
      <c r="C12" s="85" t="s">
        <v>422</v>
      </c>
      <c r="D12" s="85" t="s">
        <v>435</v>
      </c>
      <c r="E12" s="85" t="s">
        <v>424</v>
      </c>
      <c r="F12" s="85" t="s">
        <v>425</v>
      </c>
      <c r="G12" s="85" t="s">
        <v>426</v>
      </c>
      <c r="H12" s="85" t="s">
        <v>121</v>
      </c>
      <c r="I12" s="85" t="s">
        <v>163</v>
      </c>
      <c r="J12" s="85" t="n">
        <v>5</v>
      </c>
      <c r="K12" s="85" t="n">
        <v>16</v>
      </c>
      <c r="L12" s="85" t="s">
        <v>35</v>
      </c>
      <c r="M12" s="85" t="n">
        <f aca="false">IF(L12="Low",1,IF(L12="Medium",3,IF(L12="High",5,0)))</f>
        <v>3</v>
      </c>
      <c r="N12" s="85" t="s">
        <v>430</v>
      </c>
    </row>
    <row r="13" customFormat="false" ht="22.35" hidden="false" customHeight="false" outlineLevel="0" collapsed="false">
      <c r="A13" s="85" t="n">
        <v>5</v>
      </c>
      <c r="B13" s="85" t="s">
        <v>436</v>
      </c>
      <c r="C13" s="85" t="s">
        <v>422</v>
      </c>
      <c r="D13" s="85" t="s">
        <v>437</v>
      </c>
      <c r="E13" s="85" t="s">
        <v>438</v>
      </c>
      <c r="F13" s="85" t="s">
        <v>439</v>
      </c>
      <c r="G13" s="85" t="s">
        <v>426</v>
      </c>
      <c r="H13" s="85" t="s">
        <v>121</v>
      </c>
      <c r="I13" s="85" t="s">
        <v>166</v>
      </c>
      <c r="J13" s="85" t="n">
        <v>5</v>
      </c>
      <c r="K13" s="85" t="n">
        <v>24</v>
      </c>
      <c r="L13" s="85" t="s">
        <v>37</v>
      </c>
      <c r="M13" s="85" t="n">
        <f aca="false">IF(L13="Low",1,IF(L13="Medium",3,IF(L13="High",5,0)))</f>
        <v>5</v>
      </c>
      <c r="N13" s="85" t="s">
        <v>440</v>
      </c>
    </row>
    <row r="14" customFormat="false" ht="22.35" hidden="false" customHeight="false" outlineLevel="0" collapsed="false">
      <c r="A14" s="85" t="n">
        <v>6</v>
      </c>
      <c r="B14" s="85" t="s">
        <v>441</v>
      </c>
      <c r="C14" s="85" t="s">
        <v>422</v>
      </c>
      <c r="D14" s="85" t="s">
        <v>442</v>
      </c>
      <c r="E14" s="85" t="s">
        <v>438</v>
      </c>
      <c r="F14" s="85" t="s">
        <v>425</v>
      </c>
      <c r="G14" s="85" t="s">
        <v>426</v>
      </c>
      <c r="H14" s="85" t="s">
        <v>121</v>
      </c>
      <c r="I14" s="85" t="s">
        <v>166</v>
      </c>
      <c r="J14" s="85" t="n">
        <v>5</v>
      </c>
      <c r="K14" s="85" t="n">
        <v>8</v>
      </c>
      <c r="L14" s="85" t="s">
        <v>35</v>
      </c>
      <c r="M14" s="85" t="n">
        <f aca="false">IF(L14="Low",1,IF(L14="Medium",3,IF(L14="High",5,0)))</f>
        <v>3</v>
      </c>
      <c r="N14" s="85" t="s">
        <v>433</v>
      </c>
    </row>
    <row r="15" customFormat="false" ht="22.35" hidden="false" customHeight="false" outlineLevel="0" collapsed="false">
      <c r="A15" s="85" t="n">
        <v>7</v>
      </c>
      <c r="B15" s="85" t="s">
        <v>443</v>
      </c>
      <c r="C15" s="85" t="s">
        <v>422</v>
      </c>
      <c r="D15" s="85" t="s">
        <v>444</v>
      </c>
      <c r="E15" s="85" t="s">
        <v>438</v>
      </c>
      <c r="F15" s="85" t="s">
        <v>445</v>
      </c>
      <c r="G15" s="85" t="s">
        <v>426</v>
      </c>
      <c r="H15" s="85" t="s">
        <v>121</v>
      </c>
      <c r="I15" s="85" t="s">
        <v>166</v>
      </c>
      <c r="J15" s="85" t="n">
        <v>5</v>
      </c>
      <c r="K15" s="85" t="n">
        <v>8</v>
      </c>
      <c r="L15" s="85" t="s">
        <v>35</v>
      </c>
      <c r="M15" s="85" t="n">
        <f aca="false">IF(L15="Low",1,IF(L15="Medium",3,IF(L15="High",5,0)))</f>
        <v>3</v>
      </c>
      <c r="N15" s="85" t="s">
        <v>433</v>
      </c>
    </row>
    <row r="16" customFormat="false" ht="22.35" hidden="false" customHeight="false" outlineLevel="0" collapsed="false">
      <c r="A16" s="85" t="n">
        <v>8</v>
      </c>
      <c r="B16" s="85" t="s">
        <v>446</v>
      </c>
      <c r="C16" s="85" t="s">
        <v>422</v>
      </c>
      <c r="D16" s="85" t="s">
        <v>447</v>
      </c>
      <c r="E16" s="85" t="s">
        <v>438</v>
      </c>
      <c r="F16" s="85" t="s">
        <v>445</v>
      </c>
      <c r="G16" s="85" t="s">
        <v>426</v>
      </c>
      <c r="H16" s="85" t="s">
        <v>121</v>
      </c>
      <c r="I16" s="85" t="s">
        <v>169</v>
      </c>
      <c r="J16" s="85" t="n">
        <v>5</v>
      </c>
      <c r="K16" s="85" t="n">
        <v>16</v>
      </c>
      <c r="L16" s="85" t="s">
        <v>35</v>
      </c>
      <c r="M16" s="85" t="n">
        <f aca="false">IF(L16="Low",1,IF(L16="Medium",3,IF(L16="High",5,0)))</f>
        <v>3</v>
      </c>
      <c r="N16" s="85" t="s">
        <v>430</v>
      </c>
    </row>
    <row r="17" customFormat="false" ht="22.35" hidden="false" customHeight="false" outlineLevel="0" collapsed="false">
      <c r="A17" s="85" t="n">
        <v>9</v>
      </c>
      <c r="B17" s="85" t="s">
        <v>448</v>
      </c>
      <c r="C17" s="85" t="s">
        <v>422</v>
      </c>
      <c r="D17" s="85" t="s">
        <v>449</v>
      </c>
      <c r="E17" s="85" t="s">
        <v>438</v>
      </c>
      <c r="F17" s="85" t="s">
        <v>445</v>
      </c>
      <c r="G17" s="85" t="s">
        <v>426</v>
      </c>
      <c r="H17" s="85" t="s">
        <v>121</v>
      </c>
      <c r="I17" s="85" t="s">
        <v>166</v>
      </c>
      <c r="J17" s="85" t="n">
        <v>5</v>
      </c>
      <c r="K17" s="85" t="n">
        <v>8</v>
      </c>
      <c r="L17" s="85" t="s">
        <v>35</v>
      </c>
      <c r="M17" s="85" t="n">
        <f aca="false">IF(L17="Low",1,IF(L17="Medium",3,IF(L17="High",5,0)))</f>
        <v>3</v>
      </c>
      <c r="N17" s="85" t="s">
        <v>433</v>
      </c>
    </row>
    <row r="18" customFormat="false" ht="22.35" hidden="false" customHeight="false" outlineLevel="0" collapsed="false">
      <c r="A18" s="85" t="n">
        <v>10</v>
      </c>
      <c r="B18" s="85" t="s">
        <v>450</v>
      </c>
      <c r="C18" s="85" t="s">
        <v>422</v>
      </c>
      <c r="D18" s="85" t="s">
        <v>451</v>
      </c>
      <c r="E18" s="85" t="s">
        <v>438</v>
      </c>
      <c r="F18" s="85" t="s">
        <v>439</v>
      </c>
      <c r="G18" s="85" t="s">
        <v>426</v>
      </c>
      <c r="H18" s="85" t="s">
        <v>136</v>
      </c>
      <c r="I18" s="85" t="s">
        <v>362</v>
      </c>
      <c r="J18" s="85" t="n">
        <v>6</v>
      </c>
      <c r="K18" s="85" t="n">
        <v>40</v>
      </c>
      <c r="L18" s="85" t="s">
        <v>37</v>
      </c>
      <c r="M18" s="85" t="n">
        <f aca="false">IF(L18="Low",1,IF(L18="Medium",3,IF(L18="High",5,0)))</f>
        <v>5</v>
      </c>
      <c r="N18" s="85" t="s">
        <v>452</v>
      </c>
    </row>
    <row r="19" customFormat="false" ht="22.35" hidden="false" customHeight="false" outlineLevel="0" collapsed="false">
      <c r="A19" s="85" t="n">
        <v>11</v>
      </c>
      <c r="B19" s="85" t="s">
        <v>453</v>
      </c>
      <c r="C19" s="85" t="s">
        <v>422</v>
      </c>
      <c r="D19" s="85" t="s">
        <v>454</v>
      </c>
      <c r="E19" s="85" t="s">
        <v>424</v>
      </c>
      <c r="F19" s="85" t="s">
        <v>425</v>
      </c>
      <c r="G19" s="85" t="s">
        <v>426</v>
      </c>
      <c r="H19" s="85" t="s">
        <v>121</v>
      </c>
      <c r="I19" s="85" t="s">
        <v>163</v>
      </c>
      <c r="J19" s="85" t="n">
        <v>5</v>
      </c>
      <c r="K19" s="85" t="n">
        <v>12</v>
      </c>
      <c r="L19" s="85" t="s">
        <v>35</v>
      </c>
      <c r="M19" s="85" t="n">
        <f aca="false">IF(L19="Low",1,IF(L19="Medium",3,IF(L19="High",5,0)))</f>
        <v>3</v>
      </c>
      <c r="N19" s="85" t="s">
        <v>455</v>
      </c>
    </row>
    <row r="20" customFormat="false" ht="22.35" hidden="false" customHeight="false" outlineLevel="0" collapsed="false">
      <c r="A20" s="85" t="n">
        <v>12</v>
      </c>
      <c r="B20" s="85" t="s">
        <v>456</v>
      </c>
      <c r="C20" s="85" t="s">
        <v>422</v>
      </c>
      <c r="D20" s="85" t="s">
        <v>457</v>
      </c>
      <c r="E20" s="85" t="s">
        <v>424</v>
      </c>
      <c r="F20" s="85" t="s">
        <v>425</v>
      </c>
      <c r="G20" s="85" t="s">
        <v>426</v>
      </c>
      <c r="H20" s="85" t="s">
        <v>121</v>
      </c>
      <c r="I20" s="85" t="s">
        <v>163</v>
      </c>
      <c r="J20" s="85" t="n">
        <v>5</v>
      </c>
      <c r="K20" s="85" t="n">
        <v>8</v>
      </c>
      <c r="L20" s="85" t="s">
        <v>35</v>
      </c>
      <c r="M20" s="85" t="n">
        <f aca="false">IF(L20="Low",1,IF(L20="Medium",3,IF(L20="High",5,0)))</f>
        <v>3</v>
      </c>
      <c r="N20" s="85" t="s">
        <v>433</v>
      </c>
    </row>
    <row r="21" customFormat="false" ht="22.35" hidden="false" customHeight="false" outlineLevel="0" collapsed="false">
      <c r="A21" s="85" t="n">
        <v>13</v>
      </c>
      <c r="B21" s="85" t="s">
        <v>458</v>
      </c>
      <c r="C21" s="85" t="s">
        <v>422</v>
      </c>
      <c r="D21" s="85" t="s">
        <v>459</v>
      </c>
      <c r="E21" s="85" t="s">
        <v>424</v>
      </c>
      <c r="F21" s="85" t="s">
        <v>425</v>
      </c>
      <c r="G21" s="85" t="s">
        <v>426</v>
      </c>
      <c r="H21" s="85" t="s">
        <v>121</v>
      </c>
      <c r="I21" s="85" t="s">
        <v>163</v>
      </c>
      <c r="J21" s="85" t="n">
        <v>5</v>
      </c>
      <c r="K21" s="85" t="n">
        <v>4</v>
      </c>
      <c r="L21" s="85" t="s">
        <v>33</v>
      </c>
      <c r="M21" s="85" t="n">
        <f aca="false">IF(L21="Low",1,IF(L21="Medium",3,IF(L21="High",5,0)))</f>
        <v>1</v>
      </c>
      <c r="N21" s="85" t="s">
        <v>460</v>
      </c>
    </row>
    <row r="22" customFormat="false" ht="22.35" hidden="false" customHeight="false" outlineLevel="0" collapsed="false">
      <c r="A22" s="85" t="n">
        <v>14</v>
      </c>
      <c r="B22" s="85" t="s">
        <v>461</v>
      </c>
      <c r="C22" s="85" t="s">
        <v>422</v>
      </c>
      <c r="D22" s="85" t="s">
        <v>462</v>
      </c>
      <c r="E22" s="85" t="s">
        <v>438</v>
      </c>
      <c r="F22" s="85" t="s">
        <v>445</v>
      </c>
      <c r="G22" s="85" t="s">
        <v>426</v>
      </c>
      <c r="H22" s="85" t="s">
        <v>121</v>
      </c>
      <c r="I22" s="85" t="s">
        <v>169</v>
      </c>
      <c r="J22" s="85" t="n">
        <v>5</v>
      </c>
      <c r="K22" s="85" t="n">
        <v>8</v>
      </c>
      <c r="L22" s="85" t="s">
        <v>35</v>
      </c>
      <c r="M22" s="85" t="n">
        <f aca="false">IF(L22="Low",1,IF(L22="Medium",3,IF(L22="High",5,0)))</f>
        <v>3</v>
      </c>
      <c r="N22" s="85" t="s">
        <v>433</v>
      </c>
    </row>
    <row r="23" customFormat="false" ht="22.35" hidden="false" customHeight="false" outlineLevel="0" collapsed="false">
      <c r="A23" s="85" t="n">
        <v>15</v>
      </c>
      <c r="B23" s="85" t="s">
        <v>463</v>
      </c>
      <c r="C23" s="85" t="s">
        <v>422</v>
      </c>
      <c r="D23" s="85" t="s">
        <v>464</v>
      </c>
      <c r="E23" s="85" t="s">
        <v>424</v>
      </c>
      <c r="F23" s="85" t="s">
        <v>425</v>
      </c>
      <c r="G23" s="85" t="s">
        <v>426</v>
      </c>
      <c r="H23" s="85" t="s">
        <v>121</v>
      </c>
      <c r="I23" s="85" t="s">
        <v>166</v>
      </c>
      <c r="J23" s="85" t="n">
        <v>5</v>
      </c>
      <c r="K23" s="85" t="n">
        <v>8</v>
      </c>
      <c r="L23" s="85" t="s">
        <v>35</v>
      </c>
      <c r="M23" s="85" t="n">
        <f aca="false">IF(L23="Low",1,IF(L23="Medium",3,IF(L23="High",5,0)))</f>
        <v>3</v>
      </c>
      <c r="N23" s="85" t="s">
        <v>433</v>
      </c>
    </row>
    <row r="24" customFormat="false" ht="22.35" hidden="false" customHeight="false" outlineLevel="0" collapsed="false">
      <c r="A24" s="85" t="n">
        <v>16</v>
      </c>
      <c r="B24" s="85" t="s">
        <v>465</v>
      </c>
      <c r="C24" s="85" t="s">
        <v>422</v>
      </c>
      <c r="D24" s="85" t="s">
        <v>466</v>
      </c>
      <c r="E24" s="85" t="s">
        <v>424</v>
      </c>
      <c r="F24" s="85" t="s">
        <v>425</v>
      </c>
      <c r="G24" s="85" t="s">
        <v>426</v>
      </c>
      <c r="H24" s="85" t="s">
        <v>121</v>
      </c>
      <c r="I24" s="85" t="s">
        <v>166</v>
      </c>
      <c r="J24" s="85" t="n">
        <v>5</v>
      </c>
      <c r="K24" s="85" t="n">
        <v>6</v>
      </c>
      <c r="L24" s="85" t="s">
        <v>33</v>
      </c>
      <c r="M24" s="85" t="n">
        <f aca="false">IF(L24="Low",1,IF(L24="Medium",3,IF(L24="High",5,0)))</f>
        <v>1</v>
      </c>
      <c r="N24" s="85" t="s">
        <v>467</v>
      </c>
    </row>
    <row r="25" customFormat="false" ht="22.35" hidden="false" customHeight="false" outlineLevel="0" collapsed="false">
      <c r="A25" s="85" t="n">
        <v>17</v>
      </c>
      <c r="B25" s="85" t="s">
        <v>468</v>
      </c>
      <c r="C25" s="85" t="s">
        <v>422</v>
      </c>
      <c r="D25" s="85" t="s">
        <v>469</v>
      </c>
      <c r="E25" s="85" t="s">
        <v>470</v>
      </c>
      <c r="F25" s="85" t="s">
        <v>445</v>
      </c>
      <c r="G25" s="85" t="s">
        <v>426</v>
      </c>
      <c r="H25" s="85" t="s">
        <v>121</v>
      </c>
      <c r="I25" s="85" t="s">
        <v>169</v>
      </c>
      <c r="J25" s="85" t="n">
        <v>5</v>
      </c>
      <c r="K25" s="85" t="n">
        <v>8</v>
      </c>
      <c r="L25" s="85" t="s">
        <v>35</v>
      </c>
      <c r="M25" s="85" t="n">
        <f aca="false">IF(L25="Low",1,IF(L25="Medium",3,IF(L25="High",5,0)))</f>
        <v>3</v>
      </c>
      <c r="N25" s="85" t="s">
        <v>433</v>
      </c>
    </row>
    <row r="26" customFormat="false" ht="22.35" hidden="false" customHeight="false" outlineLevel="0" collapsed="false">
      <c r="A26" s="85" t="n">
        <v>18</v>
      </c>
      <c r="B26" s="85" t="s">
        <v>471</v>
      </c>
      <c r="C26" s="85" t="s">
        <v>422</v>
      </c>
      <c r="D26" s="85" t="s">
        <v>472</v>
      </c>
      <c r="E26" s="85" t="s">
        <v>424</v>
      </c>
      <c r="F26" s="85" t="s">
        <v>425</v>
      </c>
      <c r="G26" s="85" t="s">
        <v>426</v>
      </c>
      <c r="H26" s="85" t="s">
        <v>122</v>
      </c>
      <c r="I26" s="85" t="s">
        <v>217</v>
      </c>
      <c r="J26" s="85" t="n">
        <v>5</v>
      </c>
      <c r="K26" s="85" t="n">
        <v>12</v>
      </c>
      <c r="L26" s="85" t="s">
        <v>35</v>
      </c>
      <c r="M26" s="85" t="n">
        <f aca="false">IF(L26="Low",1,IF(L26="Medium",3,IF(L26="High",5,0)))</f>
        <v>3</v>
      </c>
      <c r="N26" s="85" t="s">
        <v>455</v>
      </c>
    </row>
    <row r="27" customFormat="false" ht="22.35" hidden="false" customHeight="false" outlineLevel="0" collapsed="false">
      <c r="A27" s="85" t="n">
        <v>19</v>
      </c>
      <c r="B27" s="85" t="s">
        <v>473</v>
      </c>
      <c r="C27" s="85" t="s">
        <v>422</v>
      </c>
      <c r="D27" s="85" t="s">
        <v>474</v>
      </c>
      <c r="E27" s="85" t="s">
        <v>424</v>
      </c>
      <c r="F27" s="85" t="s">
        <v>425</v>
      </c>
      <c r="G27" s="85" t="s">
        <v>426</v>
      </c>
      <c r="H27" s="85" t="s">
        <v>122</v>
      </c>
      <c r="I27" s="85" t="s">
        <v>217</v>
      </c>
      <c r="J27" s="85" t="n">
        <v>5</v>
      </c>
      <c r="K27" s="85" t="n">
        <v>16</v>
      </c>
      <c r="L27" s="85" t="s">
        <v>35</v>
      </c>
      <c r="M27" s="85" t="n">
        <f aca="false">IF(L27="Low",1,IF(L27="Medium",3,IF(L27="High",5,0)))</f>
        <v>3</v>
      </c>
      <c r="N27" s="85" t="s">
        <v>430</v>
      </c>
    </row>
    <row r="28" customFormat="false" ht="22.35" hidden="false" customHeight="false" outlineLevel="0" collapsed="false">
      <c r="A28" s="85" t="n">
        <v>20</v>
      </c>
      <c r="B28" s="85" t="s">
        <v>475</v>
      </c>
      <c r="C28" s="85" t="s">
        <v>422</v>
      </c>
      <c r="D28" s="85" t="s">
        <v>476</v>
      </c>
      <c r="E28" s="85" t="s">
        <v>424</v>
      </c>
      <c r="F28" s="85" t="s">
        <v>425</v>
      </c>
      <c r="G28" s="85" t="s">
        <v>426</v>
      </c>
      <c r="H28" s="85" t="s">
        <v>122</v>
      </c>
      <c r="I28" s="85" t="s">
        <v>217</v>
      </c>
      <c r="J28" s="85" t="n">
        <v>5</v>
      </c>
      <c r="K28" s="85" t="n">
        <v>8</v>
      </c>
      <c r="L28" s="85" t="s">
        <v>35</v>
      </c>
      <c r="M28" s="85" t="n">
        <f aca="false">IF(L28="Low",1,IF(L28="Medium",3,IF(L28="High",5,0)))</f>
        <v>3</v>
      </c>
      <c r="N28" s="85" t="s">
        <v>433</v>
      </c>
    </row>
    <row r="29" customFormat="false" ht="22.35" hidden="false" customHeight="false" outlineLevel="0" collapsed="false">
      <c r="A29" s="85" t="n">
        <v>21</v>
      </c>
      <c r="B29" s="85" t="s">
        <v>477</v>
      </c>
      <c r="C29" s="85" t="s">
        <v>422</v>
      </c>
      <c r="D29" s="85" t="s">
        <v>478</v>
      </c>
      <c r="E29" s="85" t="s">
        <v>438</v>
      </c>
      <c r="F29" s="85" t="s">
        <v>445</v>
      </c>
      <c r="G29" s="85" t="s">
        <v>426</v>
      </c>
      <c r="H29" s="85" t="s">
        <v>122</v>
      </c>
      <c r="I29" s="85" t="s">
        <v>223</v>
      </c>
      <c r="J29" s="85" t="n">
        <v>5</v>
      </c>
      <c r="K29" s="85" t="n">
        <v>20</v>
      </c>
      <c r="L29" s="85" t="s">
        <v>37</v>
      </c>
      <c r="M29" s="85" t="n">
        <f aca="false">IF(L29="Low",1,IF(L29="Medium",3,IF(L29="High",5,0)))</f>
        <v>5</v>
      </c>
      <c r="N29" s="85" t="s">
        <v>427</v>
      </c>
    </row>
    <row r="30" customFormat="false" ht="22.35" hidden="false" customHeight="false" outlineLevel="0" collapsed="false">
      <c r="A30" s="85" t="n">
        <v>22</v>
      </c>
      <c r="B30" s="85" t="s">
        <v>479</v>
      </c>
      <c r="C30" s="85" t="s">
        <v>422</v>
      </c>
      <c r="D30" s="85" t="s">
        <v>480</v>
      </c>
      <c r="E30" s="85" t="s">
        <v>424</v>
      </c>
      <c r="F30" s="85" t="s">
        <v>425</v>
      </c>
      <c r="G30" s="85" t="s">
        <v>426</v>
      </c>
      <c r="H30" s="85" t="s">
        <v>122</v>
      </c>
      <c r="I30" s="85" t="s">
        <v>220</v>
      </c>
      <c r="J30" s="85" t="n">
        <v>5</v>
      </c>
      <c r="K30" s="85" t="n">
        <v>8</v>
      </c>
      <c r="L30" s="85" t="s">
        <v>35</v>
      </c>
      <c r="M30" s="85" t="n">
        <f aca="false">IF(L30="Low",1,IF(L30="Medium",3,IF(L30="High",5,0)))</f>
        <v>3</v>
      </c>
      <c r="N30" s="85" t="s">
        <v>433</v>
      </c>
    </row>
    <row r="31" customFormat="false" ht="22.35" hidden="false" customHeight="false" outlineLevel="0" collapsed="false">
      <c r="A31" s="85" t="n">
        <v>23</v>
      </c>
      <c r="B31" s="85" t="s">
        <v>481</v>
      </c>
      <c r="C31" s="85" t="s">
        <v>422</v>
      </c>
      <c r="D31" s="85" t="s">
        <v>482</v>
      </c>
      <c r="E31" s="85" t="s">
        <v>424</v>
      </c>
      <c r="F31" s="85" t="s">
        <v>425</v>
      </c>
      <c r="G31" s="85" t="s">
        <v>426</v>
      </c>
      <c r="H31" s="85" t="s">
        <v>122</v>
      </c>
      <c r="I31" s="85" t="s">
        <v>217</v>
      </c>
      <c r="J31" s="85" t="n">
        <v>5</v>
      </c>
      <c r="K31" s="85" t="n">
        <v>8</v>
      </c>
      <c r="L31" s="85" t="s">
        <v>35</v>
      </c>
      <c r="M31" s="85" t="n">
        <f aca="false">IF(L31="Low",1,IF(L31="Medium",3,IF(L31="High",5,0)))</f>
        <v>3</v>
      </c>
      <c r="N31" s="85" t="s">
        <v>433</v>
      </c>
    </row>
    <row r="32" customFormat="false" ht="22.35" hidden="false" customHeight="false" outlineLevel="0" collapsed="false">
      <c r="A32" s="85" t="n">
        <v>24</v>
      </c>
      <c r="B32" s="85" t="s">
        <v>483</v>
      </c>
      <c r="C32" s="85" t="s">
        <v>422</v>
      </c>
      <c r="D32" s="85" t="s">
        <v>484</v>
      </c>
      <c r="E32" s="85" t="s">
        <v>424</v>
      </c>
      <c r="F32" s="85" t="s">
        <v>425</v>
      </c>
      <c r="G32" s="85" t="s">
        <v>426</v>
      </c>
      <c r="H32" s="85" t="s">
        <v>122</v>
      </c>
      <c r="I32" s="85" t="s">
        <v>217</v>
      </c>
      <c r="J32" s="85" t="n">
        <v>5</v>
      </c>
      <c r="K32" s="85" t="n">
        <v>8</v>
      </c>
      <c r="L32" s="85" t="s">
        <v>35</v>
      </c>
      <c r="M32" s="85" t="n">
        <f aca="false">IF(L32="Low",1,IF(L32="Medium",3,IF(L32="High",5,0)))</f>
        <v>3</v>
      </c>
      <c r="N32" s="85" t="s">
        <v>433</v>
      </c>
    </row>
    <row r="33" customFormat="false" ht="22.35" hidden="false" customHeight="false" outlineLevel="0" collapsed="false">
      <c r="A33" s="85" t="n">
        <v>25</v>
      </c>
      <c r="B33" s="85" t="s">
        <v>485</v>
      </c>
      <c r="C33" s="85" t="s">
        <v>422</v>
      </c>
      <c r="D33" s="85" t="s">
        <v>486</v>
      </c>
      <c r="E33" s="85" t="s">
        <v>424</v>
      </c>
      <c r="F33" s="85" t="s">
        <v>425</v>
      </c>
      <c r="G33" s="85" t="s">
        <v>426</v>
      </c>
      <c r="H33" s="85" t="s">
        <v>122</v>
      </c>
      <c r="I33" s="85" t="s">
        <v>220</v>
      </c>
      <c r="J33" s="85" t="n">
        <v>6</v>
      </c>
      <c r="K33" s="85" t="n">
        <v>8</v>
      </c>
      <c r="L33" s="85" t="s">
        <v>35</v>
      </c>
      <c r="M33" s="85" t="n">
        <f aca="false">IF(L33="Low",1,IF(L33="Medium",3,IF(L33="High",5,0)))</f>
        <v>3</v>
      </c>
      <c r="N33" s="85" t="s">
        <v>433</v>
      </c>
    </row>
    <row r="34" customFormat="false" ht="22.35" hidden="false" customHeight="false" outlineLevel="0" collapsed="false">
      <c r="A34" s="85" t="n">
        <v>26</v>
      </c>
      <c r="B34" s="85" t="s">
        <v>487</v>
      </c>
      <c r="C34" s="85" t="s">
        <v>422</v>
      </c>
      <c r="D34" s="85" t="s">
        <v>488</v>
      </c>
      <c r="E34" s="85" t="s">
        <v>424</v>
      </c>
      <c r="F34" s="85" t="s">
        <v>425</v>
      </c>
      <c r="G34" s="85" t="s">
        <v>426</v>
      </c>
      <c r="H34" s="85" t="s">
        <v>122</v>
      </c>
      <c r="I34" s="85" t="s">
        <v>220</v>
      </c>
      <c r="J34" s="85" t="n">
        <v>4</v>
      </c>
      <c r="K34" s="85" t="n">
        <v>6</v>
      </c>
      <c r="L34" s="85" t="s">
        <v>33</v>
      </c>
      <c r="M34" s="85" t="n">
        <f aca="false">IF(L34="Low",1,IF(L34="Medium",3,IF(L34="High",5,0)))</f>
        <v>1</v>
      </c>
      <c r="N34" s="85" t="s">
        <v>467</v>
      </c>
    </row>
    <row r="35" customFormat="false" ht="22.35" hidden="false" customHeight="false" outlineLevel="0" collapsed="false">
      <c r="A35" s="85" t="n">
        <v>27</v>
      </c>
      <c r="B35" s="85" t="s">
        <v>489</v>
      </c>
      <c r="C35" s="85" t="s">
        <v>422</v>
      </c>
      <c r="D35" s="85" t="s">
        <v>490</v>
      </c>
      <c r="E35" s="85" t="s">
        <v>424</v>
      </c>
      <c r="F35" s="85" t="s">
        <v>425</v>
      </c>
      <c r="G35" s="85" t="s">
        <v>426</v>
      </c>
      <c r="H35" s="85" t="s">
        <v>122</v>
      </c>
      <c r="I35" s="85" t="s">
        <v>220</v>
      </c>
      <c r="J35" s="85" t="n">
        <v>4</v>
      </c>
      <c r="K35" s="85" t="n">
        <v>6</v>
      </c>
      <c r="L35" s="85" t="s">
        <v>33</v>
      </c>
      <c r="M35" s="85" t="n">
        <f aca="false">IF(L35="Low",1,IF(L35="Medium",3,IF(L35="High",5,0)))</f>
        <v>1</v>
      </c>
      <c r="N35" s="85" t="s">
        <v>467</v>
      </c>
    </row>
    <row r="36" customFormat="false" ht="22.35" hidden="false" customHeight="false" outlineLevel="0" collapsed="false">
      <c r="A36" s="85" t="n">
        <v>28</v>
      </c>
      <c r="B36" s="85" t="s">
        <v>491</v>
      </c>
      <c r="C36" s="85" t="s">
        <v>422</v>
      </c>
      <c r="D36" s="85" t="s">
        <v>492</v>
      </c>
      <c r="E36" s="85" t="s">
        <v>424</v>
      </c>
      <c r="F36" s="85" t="s">
        <v>425</v>
      </c>
      <c r="G36" s="85" t="s">
        <v>426</v>
      </c>
      <c r="H36" s="85" t="s">
        <v>122</v>
      </c>
      <c r="I36" s="85" t="s">
        <v>220</v>
      </c>
      <c r="J36" s="85" t="n">
        <v>4</v>
      </c>
      <c r="K36" s="85" t="n">
        <v>4</v>
      </c>
      <c r="L36" s="85" t="s">
        <v>33</v>
      </c>
      <c r="M36" s="85" t="n">
        <f aca="false">IF(L36="Low",1,IF(L36="Medium",3,IF(L36="High",5,0)))</f>
        <v>1</v>
      </c>
      <c r="N36" s="85" t="s">
        <v>460</v>
      </c>
    </row>
    <row r="37" customFormat="false" ht="22.35" hidden="false" customHeight="false" outlineLevel="0" collapsed="false">
      <c r="A37" s="85" t="n">
        <v>29</v>
      </c>
      <c r="B37" s="85" t="s">
        <v>493</v>
      </c>
      <c r="C37" s="85" t="s">
        <v>422</v>
      </c>
      <c r="D37" s="85" t="s">
        <v>494</v>
      </c>
      <c r="E37" s="85" t="s">
        <v>424</v>
      </c>
      <c r="F37" s="85" t="s">
        <v>425</v>
      </c>
      <c r="G37" s="85" t="s">
        <v>426</v>
      </c>
      <c r="H37" s="85" t="s">
        <v>123</v>
      </c>
      <c r="I37" s="85" t="s">
        <v>231</v>
      </c>
      <c r="J37" s="85" t="n">
        <v>6</v>
      </c>
      <c r="K37" s="85" t="n">
        <v>16</v>
      </c>
      <c r="L37" s="85" t="s">
        <v>35</v>
      </c>
      <c r="M37" s="85" t="n">
        <f aca="false">IF(L37="Low",1,IF(L37="Medium",3,IF(L37="High",5,0)))</f>
        <v>3</v>
      </c>
      <c r="N37" s="85" t="s">
        <v>430</v>
      </c>
    </row>
    <row r="38" customFormat="false" ht="22.35" hidden="false" customHeight="false" outlineLevel="0" collapsed="false">
      <c r="A38" s="85" t="n">
        <v>30</v>
      </c>
      <c r="B38" s="85" t="s">
        <v>495</v>
      </c>
      <c r="C38" s="85" t="s">
        <v>422</v>
      </c>
      <c r="D38" s="85" t="s">
        <v>496</v>
      </c>
      <c r="E38" s="85" t="s">
        <v>424</v>
      </c>
      <c r="F38" s="85" t="s">
        <v>425</v>
      </c>
      <c r="G38" s="85" t="s">
        <v>426</v>
      </c>
      <c r="H38" s="85" t="s">
        <v>123</v>
      </c>
      <c r="I38" s="85" t="s">
        <v>231</v>
      </c>
      <c r="J38" s="85" t="n">
        <v>6</v>
      </c>
      <c r="K38" s="85" t="n">
        <v>12</v>
      </c>
      <c r="L38" s="85" t="s">
        <v>35</v>
      </c>
      <c r="M38" s="85" t="n">
        <f aca="false">IF(L38="Low",1,IF(L38="Medium",3,IF(L38="High",5,0)))</f>
        <v>3</v>
      </c>
      <c r="N38" s="85" t="s">
        <v>455</v>
      </c>
    </row>
    <row r="39" customFormat="false" ht="22.35" hidden="false" customHeight="false" outlineLevel="0" collapsed="false">
      <c r="A39" s="85" t="n">
        <v>31</v>
      </c>
      <c r="B39" s="85" t="s">
        <v>497</v>
      </c>
      <c r="C39" s="85" t="s">
        <v>422</v>
      </c>
      <c r="D39" s="85" t="s">
        <v>498</v>
      </c>
      <c r="E39" s="85" t="s">
        <v>438</v>
      </c>
      <c r="F39" s="85" t="s">
        <v>439</v>
      </c>
      <c r="G39" s="85" t="s">
        <v>426</v>
      </c>
      <c r="H39" s="85" t="s">
        <v>123</v>
      </c>
      <c r="I39" s="85" t="s">
        <v>231</v>
      </c>
      <c r="J39" s="85" t="n">
        <v>6</v>
      </c>
      <c r="K39" s="85" t="n">
        <v>16</v>
      </c>
      <c r="L39" s="85" t="s">
        <v>35</v>
      </c>
      <c r="M39" s="85" t="n">
        <f aca="false">IF(L39="Low",1,IF(L39="Medium",3,IF(L39="High",5,0)))</f>
        <v>3</v>
      </c>
      <c r="N39" s="85" t="s">
        <v>430</v>
      </c>
    </row>
    <row r="40" customFormat="false" ht="22.35" hidden="false" customHeight="false" outlineLevel="0" collapsed="false">
      <c r="A40" s="85" t="n">
        <v>32</v>
      </c>
      <c r="B40" s="85" t="s">
        <v>499</v>
      </c>
      <c r="C40" s="85" t="s">
        <v>422</v>
      </c>
      <c r="D40" s="85" t="s">
        <v>500</v>
      </c>
      <c r="E40" s="85" t="s">
        <v>424</v>
      </c>
      <c r="F40" s="85" t="s">
        <v>425</v>
      </c>
      <c r="G40" s="85" t="s">
        <v>426</v>
      </c>
      <c r="H40" s="85" t="s">
        <v>123</v>
      </c>
      <c r="I40" s="85" t="s">
        <v>231</v>
      </c>
      <c r="J40" s="85" t="n">
        <v>5</v>
      </c>
      <c r="K40" s="85" t="n">
        <v>8</v>
      </c>
      <c r="L40" s="85" t="s">
        <v>35</v>
      </c>
      <c r="M40" s="85" t="n">
        <f aca="false">IF(L40="Low",1,IF(L40="Medium",3,IF(L40="High",5,0)))</f>
        <v>3</v>
      </c>
      <c r="N40" s="85" t="s">
        <v>433</v>
      </c>
    </row>
    <row r="41" customFormat="false" ht="22.35" hidden="false" customHeight="false" outlineLevel="0" collapsed="false">
      <c r="A41" s="85" t="n">
        <v>33</v>
      </c>
      <c r="B41" s="85" t="s">
        <v>501</v>
      </c>
      <c r="C41" s="85" t="s">
        <v>422</v>
      </c>
      <c r="D41" s="85" t="s">
        <v>502</v>
      </c>
      <c r="E41" s="85" t="s">
        <v>424</v>
      </c>
      <c r="F41" s="85" t="s">
        <v>425</v>
      </c>
      <c r="G41" s="85" t="s">
        <v>426</v>
      </c>
      <c r="H41" s="85" t="s">
        <v>123</v>
      </c>
      <c r="I41" s="85" t="s">
        <v>234</v>
      </c>
      <c r="J41" s="85" t="n">
        <v>5</v>
      </c>
      <c r="K41" s="85" t="n">
        <v>8</v>
      </c>
      <c r="L41" s="85" t="s">
        <v>35</v>
      </c>
      <c r="M41" s="85" t="n">
        <f aca="false">IF(L41="Low",1,IF(L41="Medium",3,IF(L41="High",5,0)))</f>
        <v>3</v>
      </c>
      <c r="N41" s="85" t="s">
        <v>433</v>
      </c>
    </row>
    <row r="42" customFormat="false" ht="22.35" hidden="false" customHeight="false" outlineLevel="0" collapsed="false">
      <c r="A42" s="85" t="n">
        <v>34</v>
      </c>
      <c r="B42" s="85" t="s">
        <v>503</v>
      </c>
      <c r="C42" s="85" t="s">
        <v>422</v>
      </c>
      <c r="D42" s="85" t="s">
        <v>504</v>
      </c>
      <c r="E42" s="85" t="s">
        <v>438</v>
      </c>
      <c r="F42" s="85" t="s">
        <v>445</v>
      </c>
      <c r="G42" s="85" t="s">
        <v>426</v>
      </c>
      <c r="H42" s="85" t="s">
        <v>123</v>
      </c>
      <c r="I42" s="85" t="s">
        <v>231</v>
      </c>
      <c r="J42" s="85" t="n">
        <v>5</v>
      </c>
      <c r="K42" s="85" t="n">
        <v>8</v>
      </c>
      <c r="L42" s="85" t="s">
        <v>35</v>
      </c>
      <c r="M42" s="85" t="n">
        <f aca="false">IF(L42="Low",1,IF(L42="Medium",3,IF(L42="High",5,0)))</f>
        <v>3</v>
      </c>
      <c r="N42" s="85" t="s">
        <v>433</v>
      </c>
    </row>
    <row r="43" customFormat="false" ht="22.35" hidden="false" customHeight="false" outlineLevel="0" collapsed="false">
      <c r="A43" s="85" t="n">
        <v>35</v>
      </c>
      <c r="B43" s="85" t="s">
        <v>505</v>
      </c>
      <c r="C43" s="85" t="s">
        <v>422</v>
      </c>
      <c r="D43" s="85" t="s">
        <v>506</v>
      </c>
      <c r="E43" s="85" t="s">
        <v>424</v>
      </c>
      <c r="F43" s="85" t="s">
        <v>445</v>
      </c>
      <c r="G43" s="85" t="s">
        <v>426</v>
      </c>
      <c r="H43" s="85" t="s">
        <v>123</v>
      </c>
      <c r="I43" s="85" t="s">
        <v>231</v>
      </c>
      <c r="J43" s="85" t="n">
        <v>4</v>
      </c>
      <c r="K43" s="85" t="n">
        <v>8</v>
      </c>
      <c r="L43" s="85" t="s">
        <v>35</v>
      </c>
      <c r="M43" s="85" t="n">
        <f aca="false">IF(L43="Low",1,IF(L43="Medium",3,IF(L43="High",5,0)))</f>
        <v>3</v>
      </c>
      <c r="N43" s="85" t="s">
        <v>433</v>
      </c>
    </row>
    <row r="44" customFormat="false" ht="22.35" hidden="false" customHeight="false" outlineLevel="0" collapsed="false">
      <c r="A44" s="85" t="n">
        <v>36</v>
      </c>
      <c r="B44" s="85" t="s">
        <v>507</v>
      </c>
      <c r="C44" s="85" t="s">
        <v>422</v>
      </c>
      <c r="D44" s="85" t="s">
        <v>508</v>
      </c>
      <c r="E44" s="85" t="s">
        <v>424</v>
      </c>
      <c r="F44" s="85" t="s">
        <v>425</v>
      </c>
      <c r="G44" s="85" t="s">
        <v>426</v>
      </c>
      <c r="H44" s="85" t="s">
        <v>123</v>
      </c>
      <c r="I44" s="85" t="s">
        <v>234</v>
      </c>
      <c r="J44" s="85" t="n">
        <v>4</v>
      </c>
      <c r="K44" s="85" t="n">
        <v>6</v>
      </c>
      <c r="L44" s="85" t="s">
        <v>33</v>
      </c>
      <c r="M44" s="85" t="n">
        <f aca="false">IF(L44="Low",1,IF(L44="Medium",3,IF(L44="High",5,0)))</f>
        <v>1</v>
      </c>
      <c r="N44" s="85" t="s">
        <v>467</v>
      </c>
    </row>
    <row r="45" customFormat="false" ht="22.35" hidden="false" customHeight="false" outlineLevel="0" collapsed="false">
      <c r="A45" s="85" t="n">
        <v>37</v>
      </c>
      <c r="B45" s="85" t="s">
        <v>509</v>
      </c>
      <c r="C45" s="85" t="s">
        <v>422</v>
      </c>
      <c r="D45" s="85" t="s">
        <v>510</v>
      </c>
      <c r="E45" s="85" t="s">
        <v>424</v>
      </c>
      <c r="F45" s="85" t="s">
        <v>425</v>
      </c>
      <c r="G45" s="85" t="s">
        <v>426</v>
      </c>
      <c r="H45" s="85" t="s">
        <v>124</v>
      </c>
      <c r="I45" s="85" t="s">
        <v>248</v>
      </c>
      <c r="J45" s="85" t="n">
        <v>5</v>
      </c>
      <c r="K45" s="85" t="n">
        <v>8</v>
      </c>
      <c r="L45" s="85" t="s">
        <v>35</v>
      </c>
      <c r="M45" s="85" t="n">
        <f aca="false">IF(L45="Low",1,IF(L45="Medium",3,IF(L45="High",5,0)))</f>
        <v>3</v>
      </c>
      <c r="N45" s="85" t="s">
        <v>433</v>
      </c>
    </row>
    <row r="46" customFormat="false" ht="22.35" hidden="false" customHeight="false" outlineLevel="0" collapsed="false">
      <c r="A46" s="85" t="n">
        <v>38</v>
      </c>
      <c r="B46" s="85" t="s">
        <v>511</v>
      </c>
      <c r="C46" s="85" t="s">
        <v>422</v>
      </c>
      <c r="D46" s="85" t="s">
        <v>512</v>
      </c>
      <c r="E46" s="85" t="s">
        <v>424</v>
      </c>
      <c r="F46" s="85" t="s">
        <v>425</v>
      </c>
      <c r="G46" s="85" t="s">
        <v>426</v>
      </c>
      <c r="H46" s="85" t="s">
        <v>124</v>
      </c>
      <c r="I46" s="85" t="s">
        <v>248</v>
      </c>
      <c r="J46" s="85" t="n">
        <v>5</v>
      </c>
      <c r="K46" s="85" t="n">
        <v>8</v>
      </c>
      <c r="L46" s="85" t="s">
        <v>35</v>
      </c>
      <c r="M46" s="85" t="n">
        <f aca="false">IF(L46="Low",1,IF(L46="Medium",3,IF(L46="High",5,0)))</f>
        <v>3</v>
      </c>
      <c r="N46" s="85" t="s">
        <v>433</v>
      </c>
    </row>
    <row r="47" customFormat="false" ht="22.35" hidden="false" customHeight="false" outlineLevel="0" collapsed="false">
      <c r="A47" s="85" t="n">
        <v>39</v>
      </c>
      <c r="B47" s="85" t="s">
        <v>513</v>
      </c>
      <c r="C47" s="85" t="s">
        <v>422</v>
      </c>
      <c r="D47" s="85" t="s">
        <v>514</v>
      </c>
      <c r="E47" s="85" t="s">
        <v>424</v>
      </c>
      <c r="F47" s="85" t="s">
        <v>425</v>
      </c>
      <c r="G47" s="85" t="s">
        <v>426</v>
      </c>
      <c r="H47" s="85" t="s">
        <v>124</v>
      </c>
      <c r="I47" s="85" t="s">
        <v>248</v>
      </c>
      <c r="J47" s="85" t="n">
        <v>5</v>
      </c>
      <c r="K47" s="85" t="n">
        <v>6</v>
      </c>
      <c r="L47" s="85" t="s">
        <v>33</v>
      </c>
      <c r="M47" s="85" t="n">
        <f aca="false">IF(L47="Low",1,IF(L47="Medium",3,IF(L47="High",5,0)))</f>
        <v>1</v>
      </c>
      <c r="N47" s="85" t="s">
        <v>467</v>
      </c>
    </row>
    <row r="48" customFormat="false" ht="22.35" hidden="false" customHeight="false" outlineLevel="0" collapsed="false">
      <c r="A48" s="85" t="n">
        <v>40</v>
      </c>
      <c r="B48" s="85" t="s">
        <v>515</v>
      </c>
      <c r="C48" s="85" t="s">
        <v>422</v>
      </c>
      <c r="D48" s="85" t="s">
        <v>516</v>
      </c>
      <c r="E48" s="85" t="s">
        <v>424</v>
      </c>
      <c r="F48" s="85" t="s">
        <v>425</v>
      </c>
      <c r="G48" s="85" t="s">
        <v>426</v>
      </c>
      <c r="H48" s="85" t="s">
        <v>124</v>
      </c>
      <c r="I48" s="85" t="s">
        <v>248</v>
      </c>
      <c r="J48" s="85" t="n">
        <v>5</v>
      </c>
      <c r="K48" s="85" t="n">
        <v>8</v>
      </c>
      <c r="L48" s="85" t="s">
        <v>35</v>
      </c>
      <c r="M48" s="85" t="n">
        <f aca="false">IF(L48="Low",1,IF(L48="Medium",3,IF(L48="High",5,0)))</f>
        <v>3</v>
      </c>
      <c r="N48" s="85" t="s">
        <v>433</v>
      </c>
    </row>
    <row r="49" customFormat="false" ht="22.35" hidden="false" customHeight="false" outlineLevel="0" collapsed="false">
      <c r="A49" s="85" t="n">
        <v>41</v>
      </c>
      <c r="B49" s="85" t="s">
        <v>517</v>
      </c>
      <c r="C49" s="85" t="s">
        <v>422</v>
      </c>
      <c r="D49" s="85" t="s">
        <v>518</v>
      </c>
      <c r="E49" s="85" t="s">
        <v>424</v>
      </c>
      <c r="F49" s="85" t="s">
        <v>425</v>
      </c>
      <c r="G49" s="85" t="s">
        <v>426</v>
      </c>
      <c r="H49" s="85" t="s">
        <v>124</v>
      </c>
      <c r="I49" s="85" t="s">
        <v>248</v>
      </c>
      <c r="J49" s="85" t="n">
        <v>5</v>
      </c>
      <c r="K49" s="85" t="n">
        <v>4</v>
      </c>
      <c r="L49" s="85" t="s">
        <v>33</v>
      </c>
      <c r="M49" s="85" t="n">
        <f aca="false">IF(L49="Low",1,IF(L49="Medium",3,IF(L49="High",5,0)))</f>
        <v>1</v>
      </c>
      <c r="N49" s="85" t="s">
        <v>460</v>
      </c>
    </row>
    <row r="50" customFormat="false" ht="22.35" hidden="false" customHeight="false" outlineLevel="0" collapsed="false">
      <c r="A50" s="85" t="n">
        <v>42</v>
      </c>
      <c r="B50" s="85" t="s">
        <v>519</v>
      </c>
      <c r="C50" s="85" t="s">
        <v>422</v>
      </c>
      <c r="D50" s="85" t="s">
        <v>520</v>
      </c>
      <c r="E50" s="85" t="s">
        <v>438</v>
      </c>
      <c r="F50" s="85" t="s">
        <v>425</v>
      </c>
      <c r="G50" s="85" t="s">
        <v>426</v>
      </c>
      <c r="H50" s="85" t="s">
        <v>125</v>
      </c>
      <c r="I50" s="85" t="s">
        <v>259</v>
      </c>
      <c r="J50" s="85" t="n">
        <v>5</v>
      </c>
      <c r="K50" s="85" t="n">
        <v>16</v>
      </c>
      <c r="L50" s="85" t="s">
        <v>35</v>
      </c>
      <c r="M50" s="85" t="n">
        <f aca="false">IF(L50="Low",1,IF(L50="Medium",3,IF(L50="High",5,0)))</f>
        <v>3</v>
      </c>
      <c r="N50" s="85" t="s">
        <v>430</v>
      </c>
    </row>
    <row r="51" customFormat="false" ht="22.35" hidden="false" customHeight="false" outlineLevel="0" collapsed="false">
      <c r="A51" s="85" t="n">
        <v>43</v>
      </c>
      <c r="B51" s="85" t="s">
        <v>521</v>
      </c>
      <c r="C51" s="85" t="s">
        <v>422</v>
      </c>
      <c r="D51" s="85" t="s">
        <v>522</v>
      </c>
      <c r="E51" s="85" t="s">
        <v>424</v>
      </c>
      <c r="F51" s="85" t="s">
        <v>425</v>
      </c>
      <c r="G51" s="85" t="s">
        <v>426</v>
      </c>
      <c r="H51" s="85" t="s">
        <v>125</v>
      </c>
      <c r="I51" s="85" t="s">
        <v>262</v>
      </c>
      <c r="J51" s="85" t="n">
        <v>5</v>
      </c>
      <c r="K51" s="85" t="n">
        <v>4</v>
      </c>
      <c r="L51" s="85" t="s">
        <v>33</v>
      </c>
      <c r="M51" s="85" t="n">
        <f aca="false">IF(L51="Low",1,IF(L51="Medium",3,IF(L51="High",5,0)))</f>
        <v>1</v>
      </c>
      <c r="N51" s="85" t="s">
        <v>460</v>
      </c>
    </row>
    <row r="52" customFormat="false" ht="22.35" hidden="false" customHeight="false" outlineLevel="0" collapsed="false">
      <c r="A52" s="85" t="n">
        <v>44</v>
      </c>
      <c r="B52" s="85" t="s">
        <v>523</v>
      </c>
      <c r="C52" s="85" t="s">
        <v>422</v>
      </c>
      <c r="D52" s="85" t="s">
        <v>524</v>
      </c>
      <c r="E52" s="85" t="s">
        <v>424</v>
      </c>
      <c r="F52" s="85" t="s">
        <v>425</v>
      </c>
      <c r="G52" s="85" t="s">
        <v>426</v>
      </c>
      <c r="H52" s="85" t="s">
        <v>125</v>
      </c>
      <c r="I52" s="85" t="s">
        <v>262</v>
      </c>
      <c r="J52" s="85" t="n">
        <v>5</v>
      </c>
      <c r="K52" s="85" t="n">
        <v>4</v>
      </c>
      <c r="L52" s="85" t="s">
        <v>33</v>
      </c>
      <c r="M52" s="85" t="n">
        <f aca="false">IF(L52="Low",1,IF(L52="Medium",3,IF(L52="High",5,0)))</f>
        <v>1</v>
      </c>
      <c r="N52" s="85" t="s">
        <v>460</v>
      </c>
    </row>
    <row r="53" customFormat="false" ht="22.35" hidden="false" customHeight="false" outlineLevel="0" collapsed="false">
      <c r="A53" s="85" t="n">
        <v>45</v>
      </c>
      <c r="B53" s="85" t="s">
        <v>525</v>
      </c>
      <c r="C53" s="85" t="s">
        <v>422</v>
      </c>
      <c r="D53" s="85" t="s">
        <v>526</v>
      </c>
      <c r="E53" s="85" t="s">
        <v>438</v>
      </c>
      <c r="F53" s="85" t="s">
        <v>439</v>
      </c>
      <c r="G53" s="85" t="s">
        <v>426</v>
      </c>
      <c r="H53" s="85" t="s">
        <v>125</v>
      </c>
      <c r="I53" s="85" t="s">
        <v>259</v>
      </c>
      <c r="J53" s="85" t="n">
        <v>6</v>
      </c>
      <c r="K53" s="85" t="n">
        <v>24</v>
      </c>
      <c r="L53" s="85" t="s">
        <v>37</v>
      </c>
      <c r="M53" s="85" t="n">
        <f aca="false">IF(L53="Low",1,IF(L53="Medium",3,IF(L53="High",5,0)))</f>
        <v>5</v>
      </c>
      <c r="N53" s="85" t="s">
        <v>440</v>
      </c>
    </row>
    <row r="54" customFormat="false" ht="22.35" hidden="false" customHeight="false" outlineLevel="0" collapsed="false">
      <c r="A54" s="85" t="n">
        <v>46</v>
      </c>
      <c r="B54" s="85" t="s">
        <v>527</v>
      </c>
      <c r="C54" s="85" t="s">
        <v>422</v>
      </c>
      <c r="D54" s="85" t="s">
        <v>528</v>
      </c>
      <c r="E54" s="85" t="s">
        <v>529</v>
      </c>
      <c r="F54" s="85" t="s">
        <v>445</v>
      </c>
      <c r="G54" s="85" t="s">
        <v>426</v>
      </c>
      <c r="H54" s="85" t="s">
        <v>125</v>
      </c>
      <c r="I54" s="85" t="s">
        <v>259</v>
      </c>
      <c r="J54" s="85" t="n">
        <v>4</v>
      </c>
      <c r="K54" s="85" t="n">
        <v>8</v>
      </c>
      <c r="L54" s="85" t="s">
        <v>35</v>
      </c>
      <c r="M54" s="85" t="n">
        <f aca="false">IF(L54="Low",1,IF(L54="Medium",3,IF(L54="High",5,0)))</f>
        <v>3</v>
      </c>
      <c r="N54" s="85" t="s">
        <v>433</v>
      </c>
    </row>
    <row r="55" customFormat="false" ht="22.35" hidden="false" customHeight="false" outlineLevel="0" collapsed="false">
      <c r="A55" s="85" t="n">
        <v>47</v>
      </c>
      <c r="B55" s="85" t="s">
        <v>530</v>
      </c>
      <c r="C55" s="85" t="s">
        <v>422</v>
      </c>
      <c r="D55" s="85" t="s">
        <v>531</v>
      </c>
      <c r="E55" s="85" t="s">
        <v>438</v>
      </c>
      <c r="F55" s="85" t="s">
        <v>445</v>
      </c>
      <c r="G55" s="85" t="s">
        <v>426</v>
      </c>
      <c r="H55" s="85" t="s">
        <v>137</v>
      </c>
      <c r="I55" s="85" t="s">
        <v>370</v>
      </c>
      <c r="J55" s="85" t="n">
        <v>5</v>
      </c>
      <c r="K55" s="85" t="n">
        <v>24</v>
      </c>
      <c r="L55" s="85" t="s">
        <v>37</v>
      </c>
      <c r="M55" s="85" t="n">
        <f aca="false">IF(L55="Low",1,IF(L55="Medium",3,IF(L55="High",5,0)))</f>
        <v>5</v>
      </c>
      <c r="N55" s="85" t="s">
        <v>440</v>
      </c>
    </row>
    <row r="56" customFormat="false" ht="22.35" hidden="false" customHeight="false" outlineLevel="0" collapsed="false">
      <c r="A56" s="85" t="n">
        <v>48</v>
      </c>
      <c r="B56" s="85" t="s">
        <v>532</v>
      </c>
      <c r="C56" s="85" t="s">
        <v>422</v>
      </c>
      <c r="D56" s="85" t="s">
        <v>533</v>
      </c>
      <c r="E56" s="85" t="s">
        <v>438</v>
      </c>
      <c r="F56" s="85" t="s">
        <v>445</v>
      </c>
      <c r="G56" s="85" t="s">
        <v>426</v>
      </c>
      <c r="H56" s="85" t="s">
        <v>137</v>
      </c>
      <c r="I56" s="85" t="s">
        <v>370</v>
      </c>
      <c r="J56" s="85" t="n">
        <v>5</v>
      </c>
      <c r="K56" s="85" t="n">
        <v>20</v>
      </c>
      <c r="L56" s="85" t="s">
        <v>37</v>
      </c>
      <c r="M56" s="85" t="n">
        <f aca="false">IF(L56="Low",1,IF(L56="Medium",3,IF(L56="High",5,0)))</f>
        <v>5</v>
      </c>
      <c r="N56" s="85" t="s">
        <v>427</v>
      </c>
    </row>
    <row r="57" customFormat="false" ht="22.35" hidden="false" customHeight="false" outlineLevel="0" collapsed="false">
      <c r="A57" s="85" t="n">
        <v>49</v>
      </c>
      <c r="B57" s="85" t="s">
        <v>534</v>
      </c>
      <c r="C57" s="85" t="s">
        <v>422</v>
      </c>
      <c r="D57" s="85" t="s">
        <v>535</v>
      </c>
      <c r="E57" s="85" t="s">
        <v>424</v>
      </c>
      <c r="F57" s="85" t="s">
        <v>425</v>
      </c>
      <c r="G57" s="85" t="s">
        <v>426</v>
      </c>
      <c r="H57" s="85" t="s">
        <v>137</v>
      </c>
      <c r="I57" s="85" t="s">
        <v>370</v>
      </c>
      <c r="J57" s="85" t="n">
        <v>5</v>
      </c>
      <c r="K57" s="85" t="n">
        <v>8</v>
      </c>
      <c r="L57" s="85" t="s">
        <v>35</v>
      </c>
      <c r="M57" s="85" t="n">
        <f aca="false">IF(L57="Low",1,IF(L57="Medium",3,IF(L57="High",5,0)))</f>
        <v>3</v>
      </c>
      <c r="N57" s="85" t="s">
        <v>433</v>
      </c>
    </row>
    <row r="58" customFormat="false" ht="22.35" hidden="false" customHeight="false" outlineLevel="0" collapsed="false">
      <c r="A58" s="85" t="n">
        <v>50</v>
      </c>
      <c r="B58" s="85" t="s">
        <v>536</v>
      </c>
      <c r="C58" s="85" t="s">
        <v>422</v>
      </c>
      <c r="D58" s="85" t="s">
        <v>537</v>
      </c>
      <c r="E58" s="85" t="s">
        <v>438</v>
      </c>
      <c r="F58" s="85" t="s">
        <v>439</v>
      </c>
      <c r="G58" s="85" t="s">
        <v>426</v>
      </c>
      <c r="H58" s="85" t="s">
        <v>136</v>
      </c>
      <c r="I58" s="85" t="s">
        <v>362</v>
      </c>
      <c r="J58" s="85" t="n">
        <v>5</v>
      </c>
      <c r="K58" s="85" t="n">
        <v>30</v>
      </c>
      <c r="L58" s="85" t="s">
        <v>37</v>
      </c>
      <c r="M58" s="85" t="n">
        <f aca="false">IF(L58="Low",1,IF(L58="Medium",3,IF(L58="High",5,0)))</f>
        <v>5</v>
      </c>
      <c r="N58" s="85" t="s">
        <v>538</v>
      </c>
    </row>
    <row r="59" customFormat="false" ht="22.35" hidden="false" customHeight="false" outlineLevel="0" collapsed="false">
      <c r="A59" s="85" t="n">
        <v>51</v>
      </c>
      <c r="B59" s="85" t="s">
        <v>539</v>
      </c>
      <c r="C59" s="85" t="s">
        <v>422</v>
      </c>
      <c r="D59" s="85" t="s">
        <v>540</v>
      </c>
      <c r="E59" s="85" t="s">
        <v>438</v>
      </c>
      <c r="F59" s="85" t="s">
        <v>439</v>
      </c>
      <c r="G59" s="85" t="s">
        <v>426</v>
      </c>
      <c r="H59" s="85" t="s">
        <v>136</v>
      </c>
      <c r="I59" s="85" t="s">
        <v>362</v>
      </c>
      <c r="J59" s="85" t="n">
        <v>5</v>
      </c>
      <c r="K59" s="85" t="n">
        <v>20</v>
      </c>
      <c r="L59" s="85" t="s">
        <v>37</v>
      </c>
      <c r="M59" s="85" t="n">
        <f aca="false">IF(L59="Low",1,IF(L59="Medium",3,IF(L59="High",5,0)))</f>
        <v>5</v>
      </c>
      <c r="N59" s="85" t="s">
        <v>427</v>
      </c>
    </row>
    <row r="60" customFormat="false" ht="22.35" hidden="false" customHeight="false" outlineLevel="0" collapsed="false">
      <c r="A60" s="85" t="n">
        <v>52</v>
      </c>
      <c r="B60" s="85" t="s">
        <v>541</v>
      </c>
      <c r="C60" s="85" t="s">
        <v>422</v>
      </c>
      <c r="D60" s="85" t="s">
        <v>542</v>
      </c>
      <c r="E60" s="85" t="s">
        <v>438</v>
      </c>
      <c r="F60" s="85" t="s">
        <v>445</v>
      </c>
      <c r="G60" s="85" t="s">
        <v>426</v>
      </c>
      <c r="H60" s="85" t="s">
        <v>136</v>
      </c>
      <c r="I60" s="85" t="s">
        <v>365</v>
      </c>
      <c r="J60" s="85" t="n">
        <v>5</v>
      </c>
      <c r="K60" s="85" t="n">
        <v>16</v>
      </c>
      <c r="L60" s="85" t="s">
        <v>35</v>
      </c>
      <c r="M60" s="85" t="n">
        <f aca="false">IF(L60="Low",1,IF(L60="Medium",3,IF(L60="High",5,0)))</f>
        <v>3</v>
      </c>
      <c r="N60" s="85" t="s">
        <v>430</v>
      </c>
    </row>
    <row r="61" customFormat="false" ht="22.35" hidden="false" customHeight="false" outlineLevel="0" collapsed="false">
      <c r="A61" s="85" t="n">
        <v>53</v>
      </c>
      <c r="B61" s="85" t="s">
        <v>543</v>
      </c>
      <c r="C61" s="85" t="s">
        <v>422</v>
      </c>
      <c r="D61" s="85" t="s">
        <v>544</v>
      </c>
      <c r="E61" s="85" t="s">
        <v>438</v>
      </c>
      <c r="F61" s="85" t="s">
        <v>445</v>
      </c>
      <c r="G61" s="85" t="s">
        <v>426</v>
      </c>
      <c r="H61" s="85" t="s">
        <v>136</v>
      </c>
      <c r="I61" s="85" t="s">
        <v>365</v>
      </c>
      <c r="J61" s="85" t="n">
        <v>5</v>
      </c>
      <c r="K61" s="85" t="n">
        <v>16</v>
      </c>
      <c r="L61" s="85" t="s">
        <v>35</v>
      </c>
      <c r="M61" s="85" t="n">
        <f aca="false">IF(L61="Low",1,IF(L61="Medium",3,IF(L61="High",5,0)))</f>
        <v>3</v>
      </c>
      <c r="N61" s="85" t="s">
        <v>430</v>
      </c>
    </row>
    <row r="62" customFormat="false" ht="22.35" hidden="false" customHeight="false" outlineLevel="0" collapsed="false">
      <c r="A62" s="85" t="n">
        <v>54</v>
      </c>
      <c r="B62" s="85" t="s">
        <v>545</v>
      </c>
      <c r="C62" s="85" t="s">
        <v>422</v>
      </c>
      <c r="D62" s="85" t="s">
        <v>546</v>
      </c>
      <c r="E62" s="85" t="s">
        <v>424</v>
      </c>
      <c r="F62" s="85" t="s">
        <v>425</v>
      </c>
      <c r="G62" s="85" t="s">
        <v>426</v>
      </c>
      <c r="H62" s="85" t="s">
        <v>131</v>
      </c>
      <c r="I62" s="85" t="s">
        <v>325</v>
      </c>
      <c r="J62" s="85" t="n">
        <v>5</v>
      </c>
      <c r="K62" s="85" t="n">
        <v>8</v>
      </c>
      <c r="L62" s="85" t="s">
        <v>35</v>
      </c>
      <c r="M62" s="85" t="n">
        <f aca="false">IF(L62="Low",1,IF(L62="Medium",3,IF(L62="High",5,0)))</f>
        <v>3</v>
      </c>
      <c r="N62" s="85" t="s">
        <v>433</v>
      </c>
    </row>
    <row r="63" customFormat="false" ht="22.35" hidden="false" customHeight="false" outlineLevel="0" collapsed="false">
      <c r="A63" s="85" t="n">
        <v>55</v>
      </c>
      <c r="B63" s="85" t="s">
        <v>547</v>
      </c>
      <c r="C63" s="85" t="s">
        <v>422</v>
      </c>
      <c r="D63" s="85" t="s">
        <v>548</v>
      </c>
      <c r="E63" s="85" t="s">
        <v>424</v>
      </c>
      <c r="F63" s="85" t="s">
        <v>425</v>
      </c>
      <c r="G63" s="85" t="s">
        <v>426</v>
      </c>
      <c r="H63" s="85" t="s">
        <v>131</v>
      </c>
      <c r="I63" s="85" t="s">
        <v>325</v>
      </c>
      <c r="J63" s="85" t="n">
        <v>5</v>
      </c>
      <c r="K63" s="85" t="n">
        <v>6</v>
      </c>
      <c r="L63" s="85" t="s">
        <v>33</v>
      </c>
      <c r="M63" s="85" t="n">
        <f aca="false">IF(L63="Low",1,IF(L63="Medium",3,IF(L63="High",5,0)))</f>
        <v>1</v>
      </c>
      <c r="N63" s="85" t="s">
        <v>467</v>
      </c>
    </row>
    <row r="64" customFormat="false" ht="22.35" hidden="false" customHeight="false" outlineLevel="0" collapsed="false">
      <c r="A64" s="85" t="n">
        <v>56</v>
      </c>
      <c r="B64" s="85" t="s">
        <v>549</v>
      </c>
      <c r="C64" s="85" t="s">
        <v>422</v>
      </c>
      <c r="D64" s="85" t="s">
        <v>550</v>
      </c>
      <c r="E64" s="85" t="s">
        <v>424</v>
      </c>
      <c r="F64" s="85" t="s">
        <v>425</v>
      </c>
      <c r="G64" s="85" t="s">
        <v>426</v>
      </c>
      <c r="H64" s="85" t="s">
        <v>131</v>
      </c>
      <c r="I64" s="85" t="s">
        <v>325</v>
      </c>
      <c r="J64" s="85" t="n">
        <v>5</v>
      </c>
      <c r="K64" s="85" t="n">
        <v>4</v>
      </c>
      <c r="L64" s="85" t="s">
        <v>33</v>
      </c>
      <c r="M64" s="85" t="n">
        <f aca="false">IF(L64="Low",1,IF(L64="Medium",3,IF(L64="High",5,0)))</f>
        <v>1</v>
      </c>
      <c r="N64" s="85" t="s">
        <v>460</v>
      </c>
    </row>
    <row r="65" customFormat="false" ht="22.35" hidden="false" customHeight="false" outlineLevel="0" collapsed="false">
      <c r="A65" s="85" t="n">
        <v>57</v>
      </c>
      <c r="B65" s="85" t="s">
        <v>551</v>
      </c>
      <c r="C65" s="85" t="s">
        <v>422</v>
      </c>
      <c r="D65" s="85" t="s">
        <v>552</v>
      </c>
      <c r="E65" s="85" t="s">
        <v>424</v>
      </c>
      <c r="F65" s="85" t="s">
        <v>425</v>
      </c>
      <c r="G65" s="85" t="s">
        <v>426</v>
      </c>
      <c r="H65" s="85" t="s">
        <v>126</v>
      </c>
      <c r="I65" s="85" t="s">
        <v>270</v>
      </c>
      <c r="J65" s="85" t="n">
        <v>5</v>
      </c>
      <c r="K65" s="85" t="n">
        <v>6</v>
      </c>
      <c r="L65" s="85" t="s">
        <v>33</v>
      </c>
      <c r="M65" s="85" t="n">
        <f aca="false">IF(L65="Low",1,IF(L65="Medium",3,IF(L65="High",5,0)))</f>
        <v>1</v>
      </c>
      <c r="N65" s="85" t="s">
        <v>467</v>
      </c>
    </row>
    <row r="66" customFormat="false" ht="22.35" hidden="false" customHeight="false" outlineLevel="0" collapsed="false">
      <c r="A66" s="85" t="n">
        <v>58</v>
      </c>
      <c r="B66" s="85" t="s">
        <v>553</v>
      </c>
      <c r="C66" s="85" t="s">
        <v>422</v>
      </c>
      <c r="D66" s="85" t="s">
        <v>554</v>
      </c>
      <c r="E66" s="85" t="s">
        <v>424</v>
      </c>
      <c r="F66" s="85" t="s">
        <v>425</v>
      </c>
      <c r="G66" s="85" t="s">
        <v>426</v>
      </c>
      <c r="H66" s="85" t="s">
        <v>126</v>
      </c>
      <c r="I66" s="85" t="s">
        <v>270</v>
      </c>
      <c r="J66" s="85" t="n">
        <v>5</v>
      </c>
      <c r="K66" s="85" t="n">
        <v>6</v>
      </c>
      <c r="L66" s="85" t="s">
        <v>33</v>
      </c>
      <c r="M66" s="85" t="n">
        <f aca="false">IF(L66="Low",1,IF(L66="Medium",3,IF(L66="High",5,0)))</f>
        <v>1</v>
      </c>
      <c r="N66" s="85" t="s">
        <v>467</v>
      </c>
    </row>
    <row r="67" customFormat="false" ht="22.35" hidden="false" customHeight="false" outlineLevel="0" collapsed="false">
      <c r="A67" s="85" t="n">
        <v>59</v>
      </c>
      <c r="B67" s="85" t="s">
        <v>555</v>
      </c>
      <c r="C67" s="85" t="s">
        <v>422</v>
      </c>
      <c r="D67" s="85" t="s">
        <v>556</v>
      </c>
      <c r="E67" s="85" t="s">
        <v>424</v>
      </c>
      <c r="F67" s="85" t="s">
        <v>425</v>
      </c>
      <c r="G67" s="85" t="s">
        <v>426</v>
      </c>
      <c r="H67" s="85" t="s">
        <v>126</v>
      </c>
      <c r="I67" s="85" t="s">
        <v>270</v>
      </c>
      <c r="J67" s="85" t="n">
        <v>5</v>
      </c>
      <c r="K67" s="85" t="n">
        <v>4</v>
      </c>
      <c r="L67" s="85" t="s">
        <v>33</v>
      </c>
      <c r="M67" s="85" t="n">
        <f aca="false">IF(L67="Low",1,IF(L67="Medium",3,IF(L67="High",5,0)))</f>
        <v>1</v>
      </c>
      <c r="N67" s="85" t="s">
        <v>460</v>
      </c>
    </row>
    <row r="68" customFormat="false" ht="22.35" hidden="false" customHeight="false" outlineLevel="0" collapsed="false">
      <c r="A68" s="85" t="n">
        <v>60</v>
      </c>
      <c r="B68" s="85" t="s">
        <v>557</v>
      </c>
      <c r="C68" s="85" t="s">
        <v>422</v>
      </c>
      <c r="D68" s="85" t="s">
        <v>558</v>
      </c>
      <c r="E68" s="85" t="s">
        <v>424</v>
      </c>
      <c r="F68" s="85" t="s">
        <v>445</v>
      </c>
      <c r="G68" s="85" t="s">
        <v>426</v>
      </c>
      <c r="H68" s="85" t="s">
        <v>126</v>
      </c>
      <c r="I68" s="85" t="s">
        <v>273</v>
      </c>
      <c r="J68" s="85" t="n">
        <v>5</v>
      </c>
      <c r="K68" s="85" t="n">
        <v>16</v>
      </c>
      <c r="L68" s="85" t="s">
        <v>35</v>
      </c>
      <c r="M68" s="85" t="n">
        <f aca="false">IF(L68="Low",1,IF(L68="Medium",3,IF(L68="High",5,0)))</f>
        <v>3</v>
      </c>
      <c r="N68" s="85" t="s">
        <v>430</v>
      </c>
    </row>
    <row r="69" customFormat="false" ht="22.35" hidden="false" customHeight="false" outlineLevel="0" collapsed="false">
      <c r="A69" s="85" t="n">
        <v>61</v>
      </c>
      <c r="B69" s="85" t="s">
        <v>559</v>
      </c>
      <c r="C69" s="85" t="s">
        <v>422</v>
      </c>
      <c r="D69" s="85" t="s">
        <v>560</v>
      </c>
      <c r="E69" s="85" t="s">
        <v>424</v>
      </c>
      <c r="F69" s="85" t="s">
        <v>445</v>
      </c>
      <c r="G69" s="85" t="s">
        <v>426</v>
      </c>
      <c r="H69" s="85" t="s">
        <v>126</v>
      </c>
      <c r="I69" s="85" t="s">
        <v>273</v>
      </c>
      <c r="J69" s="85" t="n">
        <v>4</v>
      </c>
      <c r="K69" s="85" t="n">
        <v>6</v>
      </c>
      <c r="L69" s="85" t="s">
        <v>33</v>
      </c>
      <c r="M69" s="85" t="n">
        <f aca="false">IF(L69="Low",1,IF(L69="Medium",3,IF(L69="High",5,0)))</f>
        <v>1</v>
      </c>
      <c r="N69" s="85" t="s">
        <v>467</v>
      </c>
    </row>
    <row r="70" customFormat="false" ht="22.35" hidden="false" customHeight="false" outlineLevel="0" collapsed="false">
      <c r="A70" s="85" t="n">
        <v>62</v>
      </c>
      <c r="B70" s="85" t="s">
        <v>561</v>
      </c>
      <c r="C70" s="85" t="s">
        <v>422</v>
      </c>
      <c r="D70" s="85" t="s">
        <v>562</v>
      </c>
      <c r="E70" s="85" t="s">
        <v>424</v>
      </c>
      <c r="F70" s="85" t="s">
        <v>425</v>
      </c>
      <c r="G70" s="85" t="s">
        <v>426</v>
      </c>
      <c r="H70" s="85" t="s">
        <v>129</v>
      </c>
      <c r="I70" s="85" t="s">
        <v>300</v>
      </c>
      <c r="J70" s="85" t="n">
        <v>5</v>
      </c>
      <c r="K70" s="85" t="n">
        <v>8</v>
      </c>
      <c r="L70" s="85" t="s">
        <v>35</v>
      </c>
      <c r="M70" s="85" t="n">
        <f aca="false">IF(L70="Low",1,IF(L70="Medium",3,IF(L70="High",5,0)))</f>
        <v>3</v>
      </c>
      <c r="N70" s="85" t="s">
        <v>433</v>
      </c>
    </row>
    <row r="71" customFormat="false" ht="22.35" hidden="false" customHeight="false" outlineLevel="0" collapsed="false">
      <c r="A71" s="85" t="n">
        <v>63</v>
      </c>
      <c r="B71" s="85" t="s">
        <v>563</v>
      </c>
      <c r="C71" s="85" t="s">
        <v>422</v>
      </c>
      <c r="D71" s="85" t="s">
        <v>564</v>
      </c>
      <c r="E71" s="85" t="s">
        <v>424</v>
      </c>
      <c r="F71" s="85" t="s">
        <v>425</v>
      </c>
      <c r="G71" s="85" t="s">
        <v>426</v>
      </c>
      <c r="H71" s="85" t="s">
        <v>129</v>
      </c>
      <c r="I71" s="85" t="s">
        <v>300</v>
      </c>
      <c r="J71" s="85" t="n">
        <v>5</v>
      </c>
      <c r="K71" s="85" t="n">
        <v>4</v>
      </c>
      <c r="L71" s="85" t="s">
        <v>33</v>
      </c>
      <c r="M71" s="85" t="n">
        <f aca="false">IF(L71="Low",1,IF(L71="Medium",3,IF(L71="High",5,0)))</f>
        <v>1</v>
      </c>
      <c r="N71" s="85" t="s">
        <v>460</v>
      </c>
    </row>
    <row r="72" customFormat="false" ht="22.35" hidden="false" customHeight="false" outlineLevel="0" collapsed="false">
      <c r="A72" s="85" t="n">
        <v>64</v>
      </c>
      <c r="B72" s="85" t="s">
        <v>565</v>
      </c>
      <c r="C72" s="85" t="s">
        <v>422</v>
      </c>
      <c r="D72" s="85" t="s">
        <v>566</v>
      </c>
      <c r="E72" s="85" t="s">
        <v>424</v>
      </c>
      <c r="F72" s="85" t="s">
        <v>425</v>
      </c>
      <c r="G72" s="85" t="s">
        <v>426</v>
      </c>
      <c r="H72" s="85" t="s">
        <v>129</v>
      </c>
      <c r="I72" s="85" t="s">
        <v>300</v>
      </c>
      <c r="J72" s="85" t="n">
        <v>5</v>
      </c>
      <c r="K72" s="85" t="n">
        <v>4</v>
      </c>
      <c r="L72" s="85" t="s">
        <v>33</v>
      </c>
      <c r="M72" s="85" t="n">
        <f aca="false">IF(L72="Low",1,IF(L72="Medium",3,IF(L72="High",5,0)))</f>
        <v>1</v>
      </c>
      <c r="N72" s="85" t="s">
        <v>460</v>
      </c>
    </row>
    <row r="73" customFormat="false" ht="22.35" hidden="false" customHeight="false" outlineLevel="0" collapsed="false">
      <c r="A73" s="85" t="n">
        <v>65</v>
      </c>
      <c r="B73" s="85" t="s">
        <v>567</v>
      </c>
      <c r="C73" s="85" t="s">
        <v>422</v>
      </c>
      <c r="D73" s="85" t="s">
        <v>568</v>
      </c>
      <c r="E73" s="85" t="s">
        <v>424</v>
      </c>
      <c r="F73" s="85" t="s">
        <v>425</v>
      </c>
      <c r="G73" s="85" t="s">
        <v>426</v>
      </c>
      <c r="H73" s="85" t="s">
        <v>129</v>
      </c>
      <c r="I73" s="85" t="s">
        <v>300</v>
      </c>
      <c r="J73" s="85" t="n">
        <v>5</v>
      </c>
      <c r="K73" s="85" t="n">
        <v>4</v>
      </c>
      <c r="L73" s="85" t="s">
        <v>33</v>
      </c>
      <c r="M73" s="85" t="n">
        <f aca="false">IF(L73="Low",1,IF(L73="Medium",3,IF(L73="High",5,0)))</f>
        <v>1</v>
      </c>
      <c r="N73" s="85" t="s">
        <v>460</v>
      </c>
    </row>
    <row r="74" customFormat="false" ht="22.35" hidden="false" customHeight="false" outlineLevel="0" collapsed="false">
      <c r="A74" s="86" t="n">
        <v>66</v>
      </c>
      <c r="B74" s="86" t="s">
        <v>569</v>
      </c>
      <c r="C74" s="86" t="s">
        <v>422</v>
      </c>
      <c r="D74" s="86" t="s">
        <v>570</v>
      </c>
      <c r="E74" s="86" t="s">
        <v>424</v>
      </c>
      <c r="F74" s="86" t="s">
        <v>425</v>
      </c>
      <c r="G74" s="86" t="s">
        <v>571</v>
      </c>
      <c r="H74" s="86"/>
      <c r="I74" s="86"/>
      <c r="J74" s="86" t="n">
        <v>5</v>
      </c>
      <c r="K74" s="86" t="n">
        <v>8</v>
      </c>
      <c r="L74" s="86"/>
      <c r="M74" s="86" t="n">
        <f aca="false">IF(L74="Low",1,IF(L74="Medium",3,IF(L74="High",5,0)))</f>
        <v>0</v>
      </c>
      <c r="N74" s="86" t="s">
        <v>572</v>
      </c>
    </row>
    <row r="75" customFormat="false" ht="22.35" hidden="false" customHeight="false" outlineLevel="0" collapsed="false">
      <c r="A75" s="85" t="n">
        <v>67</v>
      </c>
      <c r="B75" s="85" t="s">
        <v>573</v>
      </c>
      <c r="C75" s="85" t="s">
        <v>422</v>
      </c>
      <c r="D75" s="85" t="s">
        <v>574</v>
      </c>
      <c r="E75" s="85" t="s">
        <v>424</v>
      </c>
      <c r="F75" s="85" t="s">
        <v>425</v>
      </c>
      <c r="G75" s="85" t="s">
        <v>426</v>
      </c>
      <c r="H75" s="85" t="s">
        <v>124</v>
      </c>
      <c r="I75" s="85" t="s">
        <v>248</v>
      </c>
      <c r="J75" s="85" t="n">
        <v>5</v>
      </c>
      <c r="K75" s="85" t="n">
        <v>4</v>
      </c>
      <c r="L75" s="85" t="s">
        <v>33</v>
      </c>
      <c r="M75" s="85" t="n">
        <f aca="false">IF(L75="Low",1,IF(L75="Medium",3,IF(L75="High",5,0)))</f>
        <v>1</v>
      </c>
      <c r="N75" s="85" t="s">
        <v>460</v>
      </c>
    </row>
    <row r="76" customFormat="false" ht="22.35" hidden="false" customHeight="false" outlineLevel="0" collapsed="false">
      <c r="A76" s="85" t="n">
        <v>68</v>
      </c>
      <c r="B76" s="85" t="s">
        <v>575</v>
      </c>
      <c r="C76" s="85" t="s">
        <v>422</v>
      </c>
      <c r="D76" s="85" t="s">
        <v>576</v>
      </c>
      <c r="E76" s="85" t="s">
        <v>438</v>
      </c>
      <c r="F76" s="85" t="s">
        <v>439</v>
      </c>
      <c r="G76" s="85" t="s">
        <v>426</v>
      </c>
      <c r="H76" s="85" t="s">
        <v>135</v>
      </c>
      <c r="I76" s="85" t="s">
        <v>354</v>
      </c>
      <c r="J76" s="85" t="n">
        <v>5</v>
      </c>
      <c r="K76" s="85" t="n">
        <v>40</v>
      </c>
      <c r="L76" s="85" t="s">
        <v>37</v>
      </c>
      <c r="M76" s="85" t="n">
        <f aca="false">IF(L76="Low",1,IF(L76="Medium",3,IF(L76="High",5,0)))</f>
        <v>5</v>
      </c>
      <c r="N76" s="85" t="s">
        <v>452</v>
      </c>
    </row>
    <row r="77" customFormat="false" ht="22.35" hidden="false" customHeight="false" outlineLevel="0" collapsed="false">
      <c r="A77" s="85" t="n">
        <v>69</v>
      </c>
      <c r="B77" s="85" t="s">
        <v>577</v>
      </c>
      <c r="C77" s="85" t="s">
        <v>422</v>
      </c>
      <c r="D77" s="85" t="s">
        <v>578</v>
      </c>
      <c r="E77" s="85" t="s">
        <v>438</v>
      </c>
      <c r="F77" s="85" t="s">
        <v>439</v>
      </c>
      <c r="G77" s="85" t="s">
        <v>426</v>
      </c>
      <c r="H77" s="85" t="s">
        <v>135</v>
      </c>
      <c r="I77" s="85" t="s">
        <v>354</v>
      </c>
      <c r="J77" s="85" t="n">
        <v>5</v>
      </c>
      <c r="K77" s="85" t="n">
        <v>60</v>
      </c>
      <c r="L77" s="85" t="s">
        <v>37</v>
      </c>
      <c r="M77" s="85" t="n">
        <f aca="false">IF(L77="Low",1,IF(L77="Medium",3,IF(L77="High",5,0)))</f>
        <v>5</v>
      </c>
      <c r="N77" s="85" t="s">
        <v>579</v>
      </c>
    </row>
    <row r="78" customFormat="false" ht="22.35" hidden="false" customHeight="false" outlineLevel="0" collapsed="false">
      <c r="A78" s="86" t="n">
        <v>70</v>
      </c>
      <c r="B78" s="86" t="s">
        <v>580</v>
      </c>
      <c r="C78" s="86" t="s">
        <v>422</v>
      </c>
      <c r="D78" s="86" t="s">
        <v>581</v>
      </c>
      <c r="E78" s="86" t="s">
        <v>424</v>
      </c>
      <c r="F78" s="86" t="s">
        <v>582</v>
      </c>
      <c r="G78" s="86" t="s">
        <v>571</v>
      </c>
      <c r="H78" s="86"/>
      <c r="I78" s="86"/>
      <c r="J78" s="86" t="n">
        <v>6</v>
      </c>
      <c r="K78" s="86"/>
      <c r="L78" s="86"/>
      <c r="M78" s="86" t="n">
        <f aca="false">IF(L78="Low",1,IF(L78="Medium",3,IF(L78="High",5,0)))</f>
        <v>0</v>
      </c>
      <c r="N78" s="86" t="s">
        <v>583</v>
      </c>
    </row>
    <row r="79" customFormat="false" ht="22.35" hidden="false" customHeight="false" outlineLevel="0" collapsed="false">
      <c r="A79" s="86" t="n">
        <v>71</v>
      </c>
      <c r="B79" s="86" t="s">
        <v>584</v>
      </c>
      <c r="C79" s="86" t="s">
        <v>422</v>
      </c>
      <c r="D79" s="86" t="s">
        <v>585</v>
      </c>
      <c r="E79" s="86" t="s">
        <v>424</v>
      </c>
      <c r="F79" s="86" t="s">
        <v>582</v>
      </c>
      <c r="G79" s="86" t="s">
        <v>571</v>
      </c>
      <c r="H79" s="86"/>
      <c r="I79" s="86"/>
      <c r="J79" s="86" t="n">
        <v>5</v>
      </c>
      <c r="K79" s="86"/>
      <c r="L79" s="86"/>
      <c r="M79" s="86" t="n">
        <f aca="false">IF(L79="Low",1,IF(L79="Medium",3,IF(L79="High",5,0)))</f>
        <v>0</v>
      </c>
      <c r="N79" s="86" t="s">
        <v>583</v>
      </c>
    </row>
    <row r="80" customFormat="false" ht="22.35" hidden="false" customHeight="false" outlineLevel="0" collapsed="false">
      <c r="A80" s="86" t="n">
        <v>72</v>
      </c>
      <c r="B80" s="86" t="s">
        <v>586</v>
      </c>
      <c r="C80" s="86" t="s">
        <v>422</v>
      </c>
      <c r="D80" s="86" t="s">
        <v>587</v>
      </c>
      <c r="E80" s="86" t="s">
        <v>424</v>
      </c>
      <c r="F80" s="86" t="s">
        <v>582</v>
      </c>
      <c r="G80" s="86" t="s">
        <v>571</v>
      </c>
      <c r="H80" s="86"/>
      <c r="I80" s="86"/>
      <c r="J80" s="86" t="n">
        <v>5</v>
      </c>
      <c r="K80" s="86"/>
      <c r="L80" s="86"/>
      <c r="M80" s="86" t="n">
        <f aca="false">IF(L80="Low",1,IF(L80="Medium",3,IF(L80="High",5,0)))</f>
        <v>0</v>
      </c>
      <c r="N80" s="86" t="s">
        <v>583</v>
      </c>
    </row>
    <row r="81" customFormat="false" ht="22.35" hidden="false" customHeight="false" outlineLevel="0" collapsed="false">
      <c r="A81" s="86" t="n">
        <v>73</v>
      </c>
      <c r="B81" s="86" t="s">
        <v>588</v>
      </c>
      <c r="C81" s="86" t="s">
        <v>422</v>
      </c>
      <c r="D81" s="86" t="s">
        <v>589</v>
      </c>
      <c r="E81" s="86" t="s">
        <v>424</v>
      </c>
      <c r="F81" s="86" t="s">
        <v>582</v>
      </c>
      <c r="G81" s="86" t="s">
        <v>571</v>
      </c>
      <c r="H81" s="86"/>
      <c r="I81" s="86"/>
      <c r="J81" s="86" t="n">
        <v>6</v>
      </c>
      <c r="K81" s="86"/>
      <c r="L81" s="86"/>
      <c r="M81" s="86" t="n">
        <f aca="false">IF(L81="Low",1,IF(L81="Medium",3,IF(L81="High",5,0)))</f>
        <v>0</v>
      </c>
      <c r="N81" s="86" t="s">
        <v>583</v>
      </c>
    </row>
    <row r="82" customFormat="false" ht="22.35" hidden="false" customHeight="false" outlineLevel="0" collapsed="false">
      <c r="A82" s="86" t="n">
        <v>74</v>
      </c>
      <c r="B82" s="86" t="s">
        <v>590</v>
      </c>
      <c r="C82" s="86" t="s">
        <v>422</v>
      </c>
      <c r="D82" s="86" t="s">
        <v>591</v>
      </c>
      <c r="E82" s="86" t="s">
        <v>424</v>
      </c>
      <c r="F82" s="86" t="s">
        <v>582</v>
      </c>
      <c r="G82" s="86" t="s">
        <v>571</v>
      </c>
      <c r="H82" s="86"/>
      <c r="I82" s="86"/>
      <c r="J82" s="86" t="n">
        <v>5</v>
      </c>
      <c r="K82" s="86"/>
      <c r="L82" s="86"/>
      <c r="M82" s="86" t="n">
        <f aca="false">IF(L82="Low",1,IF(L82="Medium",3,IF(L82="High",5,0)))</f>
        <v>0</v>
      </c>
      <c r="N82" s="86" t="s">
        <v>583</v>
      </c>
    </row>
    <row r="83" customFormat="false" ht="22.35" hidden="false" customHeight="false" outlineLevel="0" collapsed="false">
      <c r="A83" s="86" t="n">
        <v>75</v>
      </c>
      <c r="B83" s="86" t="s">
        <v>592</v>
      </c>
      <c r="C83" s="86" t="s">
        <v>422</v>
      </c>
      <c r="D83" s="86" t="s">
        <v>593</v>
      </c>
      <c r="E83" s="86" t="s">
        <v>424</v>
      </c>
      <c r="F83" s="86" t="s">
        <v>582</v>
      </c>
      <c r="G83" s="86" t="s">
        <v>571</v>
      </c>
      <c r="H83" s="86"/>
      <c r="I83" s="86"/>
      <c r="J83" s="86" t="n">
        <v>5</v>
      </c>
      <c r="K83" s="86"/>
      <c r="L83" s="86"/>
      <c r="M83" s="86" t="n">
        <f aca="false">IF(L83="Low",1,IF(L83="Medium",3,IF(L83="High",5,0)))</f>
        <v>0</v>
      </c>
      <c r="N83" s="86" t="s">
        <v>583</v>
      </c>
    </row>
    <row r="84" customFormat="false" ht="22.35" hidden="false" customHeight="false" outlineLevel="0" collapsed="false">
      <c r="A84" s="86" t="n">
        <v>76</v>
      </c>
      <c r="B84" s="86" t="s">
        <v>594</v>
      </c>
      <c r="C84" s="86" t="s">
        <v>422</v>
      </c>
      <c r="D84" s="86" t="s">
        <v>595</v>
      </c>
      <c r="E84" s="86" t="s">
        <v>424</v>
      </c>
      <c r="F84" s="86" t="s">
        <v>582</v>
      </c>
      <c r="G84" s="86" t="s">
        <v>571</v>
      </c>
      <c r="H84" s="86"/>
      <c r="I84" s="86"/>
      <c r="J84" s="86" t="n">
        <v>5</v>
      </c>
      <c r="K84" s="86"/>
      <c r="L84" s="86"/>
      <c r="M84" s="86" t="n">
        <f aca="false">IF(L84="Low",1,IF(L84="Medium",3,IF(L84="High",5,0)))</f>
        <v>0</v>
      </c>
      <c r="N84" s="86" t="s">
        <v>583</v>
      </c>
    </row>
    <row r="85" customFormat="false" ht="22.35" hidden="false" customHeight="false" outlineLevel="0" collapsed="false">
      <c r="A85" s="86" t="n">
        <v>77</v>
      </c>
      <c r="B85" s="86" t="s">
        <v>596</v>
      </c>
      <c r="C85" s="86" t="s">
        <v>422</v>
      </c>
      <c r="D85" s="86" t="s">
        <v>597</v>
      </c>
      <c r="E85" s="86" t="s">
        <v>424</v>
      </c>
      <c r="F85" s="86" t="s">
        <v>582</v>
      </c>
      <c r="G85" s="86" t="s">
        <v>571</v>
      </c>
      <c r="H85" s="86"/>
      <c r="I85" s="86"/>
      <c r="J85" s="86" t="n">
        <v>5</v>
      </c>
      <c r="K85" s="86"/>
      <c r="L85" s="86"/>
      <c r="M85" s="86" t="n">
        <f aca="false">IF(L85="Low",1,IF(L85="Medium",3,IF(L85="High",5,0)))</f>
        <v>0</v>
      </c>
      <c r="N85" s="86" t="s">
        <v>583</v>
      </c>
    </row>
    <row r="86" customFormat="false" ht="22.35" hidden="false" customHeight="false" outlineLevel="0" collapsed="false">
      <c r="A86" s="86" t="n">
        <v>78</v>
      </c>
      <c r="B86" s="86" t="s">
        <v>598</v>
      </c>
      <c r="C86" s="86" t="s">
        <v>422</v>
      </c>
      <c r="D86" s="86" t="s">
        <v>599</v>
      </c>
      <c r="E86" s="86" t="s">
        <v>424</v>
      </c>
      <c r="F86" s="86" t="s">
        <v>582</v>
      </c>
      <c r="G86" s="86" t="s">
        <v>571</v>
      </c>
      <c r="H86" s="86"/>
      <c r="I86" s="86"/>
      <c r="J86" s="86" t="n">
        <v>5</v>
      </c>
      <c r="K86" s="86"/>
      <c r="L86" s="86"/>
      <c r="M86" s="86" t="n">
        <f aca="false">IF(L86="Low",1,IF(L86="Medium",3,IF(L86="High",5,0)))</f>
        <v>0</v>
      </c>
      <c r="N86" s="86" t="s">
        <v>583</v>
      </c>
    </row>
    <row r="87" customFormat="false" ht="22.35" hidden="false" customHeight="false" outlineLevel="0" collapsed="false">
      <c r="A87" s="86" t="n">
        <v>79</v>
      </c>
      <c r="B87" s="86" t="s">
        <v>600</v>
      </c>
      <c r="C87" s="86" t="s">
        <v>422</v>
      </c>
      <c r="D87" s="86" t="s">
        <v>601</v>
      </c>
      <c r="E87" s="86" t="s">
        <v>424</v>
      </c>
      <c r="F87" s="86" t="s">
        <v>582</v>
      </c>
      <c r="G87" s="86" t="s">
        <v>571</v>
      </c>
      <c r="H87" s="86"/>
      <c r="I87" s="86"/>
      <c r="J87" s="86" t="n">
        <v>5</v>
      </c>
      <c r="K87" s="86"/>
      <c r="L87" s="86"/>
      <c r="M87" s="86" t="n">
        <f aca="false">IF(L87="Low",1,IF(L87="Medium",3,IF(L87="High",5,0)))</f>
        <v>0</v>
      </c>
      <c r="N87" s="86" t="s">
        <v>583</v>
      </c>
    </row>
    <row r="88" customFormat="false" ht="22.35" hidden="false" customHeight="false" outlineLevel="0" collapsed="false">
      <c r="A88" s="86" t="n">
        <v>80</v>
      </c>
      <c r="B88" s="86" t="s">
        <v>602</v>
      </c>
      <c r="C88" s="86" t="s">
        <v>422</v>
      </c>
      <c r="D88" s="86" t="s">
        <v>603</v>
      </c>
      <c r="E88" s="86" t="s">
        <v>424</v>
      </c>
      <c r="F88" s="86" t="s">
        <v>582</v>
      </c>
      <c r="G88" s="86" t="s">
        <v>571</v>
      </c>
      <c r="H88" s="86"/>
      <c r="I88" s="86"/>
      <c r="J88" s="86" t="n">
        <v>5</v>
      </c>
      <c r="K88" s="86"/>
      <c r="L88" s="86"/>
      <c r="M88" s="86" t="n">
        <f aca="false">IF(L88="Low",1,IF(L88="Medium",3,IF(L88="High",5,0)))</f>
        <v>0</v>
      </c>
      <c r="N88" s="86" t="s">
        <v>583</v>
      </c>
    </row>
    <row r="89" customFormat="false" ht="22.35" hidden="false" customHeight="false" outlineLevel="0" collapsed="false">
      <c r="A89" s="86" t="n">
        <v>81</v>
      </c>
      <c r="B89" s="86" t="s">
        <v>604</v>
      </c>
      <c r="C89" s="86" t="s">
        <v>422</v>
      </c>
      <c r="D89" s="86" t="s">
        <v>605</v>
      </c>
      <c r="E89" s="86" t="s">
        <v>424</v>
      </c>
      <c r="F89" s="86" t="s">
        <v>582</v>
      </c>
      <c r="G89" s="86" t="s">
        <v>571</v>
      </c>
      <c r="H89" s="86"/>
      <c r="I89" s="86"/>
      <c r="J89" s="86" t="n">
        <v>5</v>
      </c>
      <c r="K89" s="86"/>
      <c r="L89" s="86"/>
      <c r="M89" s="86" t="n">
        <f aca="false">IF(L89="Low",1,IF(L89="Medium",3,IF(L89="High",5,0)))</f>
        <v>0</v>
      </c>
      <c r="N89" s="86" t="s">
        <v>583</v>
      </c>
    </row>
    <row r="90" customFormat="false" ht="22.35" hidden="false" customHeight="false" outlineLevel="0" collapsed="false">
      <c r="A90" s="86" t="n">
        <v>82</v>
      </c>
      <c r="B90" s="86" t="s">
        <v>606</v>
      </c>
      <c r="C90" s="86" t="s">
        <v>422</v>
      </c>
      <c r="D90" s="86" t="s">
        <v>607</v>
      </c>
      <c r="E90" s="86" t="s">
        <v>424</v>
      </c>
      <c r="F90" s="86" t="s">
        <v>582</v>
      </c>
      <c r="G90" s="86" t="s">
        <v>571</v>
      </c>
      <c r="H90" s="86"/>
      <c r="I90" s="86"/>
      <c r="J90" s="86" t="n">
        <v>5</v>
      </c>
      <c r="K90" s="86"/>
      <c r="L90" s="86"/>
      <c r="M90" s="86" t="n">
        <f aca="false">IF(L90="Low",1,IF(L90="Medium",3,IF(L90="High",5,0)))</f>
        <v>0</v>
      </c>
      <c r="N90" s="86" t="s">
        <v>583</v>
      </c>
    </row>
    <row r="91" customFormat="false" ht="22.35" hidden="false" customHeight="false" outlineLevel="0" collapsed="false">
      <c r="A91" s="86" t="n">
        <v>83</v>
      </c>
      <c r="B91" s="86" t="s">
        <v>608</v>
      </c>
      <c r="C91" s="86" t="s">
        <v>422</v>
      </c>
      <c r="D91" s="86" t="s">
        <v>609</v>
      </c>
      <c r="E91" s="86" t="s">
        <v>424</v>
      </c>
      <c r="F91" s="86" t="s">
        <v>582</v>
      </c>
      <c r="G91" s="86" t="s">
        <v>571</v>
      </c>
      <c r="H91" s="86"/>
      <c r="I91" s="86"/>
      <c r="J91" s="86" t="n">
        <v>5</v>
      </c>
      <c r="K91" s="86"/>
      <c r="L91" s="86"/>
      <c r="M91" s="86" t="n">
        <f aca="false">IF(L91="Low",1,IF(L91="Medium",3,IF(L91="High",5,0)))</f>
        <v>0</v>
      </c>
      <c r="N91" s="86" t="s">
        <v>583</v>
      </c>
    </row>
    <row r="92" customFormat="false" ht="22.35" hidden="false" customHeight="false" outlineLevel="0" collapsed="false">
      <c r="A92" s="86" t="n">
        <v>84</v>
      </c>
      <c r="B92" s="86" t="s">
        <v>610</v>
      </c>
      <c r="C92" s="86" t="s">
        <v>422</v>
      </c>
      <c r="D92" s="86" t="s">
        <v>611</v>
      </c>
      <c r="E92" s="86" t="s">
        <v>424</v>
      </c>
      <c r="F92" s="86" t="s">
        <v>582</v>
      </c>
      <c r="G92" s="86" t="s">
        <v>571</v>
      </c>
      <c r="H92" s="86"/>
      <c r="I92" s="86"/>
      <c r="J92" s="86" t="n">
        <v>5</v>
      </c>
      <c r="K92" s="86"/>
      <c r="L92" s="86"/>
      <c r="M92" s="86" t="n">
        <f aca="false">IF(L92="Low",1,IF(L92="Medium",3,IF(L92="High",5,0)))</f>
        <v>0</v>
      </c>
      <c r="N92" s="86" t="s">
        <v>583</v>
      </c>
    </row>
    <row r="93" customFormat="false" ht="22.35" hidden="false" customHeight="false" outlineLevel="0" collapsed="false">
      <c r="A93" s="86" t="n">
        <v>85</v>
      </c>
      <c r="B93" s="86" t="s">
        <v>612</v>
      </c>
      <c r="C93" s="86" t="s">
        <v>422</v>
      </c>
      <c r="D93" s="86" t="s">
        <v>613</v>
      </c>
      <c r="E93" s="86" t="s">
        <v>614</v>
      </c>
      <c r="F93" s="86" t="s">
        <v>582</v>
      </c>
      <c r="G93" s="86" t="s">
        <v>571</v>
      </c>
      <c r="H93" s="86"/>
      <c r="I93" s="86"/>
      <c r="J93" s="86" t="n">
        <v>6</v>
      </c>
      <c r="K93" s="86"/>
      <c r="L93" s="86"/>
      <c r="M93" s="86" t="n">
        <f aca="false">IF(L93="Low",1,IF(L93="Medium",3,IF(L93="High",5,0)))</f>
        <v>0</v>
      </c>
      <c r="N93" s="86" t="s">
        <v>583</v>
      </c>
    </row>
    <row r="94" customFormat="false" ht="22.35" hidden="false" customHeight="false" outlineLevel="0" collapsed="false">
      <c r="A94" s="85" t="n">
        <v>86</v>
      </c>
      <c r="B94" s="85" t="s">
        <v>615</v>
      </c>
      <c r="C94" s="85" t="s">
        <v>422</v>
      </c>
      <c r="D94" s="85" t="s">
        <v>616</v>
      </c>
      <c r="E94" s="85" t="s">
        <v>438</v>
      </c>
      <c r="F94" s="85" t="s">
        <v>445</v>
      </c>
      <c r="G94" s="85" t="s">
        <v>426</v>
      </c>
      <c r="H94" s="85" t="s">
        <v>127</v>
      </c>
      <c r="I94" s="85" t="s">
        <v>281</v>
      </c>
      <c r="J94" s="85" t="n">
        <v>5</v>
      </c>
      <c r="K94" s="85" t="n">
        <v>16</v>
      </c>
      <c r="L94" s="85" t="s">
        <v>35</v>
      </c>
      <c r="M94" s="85" t="n">
        <f aca="false">IF(L94="Low",1,IF(L94="Medium",3,IF(L94="High",5,0)))</f>
        <v>3</v>
      </c>
      <c r="N94" s="85" t="s">
        <v>430</v>
      </c>
    </row>
    <row r="95" customFormat="false" ht="22.35" hidden="false" customHeight="false" outlineLevel="0" collapsed="false">
      <c r="A95" s="85" t="n">
        <v>87</v>
      </c>
      <c r="B95" s="85" t="s">
        <v>617</v>
      </c>
      <c r="C95" s="85" t="s">
        <v>422</v>
      </c>
      <c r="D95" s="85" t="s">
        <v>618</v>
      </c>
      <c r="E95" s="85" t="s">
        <v>470</v>
      </c>
      <c r="F95" s="85" t="s">
        <v>445</v>
      </c>
      <c r="G95" s="85" t="s">
        <v>426</v>
      </c>
      <c r="H95" s="85" t="s">
        <v>127</v>
      </c>
      <c r="I95" s="85" t="s">
        <v>281</v>
      </c>
      <c r="J95" s="85" t="n">
        <v>4</v>
      </c>
      <c r="K95" s="85" t="n">
        <v>6</v>
      </c>
      <c r="L95" s="85" t="s">
        <v>33</v>
      </c>
      <c r="M95" s="85" t="n">
        <f aca="false">IF(L95="Low",1,IF(L95="Medium",3,IF(L95="High",5,0)))</f>
        <v>1</v>
      </c>
      <c r="N95" s="85" t="s">
        <v>467</v>
      </c>
    </row>
    <row r="96" customFormat="false" ht="22.35" hidden="false" customHeight="false" outlineLevel="0" collapsed="false">
      <c r="A96" s="85" t="n">
        <v>88</v>
      </c>
      <c r="B96" s="85" t="s">
        <v>619</v>
      </c>
      <c r="C96" s="85" t="s">
        <v>422</v>
      </c>
      <c r="D96" s="85" t="s">
        <v>620</v>
      </c>
      <c r="E96" s="85" t="s">
        <v>438</v>
      </c>
      <c r="F96" s="85" t="s">
        <v>445</v>
      </c>
      <c r="G96" s="85" t="s">
        <v>426</v>
      </c>
      <c r="H96" s="85" t="s">
        <v>127</v>
      </c>
      <c r="I96" s="85" t="s">
        <v>284</v>
      </c>
      <c r="J96" s="85" t="n">
        <v>4</v>
      </c>
      <c r="K96" s="85" t="n">
        <v>20</v>
      </c>
      <c r="L96" s="85" t="s">
        <v>37</v>
      </c>
      <c r="M96" s="85" t="n">
        <f aca="false">IF(L96="Low",1,IF(L96="Medium",3,IF(L96="High",5,0)))</f>
        <v>5</v>
      </c>
      <c r="N96" s="85" t="s">
        <v>427</v>
      </c>
    </row>
    <row r="97" customFormat="false" ht="22.35" hidden="false" customHeight="false" outlineLevel="0" collapsed="false">
      <c r="A97" s="85" t="n">
        <v>89</v>
      </c>
      <c r="B97" s="85" t="s">
        <v>621</v>
      </c>
      <c r="C97" s="85" t="s">
        <v>422</v>
      </c>
      <c r="D97" s="85" t="s">
        <v>622</v>
      </c>
      <c r="E97" s="85" t="s">
        <v>424</v>
      </c>
      <c r="F97" s="85" t="s">
        <v>425</v>
      </c>
      <c r="G97" s="85" t="s">
        <v>426</v>
      </c>
      <c r="H97" s="85" t="s">
        <v>128</v>
      </c>
      <c r="I97" s="85" t="s">
        <v>292</v>
      </c>
      <c r="J97" s="85" t="n">
        <v>4</v>
      </c>
      <c r="K97" s="85" t="n">
        <v>8</v>
      </c>
      <c r="L97" s="85" t="s">
        <v>35</v>
      </c>
      <c r="M97" s="85" t="n">
        <f aca="false">IF(L97="Low",1,IF(L97="Medium",3,IF(L97="High",5,0)))</f>
        <v>3</v>
      </c>
      <c r="N97" s="85" t="s">
        <v>433</v>
      </c>
    </row>
    <row r="98" customFormat="false" ht="22.35" hidden="false" customHeight="false" outlineLevel="0" collapsed="false">
      <c r="A98" s="85" t="n">
        <v>90</v>
      </c>
      <c r="B98" s="85" t="s">
        <v>623</v>
      </c>
      <c r="C98" s="85" t="s">
        <v>422</v>
      </c>
      <c r="D98" s="85" t="s">
        <v>624</v>
      </c>
      <c r="E98" s="85" t="s">
        <v>424</v>
      </c>
      <c r="F98" s="85" t="s">
        <v>425</v>
      </c>
      <c r="G98" s="85" t="s">
        <v>426</v>
      </c>
      <c r="H98" s="85" t="s">
        <v>128</v>
      </c>
      <c r="I98" s="85" t="s">
        <v>292</v>
      </c>
      <c r="J98" s="85" t="n">
        <v>4</v>
      </c>
      <c r="K98" s="85" t="n">
        <v>6</v>
      </c>
      <c r="L98" s="85" t="s">
        <v>33</v>
      </c>
      <c r="M98" s="85" t="n">
        <f aca="false">IF(L98="Low",1,IF(L98="Medium",3,IF(L98="High",5,0)))</f>
        <v>1</v>
      </c>
      <c r="N98" s="85" t="s">
        <v>467</v>
      </c>
    </row>
    <row r="99" customFormat="false" ht="22.35" hidden="false" customHeight="false" outlineLevel="0" collapsed="false">
      <c r="A99" s="85" t="n">
        <v>91</v>
      </c>
      <c r="B99" s="85" t="s">
        <v>625</v>
      </c>
      <c r="C99" s="85" t="s">
        <v>422</v>
      </c>
      <c r="D99" s="85" t="s">
        <v>626</v>
      </c>
      <c r="E99" s="85" t="s">
        <v>424</v>
      </c>
      <c r="F99" s="85" t="s">
        <v>425</v>
      </c>
      <c r="G99" s="85" t="s">
        <v>426</v>
      </c>
      <c r="H99" s="85" t="s">
        <v>128</v>
      </c>
      <c r="I99" s="85" t="s">
        <v>292</v>
      </c>
      <c r="J99" s="85" t="n">
        <v>4</v>
      </c>
      <c r="K99" s="85" t="n">
        <v>8</v>
      </c>
      <c r="L99" s="85" t="s">
        <v>35</v>
      </c>
      <c r="M99" s="85" t="n">
        <f aca="false">IF(L99="Low",1,IF(L99="Medium",3,IF(L99="High",5,0)))</f>
        <v>3</v>
      </c>
      <c r="N99" s="85" t="s">
        <v>433</v>
      </c>
    </row>
    <row r="100" customFormat="false" ht="22.35" hidden="false" customHeight="false" outlineLevel="0" collapsed="false">
      <c r="A100" s="85" t="n">
        <v>92</v>
      </c>
      <c r="B100" s="85" t="s">
        <v>627</v>
      </c>
      <c r="C100" s="85" t="s">
        <v>422</v>
      </c>
      <c r="D100" s="85" t="s">
        <v>628</v>
      </c>
      <c r="E100" s="85" t="s">
        <v>424</v>
      </c>
      <c r="F100" s="85" t="s">
        <v>425</v>
      </c>
      <c r="G100" s="85" t="s">
        <v>426</v>
      </c>
      <c r="H100" s="85" t="s">
        <v>128</v>
      </c>
      <c r="I100" s="85" t="s">
        <v>292</v>
      </c>
      <c r="J100" s="85" t="n">
        <v>4</v>
      </c>
      <c r="K100" s="85" t="n">
        <v>6</v>
      </c>
      <c r="L100" s="85" t="s">
        <v>33</v>
      </c>
      <c r="M100" s="85" t="n">
        <f aca="false">IF(L100="Low",1,IF(L100="Medium",3,IF(L100="High",5,0)))</f>
        <v>1</v>
      </c>
      <c r="N100" s="85" t="s">
        <v>467</v>
      </c>
    </row>
    <row r="101" customFormat="false" ht="22.35" hidden="false" customHeight="false" outlineLevel="0" collapsed="false">
      <c r="A101" s="85" t="n">
        <v>93</v>
      </c>
      <c r="B101" s="85" t="s">
        <v>629</v>
      </c>
      <c r="C101" s="85" t="s">
        <v>422</v>
      </c>
      <c r="D101" s="85" t="s">
        <v>630</v>
      </c>
      <c r="E101" s="85" t="s">
        <v>424</v>
      </c>
      <c r="F101" s="85" t="s">
        <v>425</v>
      </c>
      <c r="G101" s="85" t="s">
        <v>426</v>
      </c>
      <c r="H101" s="85" t="s">
        <v>134</v>
      </c>
      <c r="I101" s="85" t="s">
        <v>349</v>
      </c>
      <c r="J101" s="85" t="n">
        <v>4</v>
      </c>
      <c r="K101" s="85" t="n">
        <v>40</v>
      </c>
      <c r="L101" s="85" t="s">
        <v>37</v>
      </c>
      <c r="M101" s="85" t="n">
        <f aca="false">IF(L101="Low",1,IF(L101="Medium",3,IF(L101="High",5,0)))</f>
        <v>5</v>
      </c>
      <c r="N101" s="85" t="s">
        <v>452</v>
      </c>
    </row>
    <row r="102" customFormat="false" ht="22.35" hidden="false" customHeight="false" outlineLevel="0" collapsed="false">
      <c r="A102" s="85" t="n">
        <v>94</v>
      </c>
      <c r="B102" s="85" t="s">
        <v>631</v>
      </c>
      <c r="C102" s="85" t="s">
        <v>422</v>
      </c>
      <c r="D102" s="85" t="s">
        <v>632</v>
      </c>
      <c r="E102" s="85" t="s">
        <v>424</v>
      </c>
      <c r="F102" s="85" t="s">
        <v>425</v>
      </c>
      <c r="G102" s="85" t="s">
        <v>426</v>
      </c>
      <c r="H102" s="85" t="s">
        <v>134</v>
      </c>
      <c r="I102" s="85" t="s">
        <v>349</v>
      </c>
      <c r="J102" s="85" t="n">
        <v>4</v>
      </c>
      <c r="K102" s="85" t="n">
        <v>32</v>
      </c>
      <c r="L102" s="85" t="s">
        <v>37</v>
      </c>
      <c r="M102" s="85" t="n">
        <f aca="false">IF(L102="Low",1,IF(L102="Medium",3,IF(L102="High",5,0)))</f>
        <v>5</v>
      </c>
      <c r="N102" s="85" t="s">
        <v>633</v>
      </c>
    </row>
    <row r="103" customFormat="false" ht="22.35" hidden="false" customHeight="false" outlineLevel="0" collapsed="false">
      <c r="A103" s="85" t="n">
        <v>95</v>
      </c>
      <c r="B103" s="85" t="s">
        <v>634</v>
      </c>
      <c r="C103" s="85" t="s">
        <v>422</v>
      </c>
      <c r="D103" s="85" t="s">
        <v>635</v>
      </c>
      <c r="E103" s="85" t="s">
        <v>424</v>
      </c>
      <c r="F103" s="85" t="s">
        <v>425</v>
      </c>
      <c r="G103" s="85" t="s">
        <v>426</v>
      </c>
      <c r="H103" s="85" t="s">
        <v>134</v>
      </c>
      <c r="I103" s="85" t="s">
        <v>349</v>
      </c>
      <c r="J103" s="85" t="n">
        <v>4</v>
      </c>
      <c r="K103" s="85" t="n">
        <v>32</v>
      </c>
      <c r="L103" s="85" t="s">
        <v>37</v>
      </c>
      <c r="M103" s="85" t="n">
        <f aca="false">IF(L103="Low",1,IF(L103="Medium",3,IF(L103="High",5,0)))</f>
        <v>5</v>
      </c>
      <c r="N103" s="85" t="s">
        <v>633</v>
      </c>
    </row>
    <row r="104" customFormat="false" ht="22.35" hidden="false" customHeight="false" outlineLevel="0" collapsed="false">
      <c r="A104" s="85" t="n">
        <v>96</v>
      </c>
      <c r="B104" s="85" t="s">
        <v>636</v>
      </c>
      <c r="C104" s="85" t="s">
        <v>422</v>
      </c>
      <c r="D104" s="85" t="s">
        <v>637</v>
      </c>
      <c r="E104" s="85" t="s">
        <v>470</v>
      </c>
      <c r="F104" s="85" t="s">
        <v>445</v>
      </c>
      <c r="G104" s="85" t="s">
        <v>426</v>
      </c>
      <c r="H104" s="85" t="s">
        <v>124</v>
      </c>
      <c r="I104" s="85" t="s">
        <v>251</v>
      </c>
      <c r="J104" s="85" t="n">
        <v>4</v>
      </c>
      <c r="K104" s="85" t="n">
        <v>16</v>
      </c>
      <c r="L104" s="85" t="s">
        <v>35</v>
      </c>
      <c r="M104" s="85" t="n">
        <f aca="false">IF(L104="Low",1,IF(L104="Medium",3,IF(L104="High",5,0)))</f>
        <v>3</v>
      </c>
      <c r="N104" s="85" t="s">
        <v>430</v>
      </c>
    </row>
    <row r="105" customFormat="false" ht="22.35" hidden="false" customHeight="false" outlineLevel="0" collapsed="false">
      <c r="A105" s="85" t="n">
        <v>97</v>
      </c>
      <c r="B105" s="85" t="s">
        <v>638</v>
      </c>
      <c r="C105" s="85" t="s">
        <v>422</v>
      </c>
      <c r="D105" s="85" t="s">
        <v>639</v>
      </c>
      <c r="E105" s="85" t="s">
        <v>424</v>
      </c>
      <c r="F105" s="85" t="s">
        <v>425</v>
      </c>
      <c r="G105" s="85" t="s">
        <v>426</v>
      </c>
      <c r="H105" s="85" t="s">
        <v>124</v>
      </c>
      <c r="I105" s="85" t="s">
        <v>251</v>
      </c>
      <c r="J105" s="85" t="n">
        <v>4</v>
      </c>
      <c r="K105" s="85" t="n">
        <v>8</v>
      </c>
      <c r="L105" s="85" t="s">
        <v>35</v>
      </c>
      <c r="M105" s="85" t="n">
        <f aca="false">IF(L105="Low",1,IF(L105="Medium",3,IF(L105="High",5,0)))</f>
        <v>3</v>
      </c>
      <c r="N105" s="85" t="s">
        <v>433</v>
      </c>
    </row>
    <row r="106" customFormat="false" ht="22.35" hidden="false" customHeight="false" outlineLevel="0" collapsed="false">
      <c r="A106" s="85" t="n">
        <v>98</v>
      </c>
      <c r="B106" s="85" t="s">
        <v>640</v>
      </c>
      <c r="C106" s="85" t="s">
        <v>422</v>
      </c>
      <c r="D106" s="85" t="s">
        <v>641</v>
      </c>
      <c r="E106" s="85" t="s">
        <v>424</v>
      </c>
      <c r="F106" s="85" t="s">
        <v>425</v>
      </c>
      <c r="G106" s="85" t="s">
        <v>426</v>
      </c>
      <c r="H106" s="85" t="s">
        <v>124</v>
      </c>
      <c r="I106" s="85" t="s">
        <v>251</v>
      </c>
      <c r="J106" s="85" t="n">
        <v>4</v>
      </c>
      <c r="K106" s="85" t="n">
        <v>6</v>
      </c>
      <c r="L106" s="85" t="s">
        <v>33</v>
      </c>
      <c r="M106" s="85" t="n">
        <f aca="false">IF(L106="Low",1,IF(L106="Medium",3,IF(L106="High",5,0)))</f>
        <v>1</v>
      </c>
      <c r="N106" s="85" t="s">
        <v>467</v>
      </c>
    </row>
    <row r="107" customFormat="false" ht="22.35" hidden="false" customHeight="false" outlineLevel="0" collapsed="false">
      <c r="A107" s="85" t="n">
        <v>99</v>
      </c>
      <c r="B107" s="85" t="s">
        <v>642</v>
      </c>
      <c r="C107" s="85" t="s">
        <v>422</v>
      </c>
      <c r="D107" s="85" t="s">
        <v>643</v>
      </c>
      <c r="E107" s="85" t="s">
        <v>424</v>
      </c>
      <c r="F107" s="85" t="s">
        <v>425</v>
      </c>
      <c r="G107" s="85" t="s">
        <v>426</v>
      </c>
      <c r="H107" s="85" t="s">
        <v>132</v>
      </c>
      <c r="I107" s="85" t="s">
        <v>333</v>
      </c>
      <c r="J107" s="85" t="n">
        <v>4</v>
      </c>
      <c r="K107" s="85" t="n">
        <v>12</v>
      </c>
      <c r="L107" s="85" t="s">
        <v>35</v>
      </c>
      <c r="M107" s="85" t="n">
        <f aca="false">IF(L107="Low",1,IF(L107="Medium",3,IF(L107="High",5,0)))</f>
        <v>3</v>
      </c>
      <c r="N107" s="85" t="s">
        <v>455</v>
      </c>
    </row>
    <row r="108" customFormat="false" ht="22.35" hidden="false" customHeight="false" outlineLevel="0" collapsed="false">
      <c r="A108" s="85" t="n">
        <v>100</v>
      </c>
      <c r="B108" s="85" t="s">
        <v>644</v>
      </c>
      <c r="C108" s="85" t="s">
        <v>422</v>
      </c>
      <c r="D108" s="85" t="s">
        <v>645</v>
      </c>
      <c r="E108" s="85" t="s">
        <v>424</v>
      </c>
      <c r="F108" s="85" t="s">
        <v>425</v>
      </c>
      <c r="G108" s="85" t="s">
        <v>426</v>
      </c>
      <c r="H108" s="85" t="s">
        <v>132</v>
      </c>
      <c r="I108" s="85" t="s">
        <v>333</v>
      </c>
      <c r="J108" s="85" t="n">
        <v>4</v>
      </c>
      <c r="K108" s="85" t="n">
        <v>10</v>
      </c>
      <c r="L108" s="85" t="s">
        <v>35</v>
      </c>
      <c r="M108" s="85" t="n">
        <f aca="false">IF(L108="Low",1,IF(L108="Medium",3,IF(L108="High",5,0)))</f>
        <v>3</v>
      </c>
      <c r="N108" s="85" t="s">
        <v>646</v>
      </c>
    </row>
    <row r="109" customFormat="false" ht="22.35" hidden="false" customHeight="false" outlineLevel="0" collapsed="false">
      <c r="A109" s="85" t="n">
        <v>101</v>
      </c>
      <c r="B109" s="85" t="s">
        <v>647</v>
      </c>
      <c r="C109" s="85" t="s">
        <v>422</v>
      </c>
      <c r="D109" s="85" t="s">
        <v>648</v>
      </c>
      <c r="E109" s="85" t="s">
        <v>424</v>
      </c>
      <c r="F109" s="85" t="s">
        <v>445</v>
      </c>
      <c r="G109" s="85" t="s">
        <v>426</v>
      </c>
      <c r="H109" s="85" t="s">
        <v>133</v>
      </c>
      <c r="I109" s="85" t="s">
        <v>341</v>
      </c>
      <c r="J109" s="85" t="n">
        <v>4</v>
      </c>
      <c r="K109" s="85" t="n">
        <v>6</v>
      </c>
      <c r="L109" s="85" t="s">
        <v>33</v>
      </c>
      <c r="M109" s="85" t="n">
        <f aca="false">IF(L109="Low",1,IF(L109="Medium",3,IF(L109="High",5,0)))</f>
        <v>1</v>
      </c>
      <c r="N109" s="85" t="s">
        <v>467</v>
      </c>
    </row>
    <row r="110" customFormat="false" ht="22.35" hidden="false" customHeight="false" outlineLevel="0" collapsed="false">
      <c r="A110" s="85" t="n">
        <v>102</v>
      </c>
      <c r="B110" s="85" t="s">
        <v>649</v>
      </c>
      <c r="C110" s="85" t="s">
        <v>422</v>
      </c>
      <c r="D110" s="85" t="s">
        <v>650</v>
      </c>
      <c r="E110" s="85" t="s">
        <v>424</v>
      </c>
      <c r="F110" s="85" t="s">
        <v>445</v>
      </c>
      <c r="G110" s="85" t="s">
        <v>426</v>
      </c>
      <c r="H110" s="85" t="s">
        <v>133</v>
      </c>
      <c r="I110" s="85" t="s">
        <v>341</v>
      </c>
      <c r="J110" s="85" t="n">
        <v>4</v>
      </c>
      <c r="K110" s="85" t="n">
        <v>8</v>
      </c>
      <c r="L110" s="85" t="s">
        <v>35</v>
      </c>
      <c r="M110" s="85" t="n">
        <f aca="false">IF(L110="Low",1,IF(L110="Medium",3,IF(L110="High",5,0)))</f>
        <v>3</v>
      </c>
      <c r="N110" s="85" t="s">
        <v>433</v>
      </c>
    </row>
    <row r="111" customFormat="false" ht="22.35" hidden="false" customHeight="false" outlineLevel="0" collapsed="false">
      <c r="A111" s="85" t="n">
        <v>103</v>
      </c>
      <c r="B111" s="85" t="s">
        <v>651</v>
      </c>
      <c r="C111" s="85" t="s">
        <v>422</v>
      </c>
      <c r="D111" s="85" t="s">
        <v>652</v>
      </c>
      <c r="E111" s="85" t="s">
        <v>424</v>
      </c>
      <c r="F111" s="85" t="s">
        <v>425</v>
      </c>
      <c r="G111" s="85" t="s">
        <v>426</v>
      </c>
      <c r="H111" s="85" t="s">
        <v>138</v>
      </c>
      <c r="I111" s="85" t="s">
        <v>378</v>
      </c>
      <c r="J111" s="85" t="n">
        <v>4</v>
      </c>
      <c r="K111" s="85" t="n">
        <v>12</v>
      </c>
      <c r="L111" s="85" t="s">
        <v>35</v>
      </c>
      <c r="M111" s="85" t="n">
        <f aca="false">IF(L111="Low",1,IF(L111="Medium",3,IF(L111="High",5,0)))</f>
        <v>3</v>
      </c>
      <c r="N111" s="85" t="s">
        <v>455</v>
      </c>
    </row>
    <row r="112" customFormat="false" ht="22.35" hidden="false" customHeight="false" outlineLevel="0" collapsed="false">
      <c r="A112" s="85" t="n">
        <v>104</v>
      </c>
      <c r="B112" s="85" t="s">
        <v>653</v>
      </c>
      <c r="C112" s="85" t="s">
        <v>422</v>
      </c>
      <c r="D112" s="85" t="s">
        <v>654</v>
      </c>
      <c r="E112" s="85" t="s">
        <v>424</v>
      </c>
      <c r="F112" s="85" t="s">
        <v>425</v>
      </c>
      <c r="G112" s="85" t="s">
        <v>426</v>
      </c>
      <c r="H112" s="85" t="s">
        <v>138</v>
      </c>
      <c r="I112" s="85" t="s">
        <v>378</v>
      </c>
      <c r="J112" s="85" t="n">
        <v>4</v>
      </c>
      <c r="K112" s="85" t="n">
        <v>6</v>
      </c>
      <c r="L112" s="85" t="s">
        <v>33</v>
      </c>
      <c r="M112" s="85" t="n">
        <f aca="false">IF(L112="Low",1,IF(L112="Medium",3,IF(L112="High",5,0)))</f>
        <v>1</v>
      </c>
      <c r="N112" s="85" t="s">
        <v>467</v>
      </c>
    </row>
    <row r="113" customFormat="false" ht="22.35" hidden="false" customHeight="false" outlineLevel="0" collapsed="false">
      <c r="A113" s="85" t="n">
        <v>105</v>
      </c>
      <c r="B113" s="85" t="s">
        <v>655</v>
      </c>
      <c r="C113" s="85" t="s">
        <v>422</v>
      </c>
      <c r="D113" s="85" t="s">
        <v>656</v>
      </c>
      <c r="E113" s="85" t="s">
        <v>470</v>
      </c>
      <c r="F113" s="85" t="s">
        <v>445</v>
      </c>
      <c r="G113" s="85" t="s">
        <v>426</v>
      </c>
      <c r="H113" s="85" t="s">
        <v>138</v>
      </c>
      <c r="I113" s="85" t="s">
        <v>381</v>
      </c>
      <c r="J113" s="85" t="n">
        <v>4</v>
      </c>
      <c r="K113" s="85" t="n">
        <v>10</v>
      </c>
      <c r="L113" s="85" t="s">
        <v>35</v>
      </c>
      <c r="M113" s="85" t="n">
        <f aca="false">IF(L113="Low",1,IF(L113="Medium",3,IF(L113="High",5,0)))</f>
        <v>3</v>
      </c>
      <c r="N113" s="85" t="s">
        <v>646</v>
      </c>
    </row>
    <row r="114" customFormat="false" ht="22.35" hidden="false" customHeight="false" outlineLevel="0" collapsed="false">
      <c r="A114" s="85" t="n">
        <v>106</v>
      </c>
      <c r="B114" s="85" t="s">
        <v>657</v>
      </c>
      <c r="C114" s="85" t="s">
        <v>422</v>
      </c>
      <c r="D114" s="85" t="s">
        <v>658</v>
      </c>
      <c r="E114" s="85" t="s">
        <v>424</v>
      </c>
      <c r="F114" s="85" t="s">
        <v>425</v>
      </c>
      <c r="G114" s="85" t="s">
        <v>426</v>
      </c>
      <c r="H114" s="85" t="s">
        <v>138</v>
      </c>
      <c r="I114" s="85" t="s">
        <v>384</v>
      </c>
      <c r="J114" s="85" t="n">
        <v>4</v>
      </c>
      <c r="K114" s="85" t="n">
        <v>16</v>
      </c>
      <c r="L114" s="85" t="s">
        <v>35</v>
      </c>
      <c r="M114" s="85" t="n">
        <f aca="false">IF(L114="Low",1,IF(L114="Medium",3,IF(L114="High",5,0)))</f>
        <v>3</v>
      </c>
      <c r="N114" s="85" t="s">
        <v>430</v>
      </c>
    </row>
    <row r="115" customFormat="false" ht="22.35" hidden="false" customHeight="false" outlineLevel="0" collapsed="false">
      <c r="A115" s="85" t="n">
        <v>107</v>
      </c>
      <c r="B115" s="85" t="s">
        <v>659</v>
      </c>
      <c r="C115" s="85" t="s">
        <v>422</v>
      </c>
      <c r="D115" s="85" t="s">
        <v>660</v>
      </c>
      <c r="E115" s="85" t="s">
        <v>424</v>
      </c>
      <c r="F115" s="85" t="s">
        <v>439</v>
      </c>
      <c r="G115" s="85" t="s">
        <v>426</v>
      </c>
      <c r="H115" s="85" t="s">
        <v>138</v>
      </c>
      <c r="I115" s="85" t="s">
        <v>384</v>
      </c>
      <c r="J115" s="85" t="n">
        <v>4</v>
      </c>
      <c r="K115" s="85" t="n">
        <v>4</v>
      </c>
      <c r="L115" s="85" t="s">
        <v>33</v>
      </c>
      <c r="M115" s="85" t="n">
        <f aca="false">IF(L115="Low",1,IF(L115="Medium",3,IF(L115="High",5,0)))</f>
        <v>1</v>
      </c>
      <c r="N115" s="85" t="s">
        <v>460</v>
      </c>
    </row>
    <row r="116" customFormat="false" ht="22.35" hidden="false" customHeight="false" outlineLevel="0" collapsed="false">
      <c r="A116" s="85" t="n">
        <v>108</v>
      </c>
      <c r="B116" s="85" t="s">
        <v>661</v>
      </c>
      <c r="C116" s="85" t="s">
        <v>662</v>
      </c>
      <c r="D116" s="85" t="s">
        <v>663</v>
      </c>
      <c r="E116" s="85" t="s">
        <v>438</v>
      </c>
      <c r="F116" s="85" t="s">
        <v>664</v>
      </c>
      <c r="G116" s="85" t="s">
        <v>426</v>
      </c>
      <c r="H116" s="85" t="s">
        <v>121</v>
      </c>
      <c r="I116" s="85" t="s">
        <v>172</v>
      </c>
      <c r="J116" s="85" t="n">
        <v>5</v>
      </c>
      <c r="K116" s="85"/>
      <c r="L116" s="85" t="s">
        <v>37</v>
      </c>
      <c r="M116" s="85" t="n">
        <f aca="false">IF(L116="Low",1,IF(L116="Medium",3,IF(L116="High",5,0)))</f>
        <v>5</v>
      </c>
      <c r="N116" s="85" t="s">
        <v>665</v>
      </c>
    </row>
    <row r="117" customFormat="false" ht="22.35" hidden="false" customHeight="false" outlineLevel="0" collapsed="false">
      <c r="A117" s="85" t="n">
        <v>109</v>
      </c>
      <c r="B117" s="85" t="s">
        <v>666</v>
      </c>
      <c r="C117" s="85" t="s">
        <v>662</v>
      </c>
      <c r="D117" s="85" t="s">
        <v>667</v>
      </c>
      <c r="E117" s="85" t="s">
        <v>438</v>
      </c>
      <c r="F117" s="85" t="s">
        <v>664</v>
      </c>
      <c r="G117" s="85" t="s">
        <v>426</v>
      </c>
      <c r="H117" s="85" t="s">
        <v>121</v>
      </c>
      <c r="I117" s="85" t="s">
        <v>172</v>
      </c>
      <c r="J117" s="85" t="n">
        <v>7</v>
      </c>
      <c r="K117" s="85"/>
      <c r="L117" s="85" t="s">
        <v>37</v>
      </c>
      <c r="M117" s="85" t="n">
        <f aca="false">IF(L117="Low",1,IF(L117="Medium",3,IF(L117="High",5,0)))</f>
        <v>5</v>
      </c>
      <c r="N117" s="85" t="s">
        <v>668</v>
      </c>
    </row>
    <row r="118" customFormat="false" ht="22.35" hidden="false" customHeight="false" outlineLevel="0" collapsed="false">
      <c r="A118" s="85" t="n">
        <v>110</v>
      </c>
      <c r="B118" s="85" t="s">
        <v>669</v>
      </c>
      <c r="C118" s="85" t="s">
        <v>662</v>
      </c>
      <c r="D118" s="85" t="s">
        <v>670</v>
      </c>
      <c r="E118" s="85" t="s">
        <v>438</v>
      </c>
      <c r="F118" s="85" t="s">
        <v>664</v>
      </c>
      <c r="G118" s="85" t="s">
        <v>426</v>
      </c>
      <c r="H118" s="85" t="s">
        <v>121</v>
      </c>
      <c r="I118" s="85" t="s">
        <v>172</v>
      </c>
      <c r="J118" s="85" t="n">
        <v>5</v>
      </c>
      <c r="K118" s="85"/>
      <c r="L118" s="85" t="s">
        <v>37</v>
      </c>
      <c r="M118" s="85" t="n">
        <f aca="false">IF(L118="Low",1,IF(L118="Medium",3,IF(L118="High",5,0)))</f>
        <v>5</v>
      </c>
      <c r="N118" s="85" t="s">
        <v>671</v>
      </c>
    </row>
    <row r="119" customFormat="false" ht="22.35" hidden="false" customHeight="false" outlineLevel="0" collapsed="false">
      <c r="A119" s="85" t="n">
        <v>111</v>
      </c>
      <c r="B119" s="85" t="s">
        <v>672</v>
      </c>
      <c r="C119" s="85" t="s">
        <v>662</v>
      </c>
      <c r="D119" s="85" t="s">
        <v>673</v>
      </c>
      <c r="E119" s="85" t="s">
        <v>438</v>
      </c>
      <c r="F119" s="85" t="s">
        <v>664</v>
      </c>
      <c r="G119" s="85" t="s">
        <v>426</v>
      </c>
      <c r="H119" s="85" t="s">
        <v>121</v>
      </c>
      <c r="I119" s="85" t="s">
        <v>172</v>
      </c>
      <c r="J119" s="85" t="n">
        <v>6</v>
      </c>
      <c r="K119" s="85"/>
      <c r="L119" s="85" t="s">
        <v>37</v>
      </c>
      <c r="M119" s="85" t="n">
        <f aca="false">IF(L119="Low",1,IF(L119="Medium",3,IF(L119="High",5,0)))</f>
        <v>5</v>
      </c>
      <c r="N119" s="85" t="s">
        <v>674</v>
      </c>
    </row>
    <row r="120" customFormat="false" ht="22.35" hidden="false" customHeight="false" outlineLevel="0" collapsed="false">
      <c r="A120" s="85" t="n">
        <v>112</v>
      </c>
      <c r="B120" s="85" t="s">
        <v>675</v>
      </c>
      <c r="C120" s="85" t="s">
        <v>662</v>
      </c>
      <c r="D120" s="85" t="s">
        <v>676</v>
      </c>
      <c r="E120" s="85" t="s">
        <v>424</v>
      </c>
      <c r="F120" s="85" t="s">
        <v>664</v>
      </c>
      <c r="G120" s="85" t="s">
        <v>426</v>
      </c>
      <c r="H120" s="85" t="s">
        <v>121</v>
      </c>
      <c r="I120" s="85" t="s">
        <v>172</v>
      </c>
      <c r="J120" s="85" t="n">
        <v>3</v>
      </c>
      <c r="K120" s="85"/>
      <c r="L120" s="85" t="s">
        <v>33</v>
      </c>
      <c r="M120" s="85" t="n">
        <f aca="false">IF(L120="Low",1,IF(L120="Medium",3,IF(L120="High",5,0)))</f>
        <v>1</v>
      </c>
      <c r="N120" s="85" t="s">
        <v>677</v>
      </c>
    </row>
    <row r="121" customFormat="false" ht="22.35" hidden="false" customHeight="false" outlineLevel="0" collapsed="false">
      <c r="A121" s="85" t="n">
        <v>113</v>
      </c>
      <c r="B121" s="85" t="s">
        <v>678</v>
      </c>
      <c r="C121" s="85" t="s">
        <v>662</v>
      </c>
      <c r="D121" s="85" t="s">
        <v>679</v>
      </c>
      <c r="E121" s="85" t="s">
        <v>438</v>
      </c>
      <c r="F121" s="85" t="s">
        <v>664</v>
      </c>
      <c r="G121" s="85" t="s">
        <v>426</v>
      </c>
      <c r="H121" s="85" t="s">
        <v>121</v>
      </c>
      <c r="I121" s="85" t="s">
        <v>172</v>
      </c>
      <c r="J121" s="85" t="n">
        <v>4</v>
      </c>
      <c r="K121" s="85"/>
      <c r="L121" s="85" t="s">
        <v>35</v>
      </c>
      <c r="M121" s="85" t="n">
        <f aca="false">IF(L121="Low",1,IF(L121="Medium",3,IF(L121="High",5,0)))</f>
        <v>3</v>
      </c>
      <c r="N121" s="85" t="s">
        <v>680</v>
      </c>
    </row>
    <row r="122" customFormat="false" ht="22.35" hidden="false" customHeight="false" outlineLevel="0" collapsed="false">
      <c r="A122" s="85" t="n">
        <v>114</v>
      </c>
      <c r="B122" s="85" t="s">
        <v>681</v>
      </c>
      <c r="C122" s="85" t="s">
        <v>662</v>
      </c>
      <c r="D122" s="85" t="s">
        <v>682</v>
      </c>
      <c r="E122" s="85" t="s">
        <v>438</v>
      </c>
      <c r="F122" s="85" t="s">
        <v>664</v>
      </c>
      <c r="G122" s="85" t="s">
        <v>426</v>
      </c>
      <c r="H122" s="85" t="s">
        <v>121</v>
      </c>
      <c r="I122" s="85" t="s">
        <v>175</v>
      </c>
      <c r="J122" s="85" t="n">
        <v>5</v>
      </c>
      <c r="K122" s="85"/>
      <c r="L122" s="85" t="s">
        <v>37</v>
      </c>
      <c r="M122" s="85" t="n">
        <f aca="false">IF(L122="Low",1,IF(L122="Medium",3,IF(L122="High",5,0)))</f>
        <v>5</v>
      </c>
      <c r="N122" s="85" t="s">
        <v>683</v>
      </c>
    </row>
    <row r="123" customFormat="false" ht="22.35" hidden="false" customHeight="false" outlineLevel="0" collapsed="false">
      <c r="A123" s="85" t="n">
        <v>115</v>
      </c>
      <c r="B123" s="85" t="s">
        <v>684</v>
      </c>
      <c r="C123" s="85" t="s">
        <v>662</v>
      </c>
      <c r="D123" s="85" t="s">
        <v>685</v>
      </c>
      <c r="E123" s="85" t="s">
        <v>438</v>
      </c>
      <c r="F123" s="85" t="s">
        <v>664</v>
      </c>
      <c r="G123" s="85" t="s">
        <v>426</v>
      </c>
      <c r="H123" s="85" t="s">
        <v>121</v>
      </c>
      <c r="I123" s="85" t="s">
        <v>175</v>
      </c>
      <c r="J123" s="85" t="n">
        <v>6</v>
      </c>
      <c r="K123" s="85"/>
      <c r="L123" s="85" t="s">
        <v>37</v>
      </c>
      <c r="M123" s="85" t="n">
        <f aca="false">IF(L123="Low",1,IF(L123="Medium",3,IF(L123="High",5,0)))</f>
        <v>5</v>
      </c>
      <c r="N123" s="85" t="s">
        <v>686</v>
      </c>
    </row>
    <row r="124" customFormat="false" ht="22.35" hidden="false" customHeight="false" outlineLevel="0" collapsed="false">
      <c r="A124" s="85" t="n">
        <v>116</v>
      </c>
      <c r="B124" s="85" t="s">
        <v>687</v>
      </c>
      <c r="C124" s="85" t="s">
        <v>662</v>
      </c>
      <c r="D124" s="85" t="s">
        <v>688</v>
      </c>
      <c r="E124" s="85" t="s">
        <v>438</v>
      </c>
      <c r="F124" s="85" t="s">
        <v>664</v>
      </c>
      <c r="G124" s="85" t="s">
        <v>426</v>
      </c>
      <c r="H124" s="85" t="s">
        <v>121</v>
      </c>
      <c r="I124" s="85" t="s">
        <v>175</v>
      </c>
      <c r="J124" s="85" t="n">
        <v>5</v>
      </c>
      <c r="K124" s="85"/>
      <c r="L124" s="85" t="s">
        <v>35</v>
      </c>
      <c r="M124" s="85" t="n">
        <f aca="false">IF(L124="Low",1,IF(L124="Medium",3,IF(L124="High",5,0)))</f>
        <v>3</v>
      </c>
      <c r="N124" s="85" t="s">
        <v>689</v>
      </c>
    </row>
    <row r="125" customFormat="false" ht="22.35" hidden="false" customHeight="false" outlineLevel="0" collapsed="false">
      <c r="A125" s="85" t="n">
        <v>117</v>
      </c>
      <c r="B125" s="85" t="s">
        <v>690</v>
      </c>
      <c r="C125" s="85" t="s">
        <v>662</v>
      </c>
      <c r="D125" s="85" t="s">
        <v>691</v>
      </c>
      <c r="E125" s="85" t="s">
        <v>438</v>
      </c>
      <c r="F125" s="85" t="s">
        <v>664</v>
      </c>
      <c r="G125" s="85" t="s">
        <v>426</v>
      </c>
      <c r="H125" s="85" t="s">
        <v>121</v>
      </c>
      <c r="I125" s="85" t="s">
        <v>175</v>
      </c>
      <c r="J125" s="85" t="n">
        <v>5</v>
      </c>
      <c r="K125" s="85"/>
      <c r="L125" s="85" t="s">
        <v>37</v>
      </c>
      <c r="M125" s="85" t="n">
        <f aca="false">IF(L125="Low",1,IF(L125="Medium",3,IF(L125="High",5,0)))</f>
        <v>5</v>
      </c>
      <c r="N125" s="85" t="s">
        <v>692</v>
      </c>
    </row>
    <row r="126" customFormat="false" ht="22.35" hidden="false" customHeight="false" outlineLevel="0" collapsed="false">
      <c r="A126" s="85" t="n">
        <v>118</v>
      </c>
      <c r="B126" s="85" t="s">
        <v>693</v>
      </c>
      <c r="C126" s="85" t="s">
        <v>662</v>
      </c>
      <c r="D126" s="85" t="s">
        <v>694</v>
      </c>
      <c r="E126" s="85" t="s">
        <v>438</v>
      </c>
      <c r="F126" s="85" t="s">
        <v>664</v>
      </c>
      <c r="G126" s="85" t="s">
        <v>426</v>
      </c>
      <c r="H126" s="85" t="s">
        <v>121</v>
      </c>
      <c r="I126" s="85" t="s">
        <v>178</v>
      </c>
      <c r="J126" s="85" t="n">
        <v>4</v>
      </c>
      <c r="K126" s="85"/>
      <c r="L126" s="85" t="s">
        <v>35</v>
      </c>
      <c r="M126" s="85" t="n">
        <f aca="false">IF(L126="Low",1,IF(L126="Medium",3,IF(L126="High",5,0)))</f>
        <v>3</v>
      </c>
      <c r="N126" s="85" t="s">
        <v>695</v>
      </c>
    </row>
    <row r="127" customFormat="false" ht="22.35" hidden="false" customHeight="false" outlineLevel="0" collapsed="false">
      <c r="A127" s="85" t="n">
        <v>119</v>
      </c>
      <c r="B127" s="85" t="s">
        <v>696</v>
      </c>
      <c r="C127" s="85" t="s">
        <v>662</v>
      </c>
      <c r="D127" s="85" t="s">
        <v>697</v>
      </c>
      <c r="E127" s="85" t="s">
        <v>438</v>
      </c>
      <c r="F127" s="85" t="s">
        <v>664</v>
      </c>
      <c r="G127" s="85" t="s">
        <v>426</v>
      </c>
      <c r="H127" s="85" t="s">
        <v>121</v>
      </c>
      <c r="I127" s="85" t="s">
        <v>178</v>
      </c>
      <c r="J127" s="85" t="n">
        <v>5</v>
      </c>
      <c r="K127" s="85"/>
      <c r="L127" s="85" t="s">
        <v>33</v>
      </c>
      <c r="M127" s="85" t="n">
        <f aca="false">IF(L127="Low",1,IF(L127="Medium",3,IF(L127="High",5,0)))</f>
        <v>1</v>
      </c>
      <c r="N127" s="85" t="s">
        <v>698</v>
      </c>
    </row>
    <row r="128" customFormat="false" ht="22.35" hidden="false" customHeight="false" outlineLevel="0" collapsed="false">
      <c r="A128" s="85" t="n">
        <v>120</v>
      </c>
      <c r="B128" s="85" t="s">
        <v>699</v>
      </c>
      <c r="C128" s="85" t="s">
        <v>662</v>
      </c>
      <c r="D128" s="85" t="s">
        <v>700</v>
      </c>
      <c r="E128" s="85" t="s">
        <v>438</v>
      </c>
      <c r="F128" s="85" t="s">
        <v>664</v>
      </c>
      <c r="G128" s="85" t="s">
        <v>426</v>
      </c>
      <c r="H128" s="85" t="s">
        <v>121</v>
      </c>
      <c r="I128" s="85" t="s">
        <v>178</v>
      </c>
      <c r="J128" s="85" t="n">
        <v>4</v>
      </c>
      <c r="K128" s="85"/>
      <c r="L128" s="85" t="s">
        <v>35</v>
      </c>
      <c r="M128" s="85" t="n">
        <f aca="false">IF(L128="Low",1,IF(L128="Medium",3,IF(L128="High",5,0)))</f>
        <v>3</v>
      </c>
      <c r="N128" s="85" t="s">
        <v>701</v>
      </c>
    </row>
    <row r="129" customFormat="false" ht="22.35" hidden="false" customHeight="false" outlineLevel="0" collapsed="false">
      <c r="A129" s="85" t="n">
        <v>121</v>
      </c>
      <c r="B129" s="85" t="s">
        <v>702</v>
      </c>
      <c r="C129" s="85" t="s">
        <v>662</v>
      </c>
      <c r="D129" s="85" t="s">
        <v>703</v>
      </c>
      <c r="E129" s="85" t="s">
        <v>438</v>
      </c>
      <c r="F129" s="85" t="s">
        <v>664</v>
      </c>
      <c r="G129" s="85" t="s">
        <v>426</v>
      </c>
      <c r="H129" s="85" t="s">
        <v>121</v>
      </c>
      <c r="I129" s="85" t="s">
        <v>178</v>
      </c>
      <c r="J129" s="85" t="n">
        <v>4</v>
      </c>
      <c r="K129" s="85"/>
      <c r="L129" s="85" t="s">
        <v>35</v>
      </c>
      <c r="M129" s="85" t="n">
        <f aca="false">IF(L129="Low",1,IF(L129="Medium",3,IF(L129="High",5,0)))</f>
        <v>3</v>
      </c>
      <c r="N129" s="85" t="s">
        <v>704</v>
      </c>
    </row>
    <row r="130" customFormat="false" ht="22.35" hidden="false" customHeight="false" outlineLevel="0" collapsed="false">
      <c r="A130" s="86" t="n">
        <v>122</v>
      </c>
      <c r="B130" s="86" t="s">
        <v>705</v>
      </c>
      <c r="C130" s="86" t="s">
        <v>662</v>
      </c>
      <c r="D130" s="86" t="s">
        <v>706</v>
      </c>
      <c r="E130" s="86" t="s">
        <v>470</v>
      </c>
      <c r="F130" s="86" t="s">
        <v>664</v>
      </c>
      <c r="G130" s="86" t="s">
        <v>571</v>
      </c>
      <c r="H130" s="86"/>
      <c r="I130" s="86"/>
      <c r="J130" s="86" t="n">
        <v>4</v>
      </c>
      <c r="K130" s="86"/>
      <c r="L130" s="86"/>
      <c r="M130" s="86" t="n">
        <f aca="false">IF(L130="Low",1,IF(L130="Medium",3,IF(L130="High",5,0)))</f>
        <v>0</v>
      </c>
      <c r="N130" s="86" t="s">
        <v>707</v>
      </c>
    </row>
    <row r="131" customFormat="false" ht="22.35" hidden="false" customHeight="false" outlineLevel="0" collapsed="false">
      <c r="A131" s="86" t="n">
        <v>123</v>
      </c>
      <c r="B131" s="86" t="s">
        <v>708</v>
      </c>
      <c r="C131" s="86" t="s">
        <v>662</v>
      </c>
      <c r="D131" s="86" t="s">
        <v>709</v>
      </c>
      <c r="E131" s="86" t="s">
        <v>438</v>
      </c>
      <c r="F131" s="86" t="s">
        <v>664</v>
      </c>
      <c r="G131" s="86" t="s">
        <v>571</v>
      </c>
      <c r="H131" s="86"/>
      <c r="I131" s="86"/>
      <c r="J131" s="86" t="n">
        <v>4</v>
      </c>
      <c r="K131" s="86"/>
      <c r="L131" s="86"/>
      <c r="M131" s="86" t="n">
        <f aca="false">IF(L131="Low",1,IF(L131="Medium",3,IF(L131="High",5,0)))</f>
        <v>0</v>
      </c>
      <c r="N131" s="86" t="s">
        <v>710</v>
      </c>
    </row>
    <row r="132" customFormat="false" ht="22.35" hidden="false" customHeight="false" outlineLevel="0" collapsed="false">
      <c r="A132" s="86" t="n">
        <v>124</v>
      </c>
      <c r="B132" s="86" t="s">
        <v>711</v>
      </c>
      <c r="C132" s="86" t="s">
        <v>662</v>
      </c>
      <c r="D132" s="86" t="s">
        <v>712</v>
      </c>
      <c r="E132" s="86" t="s">
        <v>438</v>
      </c>
      <c r="F132" s="86" t="s">
        <v>664</v>
      </c>
      <c r="G132" s="86" t="s">
        <v>571</v>
      </c>
      <c r="H132" s="86"/>
      <c r="I132" s="86"/>
      <c r="J132" s="86" t="n">
        <v>4</v>
      </c>
      <c r="K132" s="86"/>
      <c r="L132" s="86"/>
      <c r="M132" s="86" t="n">
        <f aca="false">IF(L132="Low",1,IF(L132="Medium",3,IF(L132="High",5,0)))</f>
        <v>0</v>
      </c>
      <c r="N132" s="86" t="s">
        <v>713</v>
      </c>
    </row>
    <row r="133" customFormat="false" ht="22.35" hidden="false" customHeight="false" outlineLevel="0" collapsed="false">
      <c r="A133" s="85" t="n">
        <v>125</v>
      </c>
      <c r="B133" s="85" t="s">
        <v>714</v>
      </c>
      <c r="C133" s="85" t="s">
        <v>662</v>
      </c>
      <c r="D133" s="85" t="s">
        <v>715</v>
      </c>
      <c r="E133" s="85" t="s">
        <v>424</v>
      </c>
      <c r="F133" s="85" t="s">
        <v>664</v>
      </c>
      <c r="G133" s="85" t="s">
        <v>426</v>
      </c>
      <c r="H133" s="85" t="s">
        <v>121</v>
      </c>
      <c r="I133" s="85" t="s">
        <v>178</v>
      </c>
      <c r="J133" s="85" t="n">
        <v>5</v>
      </c>
      <c r="K133" s="85"/>
      <c r="L133" s="85" t="s">
        <v>35</v>
      </c>
      <c r="M133" s="85" t="n">
        <f aca="false">IF(L133="Low",1,IF(L133="Medium",3,IF(L133="High",5,0)))</f>
        <v>3</v>
      </c>
      <c r="N133" s="85" t="s">
        <v>716</v>
      </c>
    </row>
    <row r="134" customFormat="false" ht="22.35" hidden="false" customHeight="false" outlineLevel="0" collapsed="false">
      <c r="A134" s="85" t="n">
        <v>126</v>
      </c>
      <c r="B134" s="85" t="s">
        <v>717</v>
      </c>
      <c r="C134" s="85" t="s">
        <v>662</v>
      </c>
      <c r="D134" s="85" t="s">
        <v>718</v>
      </c>
      <c r="E134" s="85" t="s">
        <v>438</v>
      </c>
      <c r="F134" s="85" t="s">
        <v>664</v>
      </c>
      <c r="G134" s="85" t="s">
        <v>426</v>
      </c>
      <c r="H134" s="85" t="s">
        <v>129</v>
      </c>
      <c r="I134" s="85" t="s">
        <v>303</v>
      </c>
      <c r="J134" s="85" t="n">
        <v>5</v>
      </c>
      <c r="K134" s="85"/>
      <c r="L134" s="85" t="s">
        <v>37</v>
      </c>
      <c r="M134" s="85" t="n">
        <f aca="false">IF(L134="Low",1,IF(L134="Medium",3,IF(L134="High",5,0)))</f>
        <v>5</v>
      </c>
      <c r="N134" s="85" t="s">
        <v>719</v>
      </c>
    </row>
    <row r="135" customFormat="false" ht="22.35" hidden="false" customHeight="false" outlineLevel="0" collapsed="false">
      <c r="A135" s="85" t="n">
        <v>127</v>
      </c>
      <c r="B135" s="85" t="s">
        <v>720</v>
      </c>
      <c r="C135" s="85" t="s">
        <v>662</v>
      </c>
      <c r="D135" s="85" t="s">
        <v>721</v>
      </c>
      <c r="E135" s="85" t="s">
        <v>438</v>
      </c>
      <c r="F135" s="85" t="s">
        <v>664</v>
      </c>
      <c r="G135" s="85" t="s">
        <v>426</v>
      </c>
      <c r="H135" s="85" t="s">
        <v>129</v>
      </c>
      <c r="I135" s="85" t="s">
        <v>303</v>
      </c>
      <c r="J135" s="85" t="n">
        <v>4</v>
      </c>
      <c r="K135" s="85"/>
      <c r="L135" s="85" t="s">
        <v>37</v>
      </c>
      <c r="M135" s="85" t="n">
        <f aca="false">IF(L135="Low",1,IF(L135="Medium",3,IF(L135="High",5,0)))</f>
        <v>5</v>
      </c>
      <c r="N135" s="85" t="s">
        <v>722</v>
      </c>
    </row>
    <row r="136" customFormat="false" ht="22.35" hidden="false" customHeight="false" outlineLevel="0" collapsed="false">
      <c r="A136" s="85" t="n">
        <v>128</v>
      </c>
      <c r="B136" s="85" t="s">
        <v>723</v>
      </c>
      <c r="C136" s="85" t="s">
        <v>662</v>
      </c>
      <c r="D136" s="85" t="s">
        <v>724</v>
      </c>
      <c r="E136" s="85" t="s">
        <v>438</v>
      </c>
      <c r="F136" s="85" t="s">
        <v>664</v>
      </c>
      <c r="G136" s="85" t="s">
        <v>426</v>
      </c>
      <c r="H136" s="85" t="s">
        <v>129</v>
      </c>
      <c r="I136" s="85" t="s">
        <v>306</v>
      </c>
      <c r="J136" s="85" t="n">
        <v>4</v>
      </c>
      <c r="K136" s="85"/>
      <c r="L136" s="85" t="s">
        <v>35</v>
      </c>
      <c r="M136" s="85" t="n">
        <f aca="false">IF(L136="Low",1,IF(L136="Medium",3,IF(L136="High",5,0)))</f>
        <v>3</v>
      </c>
      <c r="N136" s="85" t="s">
        <v>725</v>
      </c>
    </row>
    <row r="137" customFormat="false" ht="22.35" hidden="false" customHeight="false" outlineLevel="0" collapsed="false">
      <c r="A137" s="85" t="n">
        <v>129</v>
      </c>
      <c r="B137" s="85" t="s">
        <v>726</v>
      </c>
      <c r="C137" s="85" t="s">
        <v>662</v>
      </c>
      <c r="D137" s="85" t="s">
        <v>727</v>
      </c>
      <c r="E137" s="85" t="s">
        <v>438</v>
      </c>
      <c r="F137" s="85" t="s">
        <v>664</v>
      </c>
      <c r="G137" s="85" t="s">
        <v>426</v>
      </c>
      <c r="H137" s="85" t="s">
        <v>123</v>
      </c>
      <c r="I137" s="85" t="s">
        <v>237</v>
      </c>
      <c r="J137" s="85" t="n">
        <v>4</v>
      </c>
      <c r="K137" s="85"/>
      <c r="L137" s="85" t="s">
        <v>35</v>
      </c>
      <c r="M137" s="85" t="n">
        <f aca="false">IF(L137="Low",1,IF(L137="Medium",3,IF(L137="High",5,0)))</f>
        <v>3</v>
      </c>
      <c r="N137" s="85" t="s">
        <v>728</v>
      </c>
    </row>
    <row r="138" customFormat="false" ht="22.35" hidden="false" customHeight="false" outlineLevel="0" collapsed="false">
      <c r="A138" s="85" t="n">
        <v>130</v>
      </c>
      <c r="B138" s="85" t="s">
        <v>729</v>
      </c>
      <c r="C138" s="85" t="s">
        <v>662</v>
      </c>
      <c r="D138" s="85" t="s">
        <v>730</v>
      </c>
      <c r="E138" s="85" t="s">
        <v>438</v>
      </c>
      <c r="F138" s="85" t="s">
        <v>664</v>
      </c>
      <c r="G138" s="85" t="s">
        <v>426</v>
      </c>
      <c r="H138" s="85" t="s">
        <v>128</v>
      </c>
      <c r="I138" s="85" t="s">
        <v>295</v>
      </c>
      <c r="J138" s="85" t="n">
        <v>5</v>
      </c>
      <c r="K138" s="85"/>
      <c r="L138" s="85" t="s">
        <v>35</v>
      </c>
      <c r="M138" s="85" t="n">
        <f aca="false">IF(L138="Low",1,IF(L138="Medium",3,IF(L138="High",5,0)))</f>
        <v>3</v>
      </c>
      <c r="N138" s="85" t="s">
        <v>731</v>
      </c>
    </row>
    <row r="139" customFormat="false" ht="22.35" hidden="false" customHeight="false" outlineLevel="0" collapsed="false">
      <c r="A139" s="85" t="n">
        <v>131</v>
      </c>
      <c r="B139" s="85" t="s">
        <v>732</v>
      </c>
      <c r="C139" s="85" t="s">
        <v>662</v>
      </c>
      <c r="D139" s="85" t="s">
        <v>733</v>
      </c>
      <c r="E139" s="85" t="s">
        <v>438</v>
      </c>
      <c r="F139" s="85" t="s">
        <v>664</v>
      </c>
      <c r="G139" s="85" t="s">
        <v>426</v>
      </c>
      <c r="H139" s="85" t="s">
        <v>128</v>
      </c>
      <c r="I139" s="85" t="s">
        <v>295</v>
      </c>
      <c r="J139" s="85" t="n">
        <v>6</v>
      </c>
      <c r="K139" s="85"/>
      <c r="L139" s="85" t="s">
        <v>37</v>
      </c>
      <c r="M139" s="85" t="n">
        <f aca="false">IF(L139="Low",1,IF(L139="Medium",3,IF(L139="High",5,0)))</f>
        <v>5</v>
      </c>
      <c r="N139" s="85" t="s">
        <v>734</v>
      </c>
    </row>
    <row r="140" customFormat="false" ht="22.35" hidden="false" customHeight="false" outlineLevel="0" collapsed="false">
      <c r="A140" s="86" t="n">
        <v>132</v>
      </c>
      <c r="B140" s="86" t="s">
        <v>735</v>
      </c>
      <c r="C140" s="86" t="s">
        <v>662</v>
      </c>
      <c r="D140" s="86" t="s">
        <v>736</v>
      </c>
      <c r="E140" s="86" t="s">
        <v>438</v>
      </c>
      <c r="F140" s="86" t="s">
        <v>664</v>
      </c>
      <c r="G140" s="86" t="s">
        <v>571</v>
      </c>
      <c r="H140" s="86"/>
      <c r="I140" s="86"/>
      <c r="J140" s="86" t="n">
        <v>5</v>
      </c>
      <c r="K140" s="86"/>
      <c r="L140" s="86"/>
      <c r="M140" s="86" t="n">
        <f aca="false">IF(L140="Low",1,IF(L140="Medium",3,IF(L140="High",5,0)))</f>
        <v>0</v>
      </c>
      <c r="N140" s="86" t="s">
        <v>737</v>
      </c>
    </row>
    <row r="141" customFormat="false" ht="22.35" hidden="false" customHeight="false" outlineLevel="0" collapsed="false">
      <c r="A141" s="85" t="n">
        <v>133</v>
      </c>
      <c r="B141" s="85" t="s">
        <v>738</v>
      </c>
      <c r="C141" s="85" t="s">
        <v>662</v>
      </c>
      <c r="D141" s="85" t="s">
        <v>739</v>
      </c>
      <c r="E141" s="85" t="s">
        <v>438</v>
      </c>
      <c r="F141" s="85" t="s">
        <v>664</v>
      </c>
      <c r="G141" s="85" t="s">
        <v>426</v>
      </c>
      <c r="H141" s="85" t="s">
        <v>122</v>
      </c>
      <c r="I141" s="85" t="s">
        <v>226</v>
      </c>
      <c r="J141" s="85" t="n">
        <v>5</v>
      </c>
      <c r="K141" s="85"/>
      <c r="L141" s="85" t="s">
        <v>33</v>
      </c>
      <c r="M141" s="85" t="n">
        <f aca="false">IF(L141="Low",1,IF(L141="Medium",3,IF(L141="High",5,0)))</f>
        <v>1</v>
      </c>
      <c r="N141" s="85" t="s">
        <v>740</v>
      </c>
    </row>
    <row r="142" customFormat="false" ht="22.35" hidden="false" customHeight="false" outlineLevel="0" collapsed="false">
      <c r="A142" s="85" t="n">
        <v>134</v>
      </c>
      <c r="B142" s="85" t="s">
        <v>741</v>
      </c>
      <c r="C142" s="85" t="s">
        <v>662</v>
      </c>
      <c r="D142" s="85" t="s">
        <v>742</v>
      </c>
      <c r="E142" s="85" t="s">
        <v>424</v>
      </c>
      <c r="F142" s="85" t="s">
        <v>664</v>
      </c>
      <c r="G142" s="85" t="s">
        <v>426</v>
      </c>
      <c r="H142" s="85" t="s">
        <v>125</v>
      </c>
      <c r="I142" s="85" t="s">
        <v>265</v>
      </c>
      <c r="J142" s="85" t="n">
        <v>4</v>
      </c>
      <c r="K142" s="85"/>
      <c r="L142" s="85" t="s">
        <v>33</v>
      </c>
      <c r="M142" s="85" t="n">
        <f aca="false">IF(L142="Low",1,IF(L142="Medium",3,IF(L142="High",5,0)))</f>
        <v>1</v>
      </c>
      <c r="N142" s="85" t="s">
        <v>743</v>
      </c>
    </row>
    <row r="143" customFormat="false" ht="22.35" hidden="false" customHeight="false" outlineLevel="0" collapsed="false">
      <c r="A143" s="85" t="n">
        <v>135</v>
      </c>
      <c r="B143" s="85" t="s">
        <v>744</v>
      </c>
      <c r="C143" s="85" t="s">
        <v>662</v>
      </c>
      <c r="D143" s="85" t="s">
        <v>745</v>
      </c>
      <c r="E143" s="85" t="s">
        <v>424</v>
      </c>
      <c r="F143" s="85" t="s">
        <v>664</v>
      </c>
      <c r="G143" s="85" t="s">
        <v>426</v>
      </c>
      <c r="H143" s="85" t="s">
        <v>138</v>
      </c>
      <c r="I143" s="85" t="s">
        <v>387</v>
      </c>
      <c r="J143" s="85" t="n">
        <v>6</v>
      </c>
      <c r="K143" s="85"/>
      <c r="L143" s="85" t="s">
        <v>35</v>
      </c>
      <c r="M143" s="85" t="n">
        <f aca="false">IF(L143="Low",1,IF(L143="Medium",3,IF(L143="High",5,0)))</f>
        <v>3</v>
      </c>
      <c r="N143" s="85" t="s">
        <v>746</v>
      </c>
    </row>
    <row r="144" customFormat="false" ht="22.35" hidden="false" customHeight="false" outlineLevel="0" collapsed="false">
      <c r="A144" s="85" t="n">
        <v>136</v>
      </c>
      <c r="B144" s="85" t="s">
        <v>747</v>
      </c>
      <c r="C144" s="85" t="s">
        <v>662</v>
      </c>
      <c r="D144" s="85" t="s">
        <v>748</v>
      </c>
      <c r="E144" s="85" t="s">
        <v>438</v>
      </c>
      <c r="F144" s="85" t="s">
        <v>664</v>
      </c>
      <c r="G144" s="85" t="s">
        <v>426</v>
      </c>
      <c r="H144" s="85" t="s">
        <v>135</v>
      </c>
      <c r="I144" s="85" t="s">
        <v>357</v>
      </c>
      <c r="J144" s="85" t="n">
        <v>6</v>
      </c>
      <c r="K144" s="85"/>
      <c r="L144" s="85" t="s">
        <v>37</v>
      </c>
      <c r="M144" s="85" t="n">
        <f aca="false">IF(L144="Low",1,IF(L144="Medium",3,IF(L144="High",5,0)))</f>
        <v>5</v>
      </c>
      <c r="N144" s="85" t="s">
        <v>749</v>
      </c>
    </row>
    <row r="145" customFormat="false" ht="22.35" hidden="false" customHeight="false" outlineLevel="0" collapsed="false">
      <c r="A145" s="86" t="n">
        <v>137</v>
      </c>
      <c r="B145" s="86" t="s">
        <v>750</v>
      </c>
      <c r="C145" s="86" t="s">
        <v>662</v>
      </c>
      <c r="D145" s="86" t="s">
        <v>751</v>
      </c>
      <c r="E145" s="86" t="s">
        <v>470</v>
      </c>
      <c r="F145" s="86" t="s">
        <v>664</v>
      </c>
      <c r="G145" s="86" t="s">
        <v>571</v>
      </c>
      <c r="H145" s="86"/>
      <c r="I145" s="86"/>
      <c r="J145" s="86" t="n">
        <v>4</v>
      </c>
      <c r="K145" s="86"/>
      <c r="L145" s="86"/>
      <c r="M145" s="86" t="n">
        <f aca="false">IF(L145="Low",1,IF(L145="Medium",3,IF(L145="High",5,0)))</f>
        <v>0</v>
      </c>
      <c r="N145" s="86" t="s">
        <v>752</v>
      </c>
    </row>
    <row r="146" customFormat="false" ht="22.35" hidden="false" customHeight="false" outlineLevel="0" collapsed="false">
      <c r="A146" s="85" t="n">
        <v>138</v>
      </c>
      <c r="B146" s="85" t="s">
        <v>753</v>
      </c>
      <c r="C146" s="85" t="s">
        <v>662</v>
      </c>
      <c r="D146" s="85" t="s">
        <v>754</v>
      </c>
      <c r="E146" s="85" t="s">
        <v>438</v>
      </c>
      <c r="F146" s="85" t="s">
        <v>664</v>
      </c>
      <c r="G146" s="85" t="s">
        <v>426</v>
      </c>
      <c r="H146" s="85" t="s">
        <v>137</v>
      </c>
      <c r="I146" s="85" t="s">
        <v>373</v>
      </c>
      <c r="J146" s="85" t="n">
        <v>5</v>
      </c>
      <c r="K146" s="85"/>
      <c r="L146" s="85" t="s">
        <v>37</v>
      </c>
      <c r="M146" s="85" t="n">
        <f aca="false">IF(L146="Low",1,IF(L146="Medium",3,IF(L146="High",5,0)))</f>
        <v>5</v>
      </c>
      <c r="N146" s="85" t="s">
        <v>755</v>
      </c>
    </row>
    <row r="147" customFormat="false" ht="22.35" hidden="false" customHeight="false" outlineLevel="0" collapsed="false">
      <c r="A147" s="85" t="n">
        <v>139</v>
      </c>
      <c r="B147" s="85" t="s">
        <v>756</v>
      </c>
      <c r="C147" s="85" t="s">
        <v>662</v>
      </c>
      <c r="D147" s="85" t="s">
        <v>757</v>
      </c>
      <c r="E147" s="85" t="s">
        <v>438</v>
      </c>
      <c r="F147" s="85" t="s">
        <v>664</v>
      </c>
      <c r="G147" s="85" t="s">
        <v>426</v>
      </c>
      <c r="H147" s="85" t="s">
        <v>137</v>
      </c>
      <c r="I147" s="85" t="s">
        <v>373</v>
      </c>
      <c r="J147" s="85" t="n">
        <v>5</v>
      </c>
      <c r="K147" s="85"/>
      <c r="L147" s="85" t="s">
        <v>35</v>
      </c>
      <c r="M147" s="85" t="n">
        <f aca="false">IF(L147="Low",1,IF(L147="Medium",3,IF(L147="High",5,0)))</f>
        <v>3</v>
      </c>
      <c r="N147" s="85" t="s">
        <v>758</v>
      </c>
    </row>
    <row r="148" customFormat="false" ht="22.35" hidden="false" customHeight="false" outlineLevel="0" collapsed="false">
      <c r="A148" s="86" t="n">
        <v>140</v>
      </c>
      <c r="B148" s="86" t="s">
        <v>759</v>
      </c>
      <c r="C148" s="86" t="s">
        <v>662</v>
      </c>
      <c r="D148" s="86" t="s">
        <v>760</v>
      </c>
      <c r="E148" s="86" t="s">
        <v>424</v>
      </c>
      <c r="F148" s="86" t="s">
        <v>664</v>
      </c>
      <c r="G148" s="86" t="s">
        <v>571</v>
      </c>
      <c r="H148" s="86"/>
      <c r="I148" s="86"/>
      <c r="J148" s="86" t="n">
        <v>5</v>
      </c>
      <c r="K148" s="86"/>
      <c r="L148" s="86"/>
      <c r="M148" s="86" t="n">
        <f aca="false">IF(L148="Low",1,IF(L148="Medium",3,IF(L148="High",5,0)))</f>
        <v>0</v>
      </c>
      <c r="N148" s="86" t="s">
        <v>761</v>
      </c>
    </row>
    <row r="149" customFormat="false" ht="22.35" hidden="false" customHeight="false" outlineLevel="0" collapsed="false">
      <c r="A149" s="85" t="n">
        <v>141</v>
      </c>
      <c r="B149" s="85" t="s">
        <v>762</v>
      </c>
      <c r="C149" s="85" t="s">
        <v>662</v>
      </c>
      <c r="D149" s="85" t="s">
        <v>763</v>
      </c>
      <c r="E149" s="85" t="s">
        <v>438</v>
      </c>
      <c r="F149" s="85" t="s">
        <v>664</v>
      </c>
      <c r="G149" s="85" t="s">
        <v>426</v>
      </c>
      <c r="H149" s="85" t="s">
        <v>123</v>
      </c>
      <c r="I149" s="85" t="s">
        <v>243</v>
      </c>
      <c r="J149" s="85" t="n">
        <v>6</v>
      </c>
      <c r="K149" s="85"/>
      <c r="L149" s="85" t="s">
        <v>37</v>
      </c>
      <c r="M149" s="85" t="n">
        <f aca="false">IF(L149="Low",1,IF(L149="Medium",3,IF(L149="High",5,0)))</f>
        <v>5</v>
      </c>
      <c r="N149" s="85" t="s">
        <v>764</v>
      </c>
    </row>
    <row r="150" customFormat="false" ht="22.35" hidden="false" customHeight="false" outlineLevel="0" collapsed="false">
      <c r="A150" s="85" t="n">
        <v>142</v>
      </c>
      <c r="B150" s="85" t="s">
        <v>765</v>
      </c>
      <c r="C150" s="85" t="s">
        <v>662</v>
      </c>
      <c r="D150" s="85" t="s">
        <v>766</v>
      </c>
      <c r="E150" s="85" t="s">
        <v>767</v>
      </c>
      <c r="F150" s="85" t="s">
        <v>664</v>
      </c>
      <c r="G150" s="85" t="s">
        <v>426</v>
      </c>
      <c r="H150" s="85" t="s">
        <v>130</v>
      </c>
      <c r="I150" s="85" t="s">
        <v>317</v>
      </c>
      <c r="J150" s="85" t="n">
        <v>9</v>
      </c>
      <c r="K150" s="85"/>
      <c r="L150" s="85" t="s">
        <v>37</v>
      </c>
      <c r="M150" s="85" t="n">
        <f aca="false">IF(L150="Low",1,IF(L150="Medium",3,IF(L150="High",5,0)))</f>
        <v>5</v>
      </c>
      <c r="N150" s="85" t="s">
        <v>768</v>
      </c>
    </row>
    <row r="151" customFormat="false" ht="22.35" hidden="false" customHeight="false" outlineLevel="0" collapsed="false">
      <c r="A151" s="85" t="n">
        <v>143</v>
      </c>
      <c r="B151" s="85" t="s">
        <v>769</v>
      </c>
      <c r="C151" s="85" t="s">
        <v>662</v>
      </c>
      <c r="D151" s="85" t="s">
        <v>770</v>
      </c>
      <c r="E151" s="85" t="s">
        <v>767</v>
      </c>
      <c r="F151" s="85" t="s">
        <v>664</v>
      </c>
      <c r="G151" s="85" t="s">
        <v>426</v>
      </c>
      <c r="H151" s="85" t="s">
        <v>138</v>
      </c>
      <c r="I151" s="85" t="s">
        <v>393</v>
      </c>
      <c r="J151" s="85" t="n">
        <v>6</v>
      </c>
      <c r="K151" s="85"/>
      <c r="L151" s="85" t="s">
        <v>37</v>
      </c>
      <c r="M151" s="85" t="n">
        <f aca="false">IF(L151="Low",1,IF(L151="Medium",3,IF(L151="High",5,0)))</f>
        <v>5</v>
      </c>
      <c r="N151" s="85" t="s">
        <v>771</v>
      </c>
    </row>
    <row r="152" customFormat="false" ht="22.35" hidden="false" customHeight="false" outlineLevel="0" collapsed="false">
      <c r="A152" s="85" t="n">
        <v>144</v>
      </c>
      <c r="B152" s="85" t="s">
        <v>772</v>
      </c>
      <c r="C152" s="85" t="s">
        <v>662</v>
      </c>
      <c r="D152" s="85" t="s">
        <v>773</v>
      </c>
      <c r="E152" s="85" t="s">
        <v>767</v>
      </c>
      <c r="F152" s="85" t="s">
        <v>664</v>
      </c>
      <c r="G152" s="85" t="s">
        <v>426</v>
      </c>
      <c r="H152" s="85" t="s">
        <v>138</v>
      </c>
      <c r="I152" s="85" t="s">
        <v>396</v>
      </c>
      <c r="J152" s="85" t="n">
        <v>4</v>
      </c>
      <c r="K152" s="85"/>
      <c r="L152" s="85" t="s">
        <v>35</v>
      </c>
      <c r="M152" s="85" t="n">
        <f aca="false">IF(L152="Low",1,IF(L152="Medium",3,IF(L152="High",5,0)))</f>
        <v>3</v>
      </c>
      <c r="N152" s="85" t="s">
        <v>774</v>
      </c>
    </row>
    <row r="153" customFormat="false" ht="22.35" hidden="false" customHeight="false" outlineLevel="0" collapsed="false">
      <c r="A153" s="86" t="n">
        <v>145</v>
      </c>
      <c r="B153" s="86" t="s">
        <v>775</v>
      </c>
      <c r="C153" s="86" t="s">
        <v>776</v>
      </c>
      <c r="D153" s="86" t="s">
        <v>777</v>
      </c>
      <c r="E153" s="86" t="s">
        <v>424</v>
      </c>
      <c r="F153" s="86" t="s">
        <v>778</v>
      </c>
      <c r="G153" s="86" t="s">
        <v>571</v>
      </c>
      <c r="H153" s="86"/>
      <c r="I153" s="86"/>
      <c r="J153" s="86" t="n">
        <v>4</v>
      </c>
      <c r="K153" s="86"/>
      <c r="L153" s="86"/>
      <c r="M153" s="86" t="n">
        <f aca="false">IF(L153="Low",1,IF(L153="Medium",3,IF(L153="High",5,0)))</f>
        <v>0</v>
      </c>
      <c r="N153" s="86" t="s">
        <v>779</v>
      </c>
    </row>
    <row r="154" customFormat="false" ht="22.35" hidden="false" customHeight="false" outlineLevel="0" collapsed="false">
      <c r="A154" s="85" t="n">
        <v>146</v>
      </c>
      <c r="B154" s="85" t="s">
        <v>780</v>
      </c>
      <c r="C154" s="85" t="s">
        <v>776</v>
      </c>
      <c r="D154" s="85" t="s">
        <v>781</v>
      </c>
      <c r="E154" s="85" t="s">
        <v>438</v>
      </c>
      <c r="F154" s="85" t="s">
        <v>778</v>
      </c>
      <c r="G154" s="85" t="s">
        <v>426</v>
      </c>
      <c r="H154" s="85" t="s">
        <v>121</v>
      </c>
      <c r="I154" s="85" t="s">
        <v>181</v>
      </c>
      <c r="J154" s="85" t="n">
        <v>4</v>
      </c>
      <c r="K154" s="85"/>
      <c r="L154" s="85" t="s">
        <v>35</v>
      </c>
      <c r="M154" s="85" t="n">
        <f aca="false">IF(L154="Low",1,IF(L154="Medium",3,IF(L154="High",5,0)))</f>
        <v>3</v>
      </c>
      <c r="N154" s="85" t="s">
        <v>782</v>
      </c>
    </row>
    <row r="155" customFormat="false" ht="22.35" hidden="false" customHeight="false" outlineLevel="0" collapsed="false">
      <c r="A155" s="85" t="n">
        <v>147</v>
      </c>
      <c r="B155" s="85" t="s">
        <v>783</v>
      </c>
      <c r="C155" s="85" t="s">
        <v>776</v>
      </c>
      <c r="D155" s="85" t="s">
        <v>784</v>
      </c>
      <c r="E155" s="85" t="s">
        <v>424</v>
      </c>
      <c r="F155" s="85" t="s">
        <v>778</v>
      </c>
      <c r="G155" s="85" t="s">
        <v>426</v>
      </c>
      <c r="H155" s="85" t="s">
        <v>121</v>
      </c>
      <c r="I155" s="85" t="s">
        <v>181</v>
      </c>
      <c r="J155" s="85" t="n">
        <v>3</v>
      </c>
      <c r="K155" s="85"/>
      <c r="L155" s="85" t="s">
        <v>33</v>
      </c>
      <c r="M155" s="85" t="n">
        <f aca="false">IF(L155="Low",1,IF(L155="Medium",3,IF(L155="High",5,0)))</f>
        <v>1</v>
      </c>
      <c r="N155" s="85" t="s">
        <v>785</v>
      </c>
    </row>
    <row r="156" customFormat="false" ht="22.35" hidden="false" customHeight="false" outlineLevel="0" collapsed="false">
      <c r="A156" s="85" t="n">
        <v>148</v>
      </c>
      <c r="B156" s="85" t="s">
        <v>786</v>
      </c>
      <c r="C156" s="85" t="s">
        <v>776</v>
      </c>
      <c r="D156" s="85" t="s">
        <v>787</v>
      </c>
      <c r="E156" s="85" t="s">
        <v>438</v>
      </c>
      <c r="F156" s="85" t="s">
        <v>778</v>
      </c>
      <c r="G156" s="85" t="s">
        <v>426</v>
      </c>
      <c r="H156" s="85" t="s">
        <v>121</v>
      </c>
      <c r="I156" s="85" t="s">
        <v>181</v>
      </c>
      <c r="J156" s="85" t="n">
        <v>3</v>
      </c>
      <c r="K156" s="85"/>
      <c r="L156" s="85" t="s">
        <v>33</v>
      </c>
      <c r="M156" s="85" t="n">
        <f aca="false">IF(L156="Low",1,IF(L156="Medium",3,IF(L156="High",5,0)))</f>
        <v>1</v>
      </c>
      <c r="N156" s="85" t="s">
        <v>788</v>
      </c>
    </row>
    <row r="157" customFormat="false" ht="22.35" hidden="false" customHeight="false" outlineLevel="0" collapsed="false">
      <c r="A157" s="85" t="n">
        <v>149</v>
      </c>
      <c r="B157" s="85" t="s">
        <v>789</v>
      </c>
      <c r="C157" s="85" t="s">
        <v>776</v>
      </c>
      <c r="D157" s="85" t="s">
        <v>790</v>
      </c>
      <c r="E157" s="85" t="s">
        <v>438</v>
      </c>
      <c r="F157" s="85" t="s">
        <v>778</v>
      </c>
      <c r="G157" s="85" t="s">
        <v>426</v>
      </c>
      <c r="H157" s="85" t="s">
        <v>121</v>
      </c>
      <c r="I157" s="85" t="s">
        <v>181</v>
      </c>
      <c r="J157" s="85" t="n">
        <v>4</v>
      </c>
      <c r="K157" s="85"/>
      <c r="L157" s="85" t="s">
        <v>33</v>
      </c>
      <c r="M157" s="85" t="n">
        <f aca="false">IF(L157="Low",1,IF(L157="Medium",3,IF(L157="High",5,0)))</f>
        <v>1</v>
      </c>
      <c r="N157" s="85" t="s">
        <v>791</v>
      </c>
    </row>
    <row r="158" customFormat="false" ht="22.35" hidden="false" customHeight="false" outlineLevel="0" collapsed="false">
      <c r="A158" s="85" t="n">
        <v>150</v>
      </c>
      <c r="B158" s="85" t="s">
        <v>792</v>
      </c>
      <c r="C158" s="85" t="s">
        <v>776</v>
      </c>
      <c r="D158" s="85" t="s">
        <v>793</v>
      </c>
      <c r="E158" s="85" t="s">
        <v>438</v>
      </c>
      <c r="F158" s="85" t="s">
        <v>778</v>
      </c>
      <c r="G158" s="85" t="s">
        <v>426</v>
      </c>
      <c r="H158" s="85" t="s">
        <v>121</v>
      </c>
      <c r="I158" s="85" t="s">
        <v>181</v>
      </c>
      <c r="J158" s="85" t="n">
        <v>3</v>
      </c>
      <c r="K158" s="85"/>
      <c r="L158" s="85" t="s">
        <v>35</v>
      </c>
      <c r="M158" s="85" t="n">
        <f aca="false">IF(L158="Low",1,IF(L158="Medium",3,IF(L158="High",5,0)))</f>
        <v>3</v>
      </c>
      <c r="N158" s="85" t="s">
        <v>794</v>
      </c>
    </row>
    <row r="159" customFormat="false" ht="22.35" hidden="false" customHeight="false" outlineLevel="0" collapsed="false">
      <c r="A159" s="85" t="n">
        <v>151</v>
      </c>
      <c r="B159" s="85" t="s">
        <v>795</v>
      </c>
      <c r="C159" s="85" t="s">
        <v>776</v>
      </c>
      <c r="D159" s="85" t="s">
        <v>796</v>
      </c>
      <c r="E159" s="85" t="s">
        <v>470</v>
      </c>
      <c r="F159" s="85" t="s">
        <v>778</v>
      </c>
      <c r="G159" s="85" t="s">
        <v>426</v>
      </c>
      <c r="H159" s="85" t="s">
        <v>121</v>
      </c>
      <c r="I159" s="85" t="s">
        <v>181</v>
      </c>
      <c r="J159" s="85" t="n">
        <v>4</v>
      </c>
      <c r="K159" s="85"/>
      <c r="L159" s="85" t="s">
        <v>35</v>
      </c>
      <c r="M159" s="85" t="n">
        <f aca="false">IF(L159="Low",1,IF(L159="Medium",3,IF(L159="High",5,0)))</f>
        <v>3</v>
      </c>
      <c r="N159" s="85" t="s">
        <v>797</v>
      </c>
    </row>
    <row r="160" customFormat="false" ht="22.35" hidden="false" customHeight="false" outlineLevel="0" collapsed="false">
      <c r="A160" s="85" t="n">
        <v>152</v>
      </c>
      <c r="B160" s="85" t="s">
        <v>798</v>
      </c>
      <c r="C160" s="85" t="s">
        <v>776</v>
      </c>
      <c r="D160" s="85" t="s">
        <v>799</v>
      </c>
      <c r="E160" s="85" t="s">
        <v>470</v>
      </c>
      <c r="F160" s="85" t="s">
        <v>778</v>
      </c>
      <c r="G160" s="85" t="s">
        <v>426</v>
      </c>
      <c r="H160" s="85" t="s">
        <v>121</v>
      </c>
      <c r="I160" s="85" t="s">
        <v>181</v>
      </c>
      <c r="J160" s="85" t="n">
        <v>4</v>
      </c>
      <c r="K160" s="85"/>
      <c r="L160" s="85" t="s">
        <v>35</v>
      </c>
      <c r="M160" s="85" t="n">
        <f aca="false">IF(L160="Low",1,IF(L160="Medium",3,IF(L160="High",5,0)))</f>
        <v>3</v>
      </c>
      <c r="N160" s="85" t="s">
        <v>800</v>
      </c>
    </row>
    <row r="161" customFormat="false" ht="22.35" hidden="false" customHeight="false" outlineLevel="0" collapsed="false">
      <c r="A161" s="85" t="n">
        <v>153</v>
      </c>
      <c r="B161" s="85" t="s">
        <v>801</v>
      </c>
      <c r="C161" s="85" t="s">
        <v>776</v>
      </c>
      <c r="D161" s="85" t="s">
        <v>802</v>
      </c>
      <c r="E161" s="85" t="s">
        <v>470</v>
      </c>
      <c r="F161" s="85" t="s">
        <v>778</v>
      </c>
      <c r="G161" s="85" t="s">
        <v>426</v>
      </c>
      <c r="H161" s="85" t="s">
        <v>121</v>
      </c>
      <c r="I161" s="85" t="s">
        <v>181</v>
      </c>
      <c r="J161" s="85" t="n">
        <v>3</v>
      </c>
      <c r="K161" s="85"/>
      <c r="L161" s="85" t="s">
        <v>33</v>
      </c>
      <c r="M161" s="85" t="n">
        <f aca="false">IF(L161="Low",1,IF(L161="Medium",3,IF(L161="High",5,0)))</f>
        <v>1</v>
      </c>
      <c r="N161" s="85" t="s">
        <v>803</v>
      </c>
    </row>
    <row r="162" customFormat="false" ht="22.35" hidden="false" customHeight="false" outlineLevel="0" collapsed="false">
      <c r="A162" s="85" t="n">
        <v>154</v>
      </c>
      <c r="B162" s="85" t="s">
        <v>804</v>
      </c>
      <c r="C162" s="85" t="s">
        <v>776</v>
      </c>
      <c r="D162" s="85" t="s">
        <v>805</v>
      </c>
      <c r="E162" s="85" t="s">
        <v>424</v>
      </c>
      <c r="F162" s="85" t="s">
        <v>778</v>
      </c>
      <c r="G162" s="85" t="s">
        <v>426</v>
      </c>
      <c r="H162" s="85" t="s">
        <v>121</v>
      </c>
      <c r="I162" s="85" t="s">
        <v>181</v>
      </c>
      <c r="J162" s="85" t="n">
        <v>3</v>
      </c>
      <c r="K162" s="85"/>
      <c r="L162" s="85" t="s">
        <v>33</v>
      </c>
      <c r="M162" s="85" t="n">
        <f aca="false">IF(L162="Low",1,IF(L162="Medium",3,IF(L162="High",5,0)))</f>
        <v>1</v>
      </c>
      <c r="N162" s="85" t="s">
        <v>806</v>
      </c>
    </row>
    <row r="163" customFormat="false" ht="22.35" hidden="false" customHeight="false" outlineLevel="0" collapsed="false">
      <c r="A163" s="85" t="n">
        <v>155</v>
      </c>
      <c r="B163" s="85" t="s">
        <v>807</v>
      </c>
      <c r="C163" s="85" t="s">
        <v>776</v>
      </c>
      <c r="D163" s="85" t="s">
        <v>808</v>
      </c>
      <c r="E163" s="85" t="s">
        <v>438</v>
      </c>
      <c r="F163" s="85" t="s">
        <v>778</v>
      </c>
      <c r="G163" s="85" t="s">
        <v>426</v>
      </c>
      <c r="H163" s="85" t="s">
        <v>121</v>
      </c>
      <c r="I163" s="85" t="s">
        <v>181</v>
      </c>
      <c r="J163" s="85" t="n">
        <v>4</v>
      </c>
      <c r="K163" s="85"/>
      <c r="L163" s="85" t="s">
        <v>35</v>
      </c>
      <c r="M163" s="85" t="n">
        <f aca="false">IF(L163="Low",1,IF(L163="Medium",3,IF(L163="High",5,0)))</f>
        <v>3</v>
      </c>
      <c r="N163" s="85" t="s">
        <v>809</v>
      </c>
    </row>
    <row r="164" customFormat="false" ht="22.35" hidden="false" customHeight="false" outlineLevel="0" collapsed="false">
      <c r="A164" s="85" t="n">
        <v>156</v>
      </c>
      <c r="B164" s="85" t="s">
        <v>810</v>
      </c>
      <c r="C164" s="85" t="s">
        <v>776</v>
      </c>
      <c r="D164" s="85" t="s">
        <v>811</v>
      </c>
      <c r="E164" s="85" t="s">
        <v>470</v>
      </c>
      <c r="F164" s="85" t="s">
        <v>778</v>
      </c>
      <c r="G164" s="85" t="s">
        <v>426</v>
      </c>
      <c r="H164" s="85" t="s">
        <v>121</v>
      </c>
      <c r="I164" s="85" t="s">
        <v>181</v>
      </c>
      <c r="J164" s="85" t="n">
        <v>3</v>
      </c>
      <c r="K164" s="85"/>
      <c r="L164" s="85" t="s">
        <v>33</v>
      </c>
      <c r="M164" s="85" t="n">
        <f aca="false">IF(L164="Low",1,IF(L164="Medium",3,IF(L164="High",5,0)))</f>
        <v>1</v>
      </c>
      <c r="N164" s="85" t="s">
        <v>812</v>
      </c>
    </row>
    <row r="165" customFormat="false" ht="22.35" hidden="false" customHeight="false" outlineLevel="0" collapsed="false">
      <c r="A165" s="85" t="n">
        <v>157</v>
      </c>
      <c r="B165" s="85" t="s">
        <v>813</v>
      </c>
      <c r="C165" s="85" t="s">
        <v>776</v>
      </c>
      <c r="D165" s="85" t="s">
        <v>814</v>
      </c>
      <c r="E165" s="85" t="s">
        <v>470</v>
      </c>
      <c r="F165" s="85" t="s">
        <v>778</v>
      </c>
      <c r="G165" s="85" t="s">
        <v>426</v>
      </c>
      <c r="H165" s="85" t="s">
        <v>121</v>
      </c>
      <c r="I165" s="85" t="s">
        <v>181</v>
      </c>
      <c r="J165" s="85" t="n">
        <v>3</v>
      </c>
      <c r="K165" s="85"/>
      <c r="L165" s="85" t="s">
        <v>33</v>
      </c>
      <c r="M165" s="85" t="n">
        <f aca="false">IF(L165="Low",1,IF(L165="Medium",3,IF(L165="High",5,0)))</f>
        <v>1</v>
      </c>
      <c r="N165" s="85" t="s">
        <v>815</v>
      </c>
    </row>
    <row r="166" customFormat="false" ht="22.35" hidden="false" customHeight="false" outlineLevel="0" collapsed="false">
      <c r="A166" s="85" t="n">
        <v>158</v>
      </c>
      <c r="B166" s="85" t="s">
        <v>816</v>
      </c>
      <c r="C166" s="85" t="s">
        <v>776</v>
      </c>
      <c r="D166" s="85" t="s">
        <v>817</v>
      </c>
      <c r="E166" s="85" t="s">
        <v>438</v>
      </c>
      <c r="F166" s="85" t="s">
        <v>778</v>
      </c>
      <c r="G166" s="85" t="s">
        <v>426</v>
      </c>
      <c r="H166" s="85" t="s">
        <v>121</v>
      </c>
      <c r="I166" s="85" t="s">
        <v>181</v>
      </c>
      <c r="J166" s="85" t="n">
        <v>5</v>
      </c>
      <c r="K166" s="85"/>
      <c r="L166" s="85" t="s">
        <v>35</v>
      </c>
      <c r="M166" s="85" t="n">
        <f aca="false">IF(L166="Low",1,IF(L166="Medium",3,IF(L166="High",5,0)))</f>
        <v>3</v>
      </c>
      <c r="N166" s="85" t="s">
        <v>818</v>
      </c>
    </row>
    <row r="167" customFormat="false" ht="22.35" hidden="false" customHeight="false" outlineLevel="0" collapsed="false">
      <c r="A167" s="85" t="n">
        <v>159</v>
      </c>
      <c r="B167" s="85" t="s">
        <v>819</v>
      </c>
      <c r="C167" s="85" t="s">
        <v>776</v>
      </c>
      <c r="D167" s="85" t="s">
        <v>820</v>
      </c>
      <c r="E167" s="85" t="s">
        <v>438</v>
      </c>
      <c r="F167" s="85" t="s">
        <v>778</v>
      </c>
      <c r="G167" s="85" t="s">
        <v>426</v>
      </c>
      <c r="H167" s="85" t="s">
        <v>123</v>
      </c>
      <c r="I167" s="85" t="s">
        <v>237</v>
      </c>
      <c r="J167" s="85" t="n">
        <v>4</v>
      </c>
      <c r="K167" s="85"/>
      <c r="L167" s="85" t="s">
        <v>35</v>
      </c>
      <c r="M167" s="85" t="n">
        <f aca="false">IF(L167="Low",1,IF(L167="Medium",3,IF(L167="High",5,0)))</f>
        <v>3</v>
      </c>
      <c r="N167" s="85" t="s">
        <v>821</v>
      </c>
    </row>
    <row r="168" customFormat="false" ht="22.35" hidden="false" customHeight="false" outlineLevel="0" collapsed="false">
      <c r="A168" s="85" t="n">
        <v>160</v>
      </c>
      <c r="B168" s="85" t="s">
        <v>822</v>
      </c>
      <c r="C168" s="85" t="s">
        <v>776</v>
      </c>
      <c r="D168" s="85" t="s">
        <v>823</v>
      </c>
      <c r="E168" s="85" t="s">
        <v>470</v>
      </c>
      <c r="F168" s="85" t="s">
        <v>778</v>
      </c>
      <c r="G168" s="85" t="s">
        <v>426</v>
      </c>
      <c r="H168" s="85" t="s">
        <v>123</v>
      </c>
      <c r="I168" s="85" t="s">
        <v>240</v>
      </c>
      <c r="J168" s="85" t="n">
        <v>5</v>
      </c>
      <c r="K168" s="85"/>
      <c r="L168" s="85" t="s">
        <v>37</v>
      </c>
      <c r="M168" s="85" t="n">
        <f aca="false">IF(L168="Low",1,IF(L168="Medium",3,IF(L168="High",5,0)))</f>
        <v>5</v>
      </c>
      <c r="N168" s="85" t="s">
        <v>824</v>
      </c>
    </row>
    <row r="169" customFormat="false" ht="22.35" hidden="false" customHeight="false" outlineLevel="0" collapsed="false">
      <c r="A169" s="85" t="n">
        <v>161</v>
      </c>
      <c r="B169" s="85" t="s">
        <v>825</v>
      </c>
      <c r="C169" s="85" t="s">
        <v>776</v>
      </c>
      <c r="D169" s="85" t="s">
        <v>826</v>
      </c>
      <c r="E169" s="85" t="s">
        <v>470</v>
      </c>
      <c r="F169" s="85" t="s">
        <v>778</v>
      </c>
      <c r="G169" s="85" t="s">
        <v>426</v>
      </c>
      <c r="H169" s="85" t="s">
        <v>123</v>
      </c>
      <c r="I169" s="85" t="s">
        <v>240</v>
      </c>
      <c r="J169" s="85" t="n">
        <v>5</v>
      </c>
      <c r="K169" s="85"/>
      <c r="L169" s="85" t="s">
        <v>35</v>
      </c>
      <c r="M169" s="85" t="n">
        <f aca="false">IF(L169="Low",1,IF(L169="Medium",3,IF(L169="High",5,0)))</f>
        <v>3</v>
      </c>
      <c r="N169" s="85" t="s">
        <v>827</v>
      </c>
    </row>
    <row r="170" customFormat="false" ht="22.35" hidden="false" customHeight="false" outlineLevel="0" collapsed="false">
      <c r="A170" s="85" t="n">
        <v>162</v>
      </c>
      <c r="B170" s="85" t="s">
        <v>828</v>
      </c>
      <c r="C170" s="85" t="s">
        <v>776</v>
      </c>
      <c r="D170" s="85" t="s">
        <v>829</v>
      </c>
      <c r="E170" s="85" t="s">
        <v>470</v>
      </c>
      <c r="F170" s="85" t="s">
        <v>778</v>
      </c>
      <c r="G170" s="85" t="s">
        <v>426</v>
      </c>
      <c r="H170" s="85" t="s">
        <v>123</v>
      </c>
      <c r="I170" s="85" t="s">
        <v>240</v>
      </c>
      <c r="J170" s="85" t="n">
        <v>4</v>
      </c>
      <c r="K170" s="85"/>
      <c r="L170" s="85" t="s">
        <v>37</v>
      </c>
      <c r="M170" s="85" t="n">
        <f aca="false">IF(L170="Low",1,IF(L170="Medium",3,IF(L170="High",5,0)))</f>
        <v>5</v>
      </c>
      <c r="N170" s="85" t="s">
        <v>830</v>
      </c>
    </row>
    <row r="171" customFormat="false" ht="22.35" hidden="false" customHeight="false" outlineLevel="0" collapsed="false">
      <c r="A171" s="85" t="n">
        <v>163</v>
      </c>
      <c r="B171" s="85" t="s">
        <v>831</v>
      </c>
      <c r="C171" s="85" t="s">
        <v>776</v>
      </c>
      <c r="D171" s="85" t="s">
        <v>832</v>
      </c>
      <c r="E171" s="85" t="s">
        <v>470</v>
      </c>
      <c r="F171" s="85" t="s">
        <v>778</v>
      </c>
      <c r="G171" s="85" t="s">
        <v>426</v>
      </c>
      <c r="H171" s="85" t="s">
        <v>132</v>
      </c>
      <c r="I171" s="85" t="s">
        <v>336</v>
      </c>
      <c r="J171" s="85" t="n">
        <v>3</v>
      </c>
      <c r="K171" s="85"/>
      <c r="L171" s="85" t="s">
        <v>33</v>
      </c>
      <c r="M171" s="85" t="n">
        <f aca="false">IF(L171="Low",1,IF(L171="Medium",3,IF(L171="High",5,0)))</f>
        <v>1</v>
      </c>
      <c r="N171" s="85" t="s">
        <v>833</v>
      </c>
    </row>
    <row r="172" customFormat="false" ht="22.35" hidden="false" customHeight="false" outlineLevel="0" collapsed="false">
      <c r="A172" s="85" t="n">
        <v>164</v>
      </c>
      <c r="B172" s="85" t="s">
        <v>834</v>
      </c>
      <c r="C172" s="85" t="s">
        <v>776</v>
      </c>
      <c r="D172" s="85" t="s">
        <v>835</v>
      </c>
      <c r="E172" s="85" t="s">
        <v>470</v>
      </c>
      <c r="F172" s="85" t="s">
        <v>778</v>
      </c>
      <c r="G172" s="85" t="s">
        <v>426</v>
      </c>
      <c r="H172" s="85" t="s">
        <v>126</v>
      </c>
      <c r="I172" s="85" t="s">
        <v>276</v>
      </c>
      <c r="J172" s="85" t="n">
        <v>3</v>
      </c>
      <c r="K172" s="85"/>
      <c r="L172" s="85" t="s">
        <v>33</v>
      </c>
      <c r="M172" s="85" t="n">
        <f aca="false">IF(L172="Low",1,IF(L172="Medium",3,IF(L172="High",5,0)))</f>
        <v>1</v>
      </c>
      <c r="N172" s="85" t="s">
        <v>836</v>
      </c>
    </row>
    <row r="173" customFormat="false" ht="22.35" hidden="false" customHeight="false" outlineLevel="0" collapsed="false">
      <c r="A173" s="85" t="n">
        <v>165</v>
      </c>
      <c r="B173" s="85" t="s">
        <v>837</v>
      </c>
      <c r="C173" s="85" t="s">
        <v>776</v>
      </c>
      <c r="D173" s="85" t="s">
        <v>838</v>
      </c>
      <c r="E173" s="85" t="s">
        <v>438</v>
      </c>
      <c r="F173" s="85" t="s">
        <v>778</v>
      </c>
      <c r="G173" s="85" t="s">
        <v>426</v>
      </c>
      <c r="H173" s="85" t="s">
        <v>126</v>
      </c>
      <c r="I173" s="85" t="s">
        <v>276</v>
      </c>
      <c r="J173" s="85" t="n">
        <v>3</v>
      </c>
      <c r="K173" s="85"/>
      <c r="L173" s="85" t="s">
        <v>33</v>
      </c>
      <c r="M173" s="85" t="n">
        <f aca="false">IF(L173="Low",1,IF(L173="Medium",3,IF(L173="High",5,0)))</f>
        <v>1</v>
      </c>
      <c r="N173" s="85" t="s">
        <v>839</v>
      </c>
    </row>
    <row r="174" customFormat="false" ht="22.35" hidden="false" customHeight="false" outlineLevel="0" collapsed="false">
      <c r="A174" s="85" t="n">
        <v>166</v>
      </c>
      <c r="B174" s="85" t="s">
        <v>840</v>
      </c>
      <c r="C174" s="85" t="s">
        <v>776</v>
      </c>
      <c r="D174" s="85" t="s">
        <v>841</v>
      </c>
      <c r="E174" s="85" t="s">
        <v>438</v>
      </c>
      <c r="F174" s="85" t="s">
        <v>778</v>
      </c>
      <c r="G174" s="85" t="s">
        <v>426</v>
      </c>
      <c r="H174" s="85" t="s">
        <v>127</v>
      </c>
      <c r="I174" s="85" t="s">
        <v>287</v>
      </c>
      <c r="J174" s="85" t="n">
        <v>3</v>
      </c>
      <c r="K174" s="85"/>
      <c r="L174" s="85" t="s">
        <v>33</v>
      </c>
      <c r="M174" s="85" t="n">
        <f aca="false">IF(L174="Low",1,IF(L174="Medium",3,IF(L174="High",5,0)))</f>
        <v>1</v>
      </c>
      <c r="N174" s="85" t="s">
        <v>842</v>
      </c>
    </row>
    <row r="175" customFormat="false" ht="22.35" hidden="false" customHeight="false" outlineLevel="0" collapsed="false">
      <c r="A175" s="85" t="n">
        <v>167</v>
      </c>
      <c r="B175" s="85" t="s">
        <v>843</v>
      </c>
      <c r="C175" s="85" t="s">
        <v>776</v>
      </c>
      <c r="D175" s="85" t="s">
        <v>844</v>
      </c>
      <c r="E175" s="85" t="s">
        <v>438</v>
      </c>
      <c r="F175" s="85" t="s">
        <v>778</v>
      </c>
      <c r="G175" s="85" t="s">
        <v>426</v>
      </c>
      <c r="H175" s="85" t="s">
        <v>133</v>
      </c>
      <c r="I175" s="85" t="s">
        <v>344</v>
      </c>
      <c r="J175" s="85" t="n">
        <v>4</v>
      </c>
      <c r="K175" s="85"/>
      <c r="L175" s="85" t="s">
        <v>33</v>
      </c>
      <c r="M175" s="85" t="n">
        <f aca="false">IF(L175="Low",1,IF(L175="Medium",3,IF(L175="High",5,0)))</f>
        <v>1</v>
      </c>
      <c r="N175" s="85" t="s">
        <v>845</v>
      </c>
    </row>
    <row r="176" customFormat="false" ht="22.35" hidden="false" customHeight="false" outlineLevel="0" collapsed="false">
      <c r="A176" s="85" t="n">
        <v>168</v>
      </c>
      <c r="B176" s="85" t="s">
        <v>846</v>
      </c>
      <c r="C176" s="85" t="s">
        <v>776</v>
      </c>
      <c r="D176" s="85" t="s">
        <v>847</v>
      </c>
      <c r="E176" s="85" t="s">
        <v>438</v>
      </c>
      <c r="F176" s="85" t="s">
        <v>778</v>
      </c>
      <c r="G176" s="85" t="s">
        <v>426</v>
      </c>
      <c r="H176" s="85" t="s">
        <v>131</v>
      </c>
      <c r="I176" s="85" t="s">
        <v>328</v>
      </c>
      <c r="J176" s="85" t="n">
        <v>3</v>
      </c>
      <c r="K176" s="85"/>
      <c r="L176" s="85" t="s">
        <v>33</v>
      </c>
      <c r="M176" s="85" t="n">
        <f aca="false">IF(L176="Low",1,IF(L176="Medium",3,IF(L176="High",5,0)))</f>
        <v>1</v>
      </c>
      <c r="N176" s="85" t="s">
        <v>848</v>
      </c>
    </row>
    <row r="177" customFormat="false" ht="22.35" hidden="false" customHeight="false" outlineLevel="0" collapsed="false">
      <c r="A177" s="85" t="n">
        <v>169</v>
      </c>
      <c r="B177" s="85" t="s">
        <v>849</v>
      </c>
      <c r="C177" s="85" t="s">
        <v>776</v>
      </c>
      <c r="D177" s="85" t="s">
        <v>850</v>
      </c>
      <c r="E177" s="85" t="s">
        <v>438</v>
      </c>
      <c r="F177" s="85" t="s">
        <v>778</v>
      </c>
      <c r="G177" s="85" t="s">
        <v>426</v>
      </c>
      <c r="H177" s="85" t="s">
        <v>124</v>
      </c>
      <c r="I177" s="85" t="s">
        <v>254</v>
      </c>
      <c r="J177" s="85" t="n">
        <v>4</v>
      </c>
      <c r="K177" s="85"/>
      <c r="L177" s="85" t="s">
        <v>35</v>
      </c>
      <c r="M177" s="85" t="n">
        <f aca="false">IF(L177="Low",1,IF(L177="Medium",3,IF(L177="High",5,0)))</f>
        <v>3</v>
      </c>
      <c r="N177" s="85" t="s">
        <v>851</v>
      </c>
    </row>
    <row r="178" customFormat="false" ht="22.35" hidden="false" customHeight="false" outlineLevel="0" collapsed="false">
      <c r="A178" s="85" t="n">
        <v>170</v>
      </c>
      <c r="B178" s="85" t="s">
        <v>852</v>
      </c>
      <c r="C178" s="85" t="s">
        <v>776</v>
      </c>
      <c r="D178" s="85" t="s">
        <v>853</v>
      </c>
      <c r="E178" s="85" t="s">
        <v>424</v>
      </c>
      <c r="F178" s="85" t="s">
        <v>778</v>
      </c>
      <c r="G178" s="85" t="s">
        <v>426</v>
      </c>
      <c r="H178" s="85" t="s">
        <v>125</v>
      </c>
      <c r="I178" s="85" t="s">
        <v>265</v>
      </c>
      <c r="J178" s="85" t="n">
        <v>4</v>
      </c>
      <c r="K178" s="85"/>
      <c r="L178" s="85" t="s">
        <v>33</v>
      </c>
      <c r="M178" s="85" t="n">
        <f aca="false">IF(L178="Low",1,IF(L178="Medium",3,IF(L178="High",5,0)))</f>
        <v>1</v>
      </c>
      <c r="N178" s="85" t="s">
        <v>854</v>
      </c>
    </row>
    <row r="179" customFormat="false" ht="22.35" hidden="false" customHeight="false" outlineLevel="0" collapsed="false">
      <c r="A179" s="86" t="n">
        <v>171</v>
      </c>
      <c r="B179" s="86" t="s">
        <v>855</v>
      </c>
      <c r="C179" s="86" t="s">
        <v>776</v>
      </c>
      <c r="D179" s="86" t="s">
        <v>856</v>
      </c>
      <c r="E179" s="86" t="s">
        <v>424</v>
      </c>
      <c r="F179" s="86" t="s">
        <v>778</v>
      </c>
      <c r="G179" s="86" t="s">
        <v>571</v>
      </c>
      <c r="H179" s="86"/>
      <c r="I179" s="86"/>
      <c r="J179" s="86" t="n">
        <v>3</v>
      </c>
      <c r="K179" s="86"/>
      <c r="L179" s="86"/>
      <c r="M179" s="86" t="n">
        <f aca="false">IF(L179="Low",1,IF(L179="Medium",3,IF(L179="High",5,0)))</f>
        <v>0</v>
      </c>
      <c r="N179" s="86" t="s">
        <v>857</v>
      </c>
    </row>
    <row r="180" customFormat="false" ht="22.35" hidden="false" customHeight="false" outlineLevel="0" collapsed="false">
      <c r="A180" s="85" t="n">
        <v>172</v>
      </c>
      <c r="B180" s="85" t="s">
        <v>858</v>
      </c>
      <c r="C180" s="85" t="s">
        <v>776</v>
      </c>
      <c r="D180" s="85" t="s">
        <v>859</v>
      </c>
      <c r="E180" s="85" t="s">
        <v>424</v>
      </c>
      <c r="F180" s="85" t="s">
        <v>778</v>
      </c>
      <c r="G180" s="85" t="s">
        <v>426</v>
      </c>
      <c r="H180" s="85" t="s">
        <v>129</v>
      </c>
      <c r="I180" s="85" t="s">
        <v>309</v>
      </c>
      <c r="J180" s="85" t="n">
        <v>3</v>
      </c>
      <c r="K180" s="85"/>
      <c r="L180" s="85" t="s">
        <v>33</v>
      </c>
      <c r="M180" s="85" t="n">
        <f aca="false">IF(L180="Low",1,IF(L180="Medium",3,IF(L180="High",5,0)))</f>
        <v>1</v>
      </c>
      <c r="N180" s="85" t="s">
        <v>860</v>
      </c>
    </row>
    <row r="181" customFormat="false" ht="22.35" hidden="false" customHeight="false" outlineLevel="0" collapsed="false">
      <c r="A181" s="85" t="n">
        <v>173</v>
      </c>
      <c r="B181" s="85" t="s">
        <v>861</v>
      </c>
      <c r="C181" s="85" t="s">
        <v>776</v>
      </c>
      <c r="D181" s="85" t="s">
        <v>862</v>
      </c>
      <c r="E181" s="85" t="s">
        <v>424</v>
      </c>
      <c r="F181" s="85" t="s">
        <v>778</v>
      </c>
      <c r="G181" s="85" t="s">
        <v>426</v>
      </c>
      <c r="H181" s="85" t="s">
        <v>130</v>
      </c>
      <c r="I181" s="85" t="s">
        <v>314</v>
      </c>
      <c r="J181" s="85" t="n">
        <v>3</v>
      </c>
      <c r="K181" s="85"/>
      <c r="L181" s="85" t="s">
        <v>35</v>
      </c>
      <c r="M181" s="85" t="n">
        <f aca="false">IF(L181="Low",1,IF(L181="Medium",3,IF(L181="High",5,0)))</f>
        <v>3</v>
      </c>
      <c r="N181" s="85" t="s">
        <v>863</v>
      </c>
    </row>
    <row r="182" customFormat="false" ht="22.35" hidden="false" customHeight="false" outlineLevel="0" collapsed="false">
      <c r="A182" s="85" t="n">
        <v>174</v>
      </c>
      <c r="B182" s="85" t="s">
        <v>864</v>
      </c>
      <c r="C182" s="85" t="s">
        <v>776</v>
      </c>
      <c r="D182" s="85" t="s">
        <v>865</v>
      </c>
      <c r="E182" s="85" t="s">
        <v>438</v>
      </c>
      <c r="F182" s="85" t="s">
        <v>778</v>
      </c>
      <c r="G182" s="85" t="s">
        <v>426</v>
      </c>
      <c r="H182" s="85" t="s">
        <v>130</v>
      </c>
      <c r="I182" s="85" t="s">
        <v>317</v>
      </c>
      <c r="J182" s="85" t="n">
        <v>3</v>
      </c>
      <c r="K182" s="85"/>
      <c r="L182" s="85" t="s">
        <v>35</v>
      </c>
      <c r="M182" s="85" t="n">
        <f aca="false">IF(L182="Low",1,IF(L182="Medium",3,IF(L182="High",5,0)))</f>
        <v>3</v>
      </c>
      <c r="N182" s="85" t="s">
        <v>866</v>
      </c>
    </row>
    <row r="183" customFormat="false" ht="22.35" hidden="false" customHeight="false" outlineLevel="0" collapsed="false">
      <c r="A183" s="85" t="n">
        <v>175</v>
      </c>
      <c r="B183" s="85" t="s">
        <v>867</v>
      </c>
      <c r="C183" s="85" t="s">
        <v>776</v>
      </c>
      <c r="D183" s="85" t="s">
        <v>868</v>
      </c>
      <c r="E183" s="85" t="s">
        <v>470</v>
      </c>
      <c r="F183" s="85" t="s">
        <v>778</v>
      </c>
      <c r="G183" s="85" t="s">
        <v>426</v>
      </c>
      <c r="H183" s="85" t="s">
        <v>130</v>
      </c>
      <c r="I183" s="85" t="s">
        <v>317</v>
      </c>
      <c r="J183" s="85" t="n">
        <v>5</v>
      </c>
      <c r="K183" s="85"/>
      <c r="L183" s="85" t="s">
        <v>37</v>
      </c>
      <c r="M183" s="85" t="n">
        <f aca="false">IF(L183="Low",1,IF(L183="Medium",3,IF(L183="High",5,0)))</f>
        <v>5</v>
      </c>
      <c r="N183" s="85" t="s">
        <v>869</v>
      </c>
    </row>
    <row r="184" customFormat="false" ht="22.35" hidden="false" customHeight="false" outlineLevel="0" collapsed="false">
      <c r="A184" s="85" t="n">
        <v>176</v>
      </c>
      <c r="B184" s="85" t="s">
        <v>870</v>
      </c>
      <c r="C184" s="85" t="s">
        <v>776</v>
      </c>
      <c r="D184" s="85" t="s">
        <v>871</v>
      </c>
      <c r="E184" s="85" t="s">
        <v>470</v>
      </c>
      <c r="F184" s="85" t="s">
        <v>778</v>
      </c>
      <c r="G184" s="85" t="s">
        <v>426</v>
      </c>
      <c r="H184" s="85" t="s">
        <v>130</v>
      </c>
      <c r="I184" s="85" t="s">
        <v>320</v>
      </c>
      <c r="J184" s="85" t="n">
        <v>5</v>
      </c>
      <c r="K184" s="85"/>
      <c r="L184" s="85" t="s">
        <v>37</v>
      </c>
      <c r="M184" s="85" t="n">
        <f aca="false">IF(L184="Low",1,IF(L184="Medium",3,IF(L184="High",5,0)))</f>
        <v>5</v>
      </c>
      <c r="N184" s="85" t="s">
        <v>872</v>
      </c>
    </row>
    <row r="185" customFormat="false" ht="22.35" hidden="false" customHeight="false" outlineLevel="0" collapsed="false">
      <c r="A185" s="85" t="n">
        <v>177</v>
      </c>
      <c r="B185" s="85" t="s">
        <v>873</v>
      </c>
      <c r="C185" s="85" t="s">
        <v>776</v>
      </c>
      <c r="D185" s="85" t="s">
        <v>874</v>
      </c>
      <c r="E185" s="85" t="s">
        <v>470</v>
      </c>
      <c r="F185" s="85" t="s">
        <v>778</v>
      </c>
      <c r="G185" s="85" t="s">
        <v>426</v>
      </c>
      <c r="H185" s="85" t="s">
        <v>130</v>
      </c>
      <c r="I185" s="85" t="s">
        <v>320</v>
      </c>
      <c r="J185" s="85" t="n">
        <v>4</v>
      </c>
      <c r="K185" s="85"/>
      <c r="L185" s="85" t="s">
        <v>35</v>
      </c>
      <c r="M185" s="85" t="n">
        <f aca="false">IF(L185="Low",1,IF(L185="Medium",3,IF(L185="High",5,0)))</f>
        <v>3</v>
      </c>
      <c r="N185" s="85" t="s">
        <v>875</v>
      </c>
    </row>
    <row r="186" customFormat="false" ht="22.35" hidden="false" customHeight="false" outlineLevel="0" collapsed="false">
      <c r="A186" s="85" t="n">
        <v>178</v>
      </c>
      <c r="B186" s="85" t="s">
        <v>876</v>
      </c>
      <c r="C186" s="85" t="s">
        <v>776</v>
      </c>
      <c r="D186" s="85" t="s">
        <v>877</v>
      </c>
      <c r="E186" s="85" t="s">
        <v>470</v>
      </c>
      <c r="F186" s="85" t="s">
        <v>778</v>
      </c>
      <c r="G186" s="85" t="s">
        <v>426</v>
      </c>
      <c r="H186" s="85" t="s">
        <v>130</v>
      </c>
      <c r="I186" s="85" t="s">
        <v>314</v>
      </c>
      <c r="J186" s="85" t="n">
        <v>5</v>
      </c>
      <c r="K186" s="85"/>
      <c r="L186" s="85" t="s">
        <v>35</v>
      </c>
      <c r="M186" s="85" t="n">
        <f aca="false">IF(L186="Low",1,IF(L186="Medium",3,IF(L186="High",5,0)))</f>
        <v>3</v>
      </c>
      <c r="N186" s="85" t="s">
        <v>878</v>
      </c>
    </row>
    <row r="187" customFormat="false" ht="22.35" hidden="false" customHeight="false" outlineLevel="0" collapsed="false">
      <c r="A187" s="85" t="n">
        <v>179</v>
      </c>
      <c r="B187" s="85" t="s">
        <v>879</v>
      </c>
      <c r="C187" s="85" t="s">
        <v>776</v>
      </c>
      <c r="D187" s="85" t="s">
        <v>880</v>
      </c>
      <c r="E187" s="85" t="s">
        <v>470</v>
      </c>
      <c r="F187" s="85" t="s">
        <v>778</v>
      </c>
      <c r="G187" s="85" t="s">
        <v>426</v>
      </c>
      <c r="H187" s="85" t="s">
        <v>138</v>
      </c>
      <c r="I187" s="85" t="s">
        <v>396</v>
      </c>
      <c r="J187" s="85" t="n">
        <v>4</v>
      </c>
      <c r="K187" s="85"/>
      <c r="L187" s="85" t="s">
        <v>37</v>
      </c>
      <c r="M187" s="85" t="n">
        <f aca="false">IF(L187="Low",1,IF(L187="Medium",3,IF(L187="High",5,0)))</f>
        <v>5</v>
      </c>
      <c r="N187" s="85" t="s">
        <v>881</v>
      </c>
    </row>
    <row r="188" customFormat="false" ht="22.35" hidden="false" customHeight="false" outlineLevel="0" collapsed="false">
      <c r="A188" s="85" t="n">
        <v>180</v>
      </c>
      <c r="B188" s="85" t="s">
        <v>882</v>
      </c>
      <c r="C188" s="85" t="s">
        <v>776</v>
      </c>
      <c r="D188" s="85" t="s">
        <v>883</v>
      </c>
      <c r="E188" s="85" t="s">
        <v>424</v>
      </c>
      <c r="F188" s="85" t="s">
        <v>778</v>
      </c>
      <c r="G188" s="85" t="s">
        <v>426</v>
      </c>
      <c r="H188" s="85" t="s">
        <v>138</v>
      </c>
      <c r="I188" s="85" t="s">
        <v>399</v>
      </c>
      <c r="J188" s="85" t="n">
        <v>3</v>
      </c>
      <c r="K188" s="85"/>
      <c r="L188" s="85" t="s">
        <v>37</v>
      </c>
      <c r="M188" s="85" t="n">
        <f aca="false">IF(L188="Low",1,IF(L188="Medium",3,IF(L188="High",5,0)))</f>
        <v>5</v>
      </c>
      <c r="N188" s="85" t="s">
        <v>884</v>
      </c>
    </row>
    <row r="189" customFormat="false" ht="22.35" hidden="false" customHeight="false" outlineLevel="0" collapsed="false">
      <c r="A189" s="85" t="n">
        <v>181</v>
      </c>
      <c r="B189" s="85" t="s">
        <v>885</v>
      </c>
      <c r="C189" s="85" t="s">
        <v>776</v>
      </c>
      <c r="D189" s="85" t="s">
        <v>886</v>
      </c>
      <c r="E189" s="85" t="s">
        <v>470</v>
      </c>
      <c r="F189" s="85" t="s">
        <v>778</v>
      </c>
      <c r="G189" s="85" t="s">
        <v>426</v>
      </c>
      <c r="H189" s="85" t="s">
        <v>138</v>
      </c>
      <c r="I189" s="85" t="s">
        <v>387</v>
      </c>
      <c r="J189" s="85" t="n">
        <v>8</v>
      </c>
      <c r="K189" s="85"/>
      <c r="L189" s="85" t="s">
        <v>37</v>
      </c>
      <c r="M189" s="85" t="n">
        <f aca="false">IF(L189="Low",1,IF(L189="Medium",3,IF(L189="High",5,0)))</f>
        <v>5</v>
      </c>
      <c r="N189" s="85" t="s">
        <v>887</v>
      </c>
    </row>
    <row r="190" customFormat="false" ht="15" hidden="false" customHeight="false" outlineLevel="0" collapsed="false">
      <c r="A190" s="85" t="n">
        <v>182</v>
      </c>
      <c r="B190" s="85" t="s">
        <v>888</v>
      </c>
      <c r="C190" s="85" t="s">
        <v>889</v>
      </c>
      <c r="D190" s="85" t="s">
        <v>890</v>
      </c>
      <c r="E190" s="85" t="s">
        <v>891</v>
      </c>
      <c r="F190" s="85" t="s">
        <v>425</v>
      </c>
      <c r="G190" s="85" t="s">
        <v>426</v>
      </c>
      <c r="H190" s="85" t="s">
        <v>138</v>
      </c>
      <c r="I190" s="85" t="s">
        <v>387</v>
      </c>
      <c r="J190" s="85"/>
      <c r="K190" s="85" t="n">
        <v>16</v>
      </c>
      <c r="L190" s="85" t="s">
        <v>35</v>
      </c>
      <c r="M190" s="85" t="n">
        <f aca="false">IF(L190="Low",1,IF(L190="Medium",3,IF(L190="High",5,0)))</f>
        <v>3</v>
      </c>
      <c r="N190" s="85" t="s">
        <v>892</v>
      </c>
    </row>
    <row r="191" customFormat="false" ht="15" hidden="false" customHeight="false" outlineLevel="0" collapsed="false">
      <c r="A191" s="85" t="n">
        <v>183</v>
      </c>
      <c r="B191" s="85" t="s">
        <v>893</v>
      </c>
      <c r="C191" s="85" t="s">
        <v>894</v>
      </c>
      <c r="D191" s="85" t="s">
        <v>895</v>
      </c>
      <c r="E191" s="85" t="s">
        <v>891</v>
      </c>
      <c r="F191" s="85" t="s">
        <v>445</v>
      </c>
      <c r="G191" s="85" t="s">
        <v>426</v>
      </c>
      <c r="H191" s="85" t="s">
        <v>138</v>
      </c>
      <c r="I191" s="85" t="s">
        <v>390</v>
      </c>
      <c r="J191" s="85"/>
      <c r="K191" s="85" t="n">
        <v>16</v>
      </c>
      <c r="L191" s="85" t="s">
        <v>35</v>
      </c>
      <c r="M191" s="85" t="n">
        <f aca="false">IF(L191="Low",1,IF(L191="Medium",3,IF(L191="High",5,0)))</f>
        <v>3</v>
      </c>
      <c r="N191" s="85" t="s">
        <v>896</v>
      </c>
    </row>
    <row r="192" customFormat="false" ht="22.35" hidden="false" customHeight="false" outlineLevel="0" collapsed="false">
      <c r="A192" s="85" t="n">
        <v>184</v>
      </c>
      <c r="B192" s="85" t="s">
        <v>897</v>
      </c>
      <c r="C192" s="85" t="s">
        <v>894</v>
      </c>
      <c r="D192" s="85" t="s">
        <v>898</v>
      </c>
      <c r="E192" s="85" t="s">
        <v>891</v>
      </c>
      <c r="F192" s="85" t="s">
        <v>445</v>
      </c>
      <c r="G192" s="85" t="s">
        <v>426</v>
      </c>
      <c r="H192" s="85" t="s">
        <v>138</v>
      </c>
      <c r="I192" s="85" t="s">
        <v>390</v>
      </c>
      <c r="J192" s="85"/>
      <c r="K192" s="85" t="n">
        <v>26</v>
      </c>
      <c r="L192" s="85" t="s">
        <v>37</v>
      </c>
      <c r="M192" s="85" t="n">
        <f aca="false">IF(L192="Low",1,IF(L192="Medium",3,IF(L192="High",5,0)))</f>
        <v>5</v>
      </c>
      <c r="N192" s="85" t="s">
        <v>899</v>
      </c>
    </row>
    <row r="193" customFormat="false" ht="22.35" hidden="false" customHeight="false" outlineLevel="0" collapsed="false">
      <c r="A193" s="85" t="n">
        <v>185</v>
      </c>
      <c r="B193" s="85" t="s">
        <v>900</v>
      </c>
      <c r="C193" s="85" t="s">
        <v>901</v>
      </c>
      <c r="D193" s="85" t="s">
        <v>902</v>
      </c>
      <c r="E193" s="85" t="s">
        <v>891</v>
      </c>
      <c r="F193" s="85" t="s">
        <v>778</v>
      </c>
      <c r="G193" s="85" t="s">
        <v>426</v>
      </c>
      <c r="H193" s="85" t="s">
        <v>138</v>
      </c>
      <c r="I193" s="85" t="s">
        <v>390</v>
      </c>
      <c r="J193" s="85"/>
      <c r="K193" s="85" t="n">
        <v>16</v>
      </c>
      <c r="L193" s="85" t="s">
        <v>35</v>
      </c>
      <c r="M193" s="85" t="n">
        <f aca="false">IF(L193="Low",1,IF(L193="Medium",3,IF(L193="High",5,0)))</f>
        <v>3</v>
      </c>
      <c r="N193" s="85" t="s">
        <v>903</v>
      </c>
    </row>
    <row r="194" customFormat="false" ht="22.35" hidden="false" customHeight="false" outlineLevel="0" collapsed="false">
      <c r="A194" s="85" t="n">
        <v>186</v>
      </c>
      <c r="B194" s="85" t="s">
        <v>904</v>
      </c>
      <c r="C194" s="85" t="s">
        <v>901</v>
      </c>
      <c r="D194" s="85" t="s">
        <v>905</v>
      </c>
      <c r="E194" s="85" t="s">
        <v>438</v>
      </c>
      <c r="F194" s="85" t="s">
        <v>778</v>
      </c>
      <c r="G194" s="85" t="s">
        <v>426</v>
      </c>
      <c r="H194" s="85" t="s">
        <v>121</v>
      </c>
      <c r="I194" s="85" t="s">
        <v>184</v>
      </c>
      <c r="J194" s="85"/>
      <c r="K194" s="85" t="n">
        <v>48</v>
      </c>
      <c r="L194" s="85" t="s">
        <v>37</v>
      </c>
      <c r="M194" s="85" t="n">
        <f aca="false">IF(L194="Low",1,IF(L194="Medium",3,IF(L194="High",5,0)))</f>
        <v>5</v>
      </c>
      <c r="N194" s="85" t="s">
        <v>906</v>
      </c>
    </row>
    <row r="195" customFormat="false" ht="22.35" hidden="false" customHeight="false" outlineLevel="0" collapsed="false">
      <c r="A195" s="85" t="n">
        <v>187</v>
      </c>
      <c r="B195" s="85" t="s">
        <v>907</v>
      </c>
      <c r="C195" s="85" t="s">
        <v>901</v>
      </c>
      <c r="D195" s="85" t="s">
        <v>908</v>
      </c>
      <c r="E195" s="85" t="s">
        <v>891</v>
      </c>
      <c r="F195" s="85" t="s">
        <v>778</v>
      </c>
      <c r="G195" s="85" t="s">
        <v>426</v>
      </c>
      <c r="H195" s="85" t="s">
        <v>121</v>
      </c>
      <c r="I195" s="85" t="s">
        <v>184</v>
      </c>
      <c r="J195" s="85"/>
      <c r="K195" s="85" t="n">
        <v>8</v>
      </c>
      <c r="L195" s="85" t="s">
        <v>35</v>
      </c>
      <c r="M195" s="85" t="n">
        <f aca="false">IF(L195="Low",1,IF(L195="Medium",3,IF(L195="High",5,0)))</f>
        <v>3</v>
      </c>
      <c r="N195" s="85" t="s">
        <v>909</v>
      </c>
    </row>
    <row r="196" customFormat="false" ht="22.35" hidden="false" customHeight="false" outlineLevel="0" collapsed="false">
      <c r="A196" s="85" t="n">
        <v>188</v>
      </c>
      <c r="B196" s="85" t="s">
        <v>910</v>
      </c>
      <c r="C196" s="85" t="s">
        <v>901</v>
      </c>
      <c r="D196" s="85" t="s">
        <v>911</v>
      </c>
      <c r="E196" s="85" t="s">
        <v>891</v>
      </c>
      <c r="F196" s="85" t="s">
        <v>778</v>
      </c>
      <c r="G196" s="85" t="s">
        <v>426</v>
      </c>
      <c r="H196" s="85" t="s">
        <v>138</v>
      </c>
      <c r="I196" s="85" t="s">
        <v>384</v>
      </c>
      <c r="J196" s="85"/>
      <c r="K196" s="85" t="n">
        <v>12</v>
      </c>
      <c r="L196" s="85" t="s">
        <v>35</v>
      </c>
      <c r="M196" s="85" t="n">
        <f aca="false">IF(L196="Low",1,IF(L196="Medium",3,IF(L196="High",5,0)))</f>
        <v>3</v>
      </c>
      <c r="N196" s="85" t="s">
        <v>912</v>
      </c>
    </row>
  </sheetData>
  <autoFilter ref="A8:N1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2025-12-09T08:10:08Z</dcterms:created>
  <dc:creator>hp</dc:creator>
  <dc:description/>
  <dc:language>en-US</dc:language>
  <cp:lastModifiedBy>Dheeraj Motiyani</cp:lastModifiedBy>
  <dcterms:modified xsi:type="dcterms:W3CDTF">2026-10-19T09:30:45Z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