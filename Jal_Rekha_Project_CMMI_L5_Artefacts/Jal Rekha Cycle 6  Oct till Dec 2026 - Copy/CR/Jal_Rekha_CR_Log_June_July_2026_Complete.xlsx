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82838B0-C800-4D49-935B-A4E10B93DAC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R Log Jun-Jul 2026" sheetId="1" r:id="rId1"/>
    <sheet name="Module Summary" sheetId="2" r:id="rId2"/>
  </sheets>
  <definedNames>
    <definedName name="_xlnm._FilterDatabase" localSheetId="0" hidden="1">'CR Log Jun-Jul 2026'!$A$4:$P$4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2" l="1"/>
  <c r="E11" i="2"/>
  <c r="D11" i="2"/>
  <c r="C11" i="2"/>
  <c r="B11" i="2"/>
</calcChain>
</file>

<file path=xl/sharedStrings.xml><?xml version="1.0" encoding="utf-8"?>
<sst xmlns="http://schemas.openxmlformats.org/spreadsheetml/2006/main" count="374" uniqueCount="197">
  <si>
    <t>JAL REKHA PROJECT — CHANGE REQUEST LOG  |  June–July 2026 (Cycle 4, Sprint Jal Rekha/17)</t>
  </si>
  <si>
    <t>Project: Jal Rekha  |  Client: Govt. of MP – PHED  |  Contract: MPSEDC/MPSSDI(GIS)/2025/00423  |  Prepared by: Dheeraj Motiyani, Sr. BA  |  Reviewed by: Tapan Khandelwal, SPM</t>
  </si>
  <si>
    <t>CR No.</t>
  </si>
  <si>
    <t>CR Code</t>
  </si>
  <si>
    <t>CR Raised By</t>
  </si>
  <si>
    <t>Req. Gathered By</t>
  </si>
  <si>
    <t>Logging Date</t>
  </si>
  <si>
    <t>CR Description</t>
  </si>
  <si>
    <t>Module</t>
  </si>
  <si>
    <t>Sub-Module</t>
  </si>
  <si>
    <t>Impact Area</t>
  </si>
  <si>
    <t>Impact Analysis</t>
  </si>
  <si>
    <t>Impl. Status</t>
  </si>
  <si>
    <t>Impl. Date</t>
  </si>
  <si>
    <t>Approval Status</t>
  </si>
  <si>
    <t>Priority</t>
  </si>
  <si>
    <t>Risk Level</t>
  </si>
  <si>
    <t>Remarks</t>
  </si>
  <si>
    <t>OMB-JUN-2026-001</t>
  </si>
  <si>
    <t>MD Sir / Kapil Sir</t>
  </si>
  <si>
    <t>Dheeraj Motiyani</t>
  </si>
  <si>
    <t>01-Jun-2026</t>
  </si>
  <si>
    <t>Contractor/Firm login – make key document uploads (Submission Letter, Tax Invoice) mandatory before a bill can move out of “Save as Draft” state; draft can be saved with partial data but cannot be forwarded to GM (PIU) until mandatory documents are attached.</t>
  </si>
  <si>
    <t>O&amp;M Billing</t>
  </si>
  <si>
    <t>Save as Draft – Mandatory Upload (Contractor)</t>
  </si>
  <si>
    <t>Contractor/Firm Login – Bill Workflow</t>
  </si>
  <si>
    <t>Draft-save behaviour unchanged; new gate added only on the Forward action. Mirrors pattern already delivered for Cube Testing and Sahbhagita Mobile Save-as-Draft CRs.</t>
  </si>
  <si>
    <t>Done</t>
  </si>
  <si>
    <t>15-Jun-2026</t>
  </si>
  <si>
    <t>Pending</t>
  </si>
  <si>
    <t>High</t>
  </si>
  <si>
    <t>Medium</t>
  </si>
  <si>
    <t>New CR – raised to align O&amp;M Billing with Cube/Sahbhagita Save-as-Draft pattern.</t>
  </si>
  <si>
    <t>OMB-MAY-2026-020</t>
  </si>
  <si>
    <t>MD Sir</t>
  </si>
  <si>
    <t>16-Jun-2026</t>
  </si>
  <si>
    <t>O&amp;M Billing – Residual Pressure &amp; Complaint Redressal screen changes. Pressure Threshold Report format update per OM_RA_Bill_Report.pdf.
Complaint Redressal - Is complaint resolved in this month ?
Renaming Complaint Redressal page :- Date on which complaint received to contractor, Date on which complaint resolved, Total Days taken in Resolving complaint (Days)</t>
  </si>
  <si>
    <t>Residual Pressure &amp; Complaint Redressal</t>
  </si>
  <si>
    <t>GM PIU / O&amp;M Login – RA Bill</t>
  </si>
  <si>
    <t>Residual Pressure: columns per OM_RA_Bill_Report.pdf (District, Block, GP, Village, Consumer Name, Mobile, Measured Pressure, Remark, Affected HSCs, Days, Penalty calc). Complaint Redressal: label and status changes.</t>
  </si>
  <si>
    <t>25-Jun-2026</t>
  </si>
  <si>
    <t>Low</t>
  </si>
  <si>
    <t>Ref: OM_RA_Bill_Report.pdf – Pressure_Threshold_Report. RA/19/50/2025-26/Q1/1 format.</t>
  </si>
  <si>
    <t>OMB-JUN-2026-002</t>
  </si>
  <si>
    <t>20-Jun-2026</t>
  </si>
  <si>
    <t>Complaint Redressal Sheet – add Complaint Received Date to Contractor, Event-above-48-hours flag and Penalty Relaxation (Yes/No) fields; document upload as per submeter reading.</t>
  </si>
  <si>
    <t>Complaint Redressal Sheet</t>
  </si>
  <si>
    <t>Auto-derived Event-above-48-hours flag from received/resolved dates. Penalty Relaxation = Yes routes relaxation letter into GM (PIU) document set.</t>
  </si>
  <si>
    <t>New CR – extends Residual Pressure CR (OMB-MAY-2026-020) into the Complaint Redressal tab.</t>
  </si>
  <si>
    <t>OMB-JUN-2026-004</t>
  </si>
  <si>
    <t>O&amp;M Billing - Desgin changes  portrait to landscape for O&amp;M Report for Abstract Bill</t>
  </si>
  <si>
    <t>Abstract Bill – Portrait to Landscape</t>
  </si>
  <si>
    <t>All Logins – Bill PDF Generation</t>
  </si>
  <si>
    <t>Report orientation changed from portrait to landscape for Abstract Bill PDF. Impacts GM, SQC, Firm/Contractor bill view and download. Layout redesign required for all table/column headers in Abstract Bill PDF service.</t>
  </si>
  <si>
    <t>Open</t>
  </si>
  <si>
    <t>Ref: RA Bill landscape format request. Landscape layout wider table required for Abstract Bill header + village-wise summary columns.</t>
  </si>
  <si>
    <t>OMB-MAY-2026-006</t>
  </si>
  <si>
    <t>O&amp;M Billing – Workflow Redesign:  Firm → GM PIU → TL SQC → GM PIU → GM O&amp;M → DGM → TL PMC → CFO → CA → P.D. → MD.</t>
  </si>
  <si>
    <t>Billing Workflow Redesign</t>
  </si>
  <si>
    <t>Firm, GM PIU, TL SQC, GM O&amp;M, All Hierarchy</t>
  </si>
  <si>
    <t>Two workflow paths defined. “Manage Bill” option used for GM PIU. “View Pending Bills” accessible before Pending stage. Ref: O&amp;M_Billing_Workflow diagrams and process flow PDF.</t>
  </si>
  <si>
    <t>In Progress</t>
  </si>
  <si>
    <t>Use Manage Page (not old flow). Refer O&amp;M Billing Workflow PDF + JPEG diagrams.</t>
  </si>
  <si>
    <t>OMB-MAY-2026-002</t>
  </si>
  <si>
    <t>22-May-2026</t>
  </si>
  <si>
    <t>O&amp;M Billing – Contractor Generate Bill: Abstract generation from Contractor login. Select Bill → Generate Abstract → With all villages, scheme (Dhara readings, Master Module tables and UFW Approved report and other documents with Abstract bill )</t>
  </si>
  <si>
    <t>Contractor Bill – Abstract</t>
  </si>
  <si>
    <t>Contractor Login – Bill Workflow</t>
  </si>
  <si>
    <t>Abstract screen added under Contractor login for RA billing. Links to selected bill and tags all villages. GM/SQC approval chain unaffected.</t>
  </si>
  <si>
    <t>Abstract linked to 8th Bill; Tag all villages flag needed.</t>
  </si>
  <si>
    <t>OMB-JUN-2026-003</t>
  </si>
  <si>
    <t>18-Jun-2026</t>
  </si>
  <si>
    <t>Sahbhagita  – Village-wise and Combined Activity abstract report; Category filter (Village/Combined/All); quarterly RA Bill numbering (RA/1–RA/12) reflected on abstract header.</t>
  </si>
  <si>
    <t>Sahbhagita</t>
  </si>
  <si>
    <t>Abstract Bill – Category Filter</t>
  </si>
  <si>
    <t>GM PIU / Contractor Login – Abstract Report</t>
  </si>
  <si>
    <t>Reuses Sahbhagita Category(V/C/A) filter logic for the O&amp;M Abstract report; RA numbering aligned to the RA(1)-RA(12) cycle used in Sahbhagita.</t>
  </si>
  <si>
    <t>New CR – aligns O&amp;M Abstract Bill with Sahbhagita Village/Combined activity structure.</t>
  </si>
  <si>
    <t>OMB-MAY-2026-005</t>
  </si>
  <si>
    <t>O&amp;M Billing – Bill PDF consolidation: approx. 19–20 documents merged into one PDF (GM, SQC, Firm, Form 27A, MB, Abstract). 3-month combined PDF for static docs; monthly for variable docs.</t>
  </si>
  <si>
    <t>Bill PDF Merge – All Documents</t>
  </si>
  <si>
    <t>All Logins – Bill Generation</t>
  </si>
  <si>
    <t>Merged PDF includes: 1.GM letter, 2.SQC letter, 3.Firm docs, 4.Form 27A, 5.MB, 6.Abstract. Static docs = 1 copy for 3 months; variable = per month. Total ~19–20 docs.</t>
  </si>
  <si>
    <t>Approved</t>
  </si>
  <si>
    <t>Landscape issue in O&amp;M Bill PDF also fixed in this CR.</t>
  </si>
  <si>
    <t>OMB-MAY-2026-008</t>
  </si>
  <si>
    <t>03-Jun-2026</t>
  </si>
  <si>
    <t>O&amp;M Billing – Contractor mistakes visible to SQC/TL and GM. Show all records on all IDs for GM and SQC. Merge PDF of all O&amp;M documents.</t>
  </si>
  <si>
    <t>Contractor Mistake Visibility &amp; PDF Merge</t>
  </si>
  <si>
    <t>GM, SQC, TL Logins</t>
  </si>
  <si>
    <t>Contractor error entries visible across SQC/TL and GM logins. All records shown on all IDs. O&amp;M merged PDF available per bill.</t>
  </si>
  <si>
    <t>Related to Bill PDF CR (OMB-MAY-2026-005). SQC 7L/4–GM mapping check needed.</t>
  </si>
  <si>
    <t>OMB-MAY-2026-015</t>
  </si>
  <si>
    <t>09-Jun-2026</t>
  </si>
  <si>
    <t>O&amp;M Billing – Document Upload Screen: Firm: Firm Submission Letter, Tax Invoice, Any Other (Multiple). TL/SQC: SQC Recommendation Letter, Third Party Water Quality Test Report (Multiple + Remark). GM PIU: PIU Recommendation Letter, Signed Form 27A, Signed Scanned MB, Signed Abstract, Signed Monthly Bill Sheet (Multiple), Any Other Docs (Multiple + Remark).</t>
  </si>
  <si>
    <t>Document Upload Screen Design</t>
  </si>
  <si>
    <t>Firm, TL/SQC, GM PIU Logins</t>
  </si>
  <si>
    <t>Upload UI: Download + View PDF buttons per doc type. Multiple upload for Water Quality Test Report, Monthly Bill Sheet, Any Other Docs. Remark field for selected doc types.</t>
  </si>
  <si>
    <t>Ref: Handwritten wireframe (Contractor/Firm, TL SQC, GM PIU sections). Upload + Download + View PDF per doc.</t>
  </si>
  <si>
    <t>OMB-MAY-2026-003</t>
  </si>
  <si>
    <t>O&amp;M Billing – GST No. Integration with O&amp;M Billing Jal Rekha portal. GST number to be captured and linked at firm/contractor level.</t>
  </si>
  <si>
    <t>GST Integration</t>
  </si>
  <si>
    <t>Contractor / GM PIU Login</t>
  </si>
  <si>
    <t>GST No. field added at contractor master level. Appears on bill PDF and abstract. Rakesh Sir to validate GST API/manual entry approach.</t>
  </si>
  <si>
    <t>GST No. (150/215) – Rakesh Sir to confirm data source.</t>
  </si>
  <si>
    <t>OMB-MAY-2026-001</t>
  </si>
  <si>
    <t>O&amp;M Billing – E-Sign Integration via CDAC for all parties (Firm/FE-eSign, Web &amp; Mobile). CDAC integration for e-sign on Bill, Submission Letter, and Tax Invoice. FE (e-sign) → Web &amp; Mobile flow.</t>
  </si>
  <si>
    <t>E-Sign – CDAC Integration</t>
  </si>
  <si>
    <t>Web &amp; Mobile – Bill Workflow</t>
  </si>
  <si>
    <t>CDAC API integration required. Affects Firm, FE, TL, GM PIU login flows. Bill PDF and submission letter to carry e-sign. System-generated bill – physical sign NOT required.</t>
  </si>
  <si>
    <t>CDAC Rakesh Sir to coordinate. FE (e-sign) ↔ Web/Mobile dual flow.</t>
  </si>
  <si>
    <t>OMB-MAY-2026-004</t>
  </si>
  <si>
    <t>O&amp;M Billing – TL Recommendation Letter to be E-Office generated (system-generated). TL (PMC) → E-Office → Account Office Jal Rekha.</t>
  </si>
  <si>
    <t>TL Recommendation Letter – E-Office</t>
  </si>
  <si>
    <t>TL (PMC) &amp; Account Office Login</t>
  </si>
  <si>
    <t>TL recommendation letter generated from E-Office system, not manual upload. Integration with Account Office Jal Rekha to be established.</t>
  </si>
  <si>
    <t>TL SQC integration also required. E-Office API/link to be confirmed.</t>
  </si>
  <si>
    <t>OMB-MAY-2026-014</t>
  </si>
  <si>
    <t>08-Jun-2026</t>
  </si>
  <si>
    <t>O&amp;M Billing (Aaklan) – GM (PIU Login) &amp; GM (O&amp;M) / Deputy O&amp;M: View Pending Bills and Manage Bills. Bills already generated shown in table.</t>
  </si>
  <si>
    <t>O&amp;M Billing (Aaklan)</t>
  </si>
  <si>
    <t>Pending Bills View – GM Logins</t>
  </si>
  <si>
    <t>GM PIU &amp; GM O&amp;M Login</t>
  </si>
  <si>
    <t>GM PIU: View Pending Bills, Manage Bill under O&amp;M. GM O&amp;M: View Pending Bills + Manage Bill. Already generated bills shown in table. Ref: 18-Jun handwritten flow.</t>
  </si>
  <si>
    <t>Aaklan module O&amp;M section. GM PIU &amp; GM O&amp;M/Deputy flows defined.</t>
  </si>
  <si>
    <t>SHB-JUN-2026-004</t>
  </si>
  <si>
    <t>Sahbhagita – Report: Category → Activity. Village Wise (32/27 activities) &amp; Combined (22). Filter: V, C, A. Category V/C/A cross-filter. Ref: Sahbhagita_master_activity_matched.xlsx.</t>
  </si>
  <si>
    <t>Activity Report – Village/Combined Category Filter</t>
  </si>
  <si>
    <t>Sahbhagita Report Module</t>
  </si>
  <si>
    <t>Report shows Village Wise (32 listed, 27 unique) and Combined (22). Category filter: V=Village, C=Combined, A=All. Sub-activity linked. Ref: Sahbhagita master activity doc.</t>
  </si>
  <si>
    <t>Village 32/27 activities; Combined 22; V/C/A cross-filter. Ref master activity matched xlsx.</t>
  </si>
  <si>
    <t>SHB-MAY-2026-007</t>
  </si>
  <si>
    <t>Sahbhagita – Multi-select dropdown for bill selection. RA(1) to RA(12) bill range with Withhold Bills option.</t>
  </si>
  <si>
    <t>Multi-Select Bill Dropdown</t>
  </si>
  <si>
    <t>Sahbhagita Login – Bill Management</t>
  </si>
  <si>
    <t>Sahbhagita module: multi-select in bill dropdown. RA Bill range RA(1)–RA(12). Withhold Bills toggle added.</t>
  </si>
  <si>
    <t>Generate Abstract → Select Bill → Tag all villages. Village-wise &amp; Combined Activities in scope.</t>
  </si>
  <si>
    <t>SHB-MAY-2026-013</t>
  </si>
  <si>
    <t>04-Jun-2026</t>
  </si>
  <si>
    <t xml:space="preserve">Sahbhagita – Hyperlink: Village Name → Village Activity Document Preview popup. Two hyperlinks: (1) Village Name, (2) Village Activity Document (Reviewed) &amp; Other Column names </t>
  </si>
  <si>
    <t>Hyperlink – Village Activity Document Preview</t>
  </si>
  <si>
    <t>Sahbhagita Report View</t>
  </si>
  <si>
    <t>Village Name clickable hyperlink. On click: popup showing Village Activity Document with preview. Two separate hyperlink areas.</t>
  </si>
  <si>
    <t>Popup with village activity doc preview.</t>
  </si>
  <si>
    <t>SHB-MAY-2026-012</t>
  </si>
  <si>
    <t>Sahbhagita – Future Scope: Photo Scan → Face/Background AI Model (CP Manager). Video option. Duplicate/Repeated photo detection → flag message to CP Manager.</t>
  </si>
  <si>
    <t>AI Photo Verification – CP Manager</t>
  </si>
  <si>
    <t>CP Manager Login</t>
  </si>
  <si>
    <t>Photo/video capture at CP Manager login. AI model (face + background). Duplicate/repeated → show flag: “Already Used Before”. Future scope item.</t>
  </si>
  <si>
    <t>Future scope. AI model (Photo Scan face + background). Video in scope.</t>
  </si>
  <si>
    <t>CUBE-JUN-2026-005</t>
  </si>
  <si>
    <t>Cube Testing – Cube ID get generated before image upload; Show rejected data to Contractor.</t>
  </si>
  <si>
    <t>Cube Testing</t>
  </si>
  <si>
    <t>Cube ID Generation &amp; Rejected-Data Visibility</t>
  </si>
  <si>
    <t>Contractor Login – Cube Inspection</t>
  </si>
  <si>
    <t>Cube ID no longer depends on a successful image upload. Rejected inspection records surfaced back to Contractor login for correction and resubmission.</t>
  </si>
  <si>
    <t>Completed</t>
  </si>
  <si>
    <t>Delivered per MoM 16-Jun-2026, Point 2.</t>
  </si>
  <si>
    <t>CUBEMAT-JUN-2026-007</t>
  </si>
  <si>
    <t>Material testing &amp; Cube testing - cycle loop runs 2nd time after rejction from GM. FE to GM to contractor back to GM again to SQC TPIA then to FE again (if new FE added)</t>
  </si>
  <si>
    <t>Material testing and cube testing</t>
  </si>
  <si>
    <t>Re-Inspection Loop (2nd Cycle – After GM Rejection)</t>
  </si>
  <si>
    <t>Contractor, FE, GM, SQC, TPIA Logins – Cube &amp; Material Testing</t>
  </si>
  <si>
    <t>Second cycle loop triggered after GM rejects result: FE → GM → Contractor → GM → SQC/TPIA → FE (if new FE added). Loop re-runs with same RFI structure but new inspection data. Applies to both Cube Testing and Material Testing modules.</t>
  </si>
  <si>
    <t>2nd loop post-rejection: FE → GM → Contractor → GM → SQC → TPIA → FE (new). Complex state machine; must retain original submission data alongside new loop data.</t>
  </si>
  <si>
    <t>CUBEMAT-JUN-2026-008</t>
  </si>
  <si>
    <t>Material testing &amp; Cube testing - cycle loop run  - Image optional in RFI 2nd time loop (in Cube and Material testing)</t>
  </si>
  <si>
    <t>RFI 2nd Loop – Image Upload Optional</t>
  </si>
  <si>
    <t>Contractor &amp; FE Logins – RFI Second Cycle</t>
  </si>
  <si>
    <t>During RFI second-time cycle loop (re-inspection), image/photo upload marked as optional (not mandatory) for both Cube Testing and Material Testing. Mandatory on first cycle; optional on subsequent loops. DB flag added per loop iteration.</t>
  </si>
  <si>
    <t>Image optional flag must not apply to 1st cycle. CR depends on CUBEMAT-JUN-2026-007 (loop CR) being implemented first.</t>
  </si>
  <si>
    <t>MSTR-JUN-2026-006</t>
  </si>
  <si>
    <t>Master – Lock Scheme Master, Village Master and OHT Master entries once linked to live transactions (Dhara, O&amp;M Billing, Asset Mapping); GM (PIU) side all details lock.</t>
  </si>
  <si>
    <t>Master</t>
  </si>
  <si>
    <t>Scheme / Village / OHT Master – Entry Lock</t>
  </si>
  <si>
    <t>GM PIU Login – Master Data</t>
  </si>
  <si>
    <t>Record becomes read-only once tagged/used in a Dhara report, O&amp;M Billing entry or Asset Mapping (BISAC) record. Further correction routed through a controlled change/relaxation flow rather than direct edit.</t>
  </si>
  <si>
    <t>Extends the Dhara approved-report lock principle (CR OMB/DHARA-MAY-2026-009) to the Master data layer.</t>
  </si>
  <si>
    <t>DHARA-MAY-2026-009</t>
  </si>
  <si>
    <t>Dhara– Approved report data entry should NOT change once approved. UI lock for GM PIU. GM PIU/TL can ADD (not edit). GM can add new penalty point on Contractor bill.</t>
  </si>
  <si>
    <t>Dhara</t>
  </si>
  <si>
    <t>Approved Report Lock – Entry Freeze</t>
  </si>
  <si>
    <t>GM PIU Login – Report Approval</t>
  </si>
  <si>
    <t>Once GM PIU approves Dhara report, entry locked across all logins. GM PIU/TL can add info but cannot edit Contractor data. Penalty by GM is addable on top.</t>
  </si>
  <si>
    <t>GM can add new point (Penalty applied). Cannot edit existing Contractor-generated bill data.</t>
  </si>
  <si>
    <t>DHARA-MAY-2026-021</t>
  </si>
  <si>
    <t>O&amp;M Billing  – Mandatory options &amp;  go-live on 19th June across all logins: (1) Remark, (2) Photo Upload, (3) Forward, (4) Backward Options.</t>
  </si>
  <si>
    <t>Non-Mandatory Options – Go Live 19-Jun</t>
  </si>
  <si>
    <t>All Logins – Dhara Module</t>
  </si>
  <si>
    <t>mandatory options (Remark, Photo Upload, Forward, Backward) enabled on 19-Jun across all logins. These actions do NOT block submission if not filled.</t>
  </si>
  <si>
    <t>19-Jun-2026</t>
  </si>
  <si>
    <t>Go-live 19-Jun-2026 confirmed. Non-mandatory: Remark, Photo Upload, Forward, Backward.</t>
  </si>
  <si>
    <t>CR Module Summary – June–July 2026  |  Jal Rekha Project</t>
  </si>
  <si>
    <t>No. of CRs</t>
  </si>
  <si>
    <t>Total Effort (Hrs)</t>
  </si>
  <si>
    <t>Material &amp; Cube Testing (Loop)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</si>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</sst>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375623"/>
      <name val="Arial"/>
      <charset val="1"/>
    </font>
    <font>
      <b/>
      <sz val="10"/>
      <color rgb="FF7D6608"/>
      <name val="Arial"/>
      <charset val="1"/>
    </font>
    <font>
      <b/>
      <sz val="10"/>
      <color rgb="FF9C0006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C6EFCE"/>
        <bgColor rgb="FFDEEAF1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BF3FB"/>
      </patternFill>
    </fill>
    <fill>
      <patternFill patternType="solid">
        <fgColor rgb="FFEBF3FB"/>
        <bgColor rgb="FFDEEAF1"/>
      </patternFill>
    </fill>
    <fill>
      <patternFill patternType="solid">
        <fgColor rgb="FF1F4E79"/>
        <bgColor rgb="FF1F3864"/>
      </patternFill>
    </fill>
    <fill>
      <patternFill patternType="solid">
        <fgColor rgb="FFDEEAF1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7" borderId="0" xfId="0" applyFont="1" applyFill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BFBFBF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zoomScaleNormal="100" workbookViewId="0">
      <pane ySplit="4" topLeftCell="A5" activePane="bottomLeft" state="frozen"/>
      <selection pane="bottomLeft" activeCell="F25" sqref="F25"/>
    </sheetView>
  </sheetViews>
  <sheetFormatPr defaultColWidth="8.6640625" defaultRowHeight="14.4" x14ac:dyDescent="0.3"/>
  <cols>
    <col min="1" max="1" width="7" customWidth="1"/>
    <col min="2" max="2" width="22" customWidth="1"/>
    <col min="3" max="4" width="18" customWidth="1"/>
    <col min="5" max="5" width="14" customWidth="1"/>
    <col min="6" max="6" width="55" customWidth="1"/>
    <col min="7" max="7" width="18" customWidth="1"/>
    <col min="8" max="9" width="28" customWidth="1"/>
    <col min="10" max="10" width="48" customWidth="1"/>
    <col min="11" max="12" width="13" customWidth="1"/>
    <col min="13" max="13" width="14" customWidth="1"/>
    <col min="14" max="15" width="10" customWidth="1"/>
    <col min="16" max="16" width="40" customWidth="1"/>
  </cols>
  <sheetData>
    <row r="1" spans="1:16" ht="27.75" customHeight="1" x14ac:dyDescent="0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9.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ht="67.5" customHeight="1" x14ac:dyDescent="0.3">
      <c r="A5" s="5">
        <v>1</v>
      </c>
      <c r="B5" s="6" t="s">
        <v>18</v>
      </c>
      <c r="C5" s="6" t="s">
        <v>19</v>
      </c>
      <c r="D5" s="6" t="s">
        <v>20</v>
      </c>
      <c r="E5" s="5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7" t="s">
        <v>27</v>
      </c>
      <c r="L5" s="8" t="s">
        <v>28</v>
      </c>
      <c r="M5" s="9" t="s">
        <v>29</v>
      </c>
      <c r="N5" s="10" t="s">
        <v>30</v>
      </c>
      <c r="O5" s="9" t="s">
        <v>31</v>
      </c>
      <c r="P5" s="6" t="s">
        <v>32</v>
      </c>
    </row>
    <row r="6" spans="1:16" ht="67.5" customHeight="1" x14ac:dyDescent="0.3">
      <c r="A6" s="5">
        <v>2</v>
      </c>
      <c r="B6" s="6" t="s">
        <v>33</v>
      </c>
      <c r="C6" s="6" t="s">
        <v>34</v>
      </c>
      <c r="D6" s="6" t="s">
        <v>20</v>
      </c>
      <c r="E6" s="5" t="s">
        <v>35</v>
      </c>
      <c r="F6" s="6" t="s">
        <v>36</v>
      </c>
      <c r="G6" s="6" t="s">
        <v>23</v>
      </c>
      <c r="H6" s="6" t="s">
        <v>37</v>
      </c>
      <c r="I6" s="6" t="s">
        <v>38</v>
      </c>
      <c r="J6" s="6" t="s">
        <v>39</v>
      </c>
      <c r="K6" s="7" t="s">
        <v>27</v>
      </c>
      <c r="L6" s="8" t="s">
        <v>40</v>
      </c>
      <c r="M6" s="9" t="s">
        <v>29</v>
      </c>
      <c r="N6" s="9" t="s">
        <v>31</v>
      </c>
      <c r="O6" s="11" t="s">
        <v>41</v>
      </c>
      <c r="P6" s="6" t="s">
        <v>42</v>
      </c>
    </row>
    <row r="7" spans="1:16" ht="67.5" customHeight="1" x14ac:dyDescent="0.3">
      <c r="A7" s="5">
        <v>3</v>
      </c>
      <c r="B7" s="6" t="s">
        <v>43</v>
      </c>
      <c r="C7" s="6" t="s">
        <v>34</v>
      </c>
      <c r="D7" s="6" t="s">
        <v>20</v>
      </c>
      <c r="E7" s="5" t="s">
        <v>44</v>
      </c>
      <c r="F7" s="6" t="s">
        <v>45</v>
      </c>
      <c r="G7" s="6" t="s">
        <v>23</v>
      </c>
      <c r="H7" s="6" t="s">
        <v>46</v>
      </c>
      <c r="I7" s="6" t="s">
        <v>38</v>
      </c>
      <c r="J7" s="6" t="s">
        <v>47</v>
      </c>
      <c r="K7" s="7" t="s">
        <v>27</v>
      </c>
      <c r="L7" s="8" t="s">
        <v>40</v>
      </c>
      <c r="M7" s="9" t="s">
        <v>29</v>
      </c>
      <c r="N7" s="9" t="s">
        <v>31</v>
      </c>
      <c r="O7" s="11" t="s">
        <v>41</v>
      </c>
      <c r="P7" s="6" t="s">
        <v>48</v>
      </c>
    </row>
    <row r="8" spans="1:16" ht="67.5" customHeight="1" x14ac:dyDescent="0.3">
      <c r="A8" s="12">
        <v>4</v>
      </c>
      <c r="B8" s="13" t="s">
        <v>49</v>
      </c>
      <c r="C8" s="14" t="s">
        <v>34</v>
      </c>
      <c r="D8" s="14" t="s">
        <v>20</v>
      </c>
      <c r="E8" s="8" t="s">
        <v>44</v>
      </c>
      <c r="F8" s="6" t="s">
        <v>50</v>
      </c>
      <c r="G8" s="14" t="s">
        <v>23</v>
      </c>
      <c r="H8" s="14" t="s">
        <v>51</v>
      </c>
      <c r="I8" s="14" t="s">
        <v>52</v>
      </c>
      <c r="J8" s="14" t="s">
        <v>53</v>
      </c>
      <c r="K8" s="10" t="s">
        <v>54</v>
      </c>
      <c r="L8" s="8"/>
      <c r="M8" s="9" t="s">
        <v>29</v>
      </c>
      <c r="N8" s="9" t="s">
        <v>31</v>
      </c>
      <c r="O8" s="11" t="s">
        <v>41</v>
      </c>
      <c r="P8" s="14" t="s">
        <v>55</v>
      </c>
    </row>
    <row r="9" spans="1:16" ht="67.5" customHeight="1" x14ac:dyDescent="0.3">
      <c r="A9" s="5">
        <v>4</v>
      </c>
      <c r="B9" s="6" t="s">
        <v>56</v>
      </c>
      <c r="C9" s="6" t="s">
        <v>34</v>
      </c>
      <c r="D9" s="6" t="s">
        <v>20</v>
      </c>
      <c r="E9" s="5" t="s">
        <v>21</v>
      </c>
      <c r="F9" s="6" t="s">
        <v>57</v>
      </c>
      <c r="G9" s="6" t="s">
        <v>23</v>
      </c>
      <c r="H9" s="6" t="s">
        <v>58</v>
      </c>
      <c r="I9" s="6" t="s">
        <v>59</v>
      </c>
      <c r="J9" s="6" t="s">
        <v>60</v>
      </c>
      <c r="K9" s="9" t="s">
        <v>61</v>
      </c>
      <c r="L9" s="8"/>
      <c r="M9" s="9" t="s">
        <v>29</v>
      </c>
      <c r="N9" s="10" t="s">
        <v>30</v>
      </c>
      <c r="O9" s="10" t="s">
        <v>30</v>
      </c>
      <c r="P9" s="6" t="s">
        <v>62</v>
      </c>
    </row>
    <row r="10" spans="1:16" ht="67.5" customHeight="1" x14ac:dyDescent="0.3">
      <c r="A10" s="5">
        <v>5</v>
      </c>
      <c r="B10" s="6" t="s">
        <v>63</v>
      </c>
      <c r="C10" s="6" t="s">
        <v>19</v>
      </c>
      <c r="D10" s="6" t="s">
        <v>20</v>
      </c>
      <c r="E10" s="5" t="s">
        <v>64</v>
      </c>
      <c r="F10" s="6" t="s">
        <v>65</v>
      </c>
      <c r="G10" s="6" t="s">
        <v>23</v>
      </c>
      <c r="H10" s="6" t="s">
        <v>66</v>
      </c>
      <c r="I10" s="6" t="s">
        <v>67</v>
      </c>
      <c r="J10" s="6" t="s">
        <v>68</v>
      </c>
      <c r="K10" s="9" t="s">
        <v>61</v>
      </c>
      <c r="L10" s="8"/>
      <c r="M10" s="9" t="s">
        <v>29</v>
      </c>
      <c r="N10" s="10" t="s">
        <v>30</v>
      </c>
      <c r="O10" s="9" t="s">
        <v>31</v>
      </c>
      <c r="P10" s="6" t="s">
        <v>69</v>
      </c>
    </row>
    <row r="11" spans="1:16" ht="67.5" customHeight="1" x14ac:dyDescent="0.3">
      <c r="A11" s="5">
        <v>6</v>
      </c>
      <c r="B11" s="6" t="s">
        <v>70</v>
      </c>
      <c r="C11" s="6" t="s">
        <v>34</v>
      </c>
      <c r="D11" s="6" t="s">
        <v>20</v>
      </c>
      <c r="E11" s="5" t="s">
        <v>71</v>
      </c>
      <c r="F11" s="6" t="s">
        <v>72</v>
      </c>
      <c r="G11" s="6" t="s">
        <v>73</v>
      </c>
      <c r="H11" s="6" t="s">
        <v>74</v>
      </c>
      <c r="I11" s="6" t="s">
        <v>75</v>
      </c>
      <c r="J11" s="6" t="s">
        <v>76</v>
      </c>
      <c r="K11" s="10" t="s">
        <v>54</v>
      </c>
      <c r="L11" s="8"/>
      <c r="M11" s="9" t="s">
        <v>29</v>
      </c>
      <c r="N11" s="10" t="s">
        <v>30</v>
      </c>
      <c r="O11" s="9" t="s">
        <v>31</v>
      </c>
      <c r="P11" s="6" t="s">
        <v>77</v>
      </c>
    </row>
    <row r="12" spans="1:16" ht="67.5" customHeight="1" x14ac:dyDescent="0.3">
      <c r="A12" s="5">
        <v>7</v>
      </c>
      <c r="B12" s="6" t="s">
        <v>78</v>
      </c>
      <c r="C12" s="6" t="s">
        <v>34</v>
      </c>
      <c r="D12" s="6" t="s">
        <v>20</v>
      </c>
      <c r="E12" s="5" t="s">
        <v>64</v>
      </c>
      <c r="F12" s="6" t="s">
        <v>79</v>
      </c>
      <c r="G12" s="6" t="s">
        <v>23</v>
      </c>
      <c r="H12" s="6" t="s">
        <v>80</v>
      </c>
      <c r="I12" s="6" t="s">
        <v>81</v>
      </c>
      <c r="J12" s="6" t="s">
        <v>82</v>
      </c>
      <c r="K12" s="9" t="s">
        <v>61</v>
      </c>
      <c r="L12" s="8"/>
      <c r="M12" s="7" t="s">
        <v>83</v>
      </c>
      <c r="N12" s="10" t="s">
        <v>30</v>
      </c>
      <c r="O12" s="9" t="s">
        <v>31</v>
      </c>
      <c r="P12" s="6" t="s">
        <v>84</v>
      </c>
    </row>
    <row r="13" spans="1:16" ht="67.5" customHeight="1" x14ac:dyDescent="0.3">
      <c r="A13" s="5">
        <v>8</v>
      </c>
      <c r="B13" s="6" t="s">
        <v>85</v>
      </c>
      <c r="C13" s="6" t="s">
        <v>34</v>
      </c>
      <c r="D13" s="6" t="s">
        <v>20</v>
      </c>
      <c r="E13" s="5" t="s">
        <v>86</v>
      </c>
      <c r="F13" s="6" t="s">
        <v>87</v>
      </c>
      <c r="G13" s="6" t="s">
        <v>23</v>
      </c>
      <c r="H13" s="6" t="s">
        <v>88</v>
      </c>
      <c r="I13" s="6" t="s">
        <v>89</v>
      </c>
      <c r="J13" s="6" t="s">
        <v>90</v>
      </c>
      <c r="K13" s="10" t="s">
        <v>54</v>
      </c>
      <c r="L13" s="8"/>
      <c r="M13" s="9" t="s">
        <v>29</v>
      </c>
      <c r="N13" s="9" t="s">
        <v>31</v>
      </c>
      <c r="O13" s="9" t="s">
        <v>31</v>
      </c>
      <c r="P13" s="6" t="s">
        <v>91</v>
      </c>
    </row>
    <row r="14" spans="1:16" ht="67.5" customHeight="1" x14ac:dyDescent="0.3">
      <c r="A14" s="5">
        <v>9</v>
      </c>
      <c r="B14" s="6" t="s">
        <v>92</v>
      </c>
      <c r="C14" s="6" t="s">
        <v>34</v>
      </c>
      <c r="D14" s="6" t="s">
        <v>20</v>
      </c>
      <c r="E14" s="5" t="s">
        <v>93</v>
      </c>
      <c r="F14" s="6" t="s">
        <v>94</v>
      </c>
      <c r="G14" s="6" t="s">
        <v>23</v>
      </c>
      <c r="H14" s="6" t="s">
        <v>95</v>
      </c>
      <c r="I14" s="6" t="s">
        <v>96</v>
      </c>
      <c r="J14" s="6" t="s">
        <v>97</v>
      </c>
      <c r="K14" s="9" t="s">
        <v>61</v>
      </c>
      <c r="L14" s="8"/>
      <c r="M14" s="7" t="s">
        <v>83</v>
      </c>
      <c r="N14" s="10" t="s">
        <v>30</v>
      </c>
      <c r="O14" s="9" t="s">
        <v>31</v>
      </c>
      <c r="P14" s="6" t="s">
        <v>98</v>
      </c>
    </row>
    <row r="15" spans="1:16" ht="67.5" customHeight="1" x14ac:dyDescent="0.3">
      <c r="A15" s="5">
        <v>10</v>
      </c>
      <c r="B15" s="6" t="s">
        <v>99</v>
      </c>
      <c r="C15" s="6" t="s">
        <v>19</v>
      </c>
      <c r="D15" s="6" t="s">
        <v>20</v>
      </c>
      <c r="E15" s="5" t="s">
        <v>64</v>
      </c>
      <c r="F15" s="6" t="s">
        <v>100</v>
      </c>
      <c r="G15" s="6" t="s">
        <v>23</v>
      </c>
      <c r="H15" s="6" t="s">
        <v>101</v>
      </c>
      <c r="I15" s="6" t="s">
        <v>102</v>
      </c>
      <c r="J15" s="6" t="s">
        <v>103</v>
      </c>
      <c r="K15" s="10" t="s">
        <v>54</v>
      </c>
      <c r="L15" s="8"/>
      <c r="M15" s="9" t="s">
        <v>29</v>
      </c>
      <c r="N15" s="9" t="s">
        <v>31</v>
      </c>
      <c r="O15" s="11" t="s">
        <v>41</v>
      </c>
      <c r="P15" s="6" t="s">
        <v>104</v>
      </c>
    </row>
    <row r="16" spans="1:16" ht="67.5" customHeight="1" x14ac:dyDescent="0.3">
      <c r="A16" s="5">
        <v>11</v>
      </c>
      <c r="B16" s="6" t="s">
        <v>105</v>
      </c>
      <c r="C16" s="6" t="s">
        <v>19</v>
      </c>
      <c r="D16" s="6" t="s">
        <v>20</v>
      </c>
      <c r="E16" s="5" t="s">
        <v>64</v>
      </c>
      <c r="F16" s="6" t="s">
        <v>106</v>
      </c>
      <c r="G16" s="6" t="s">
        <v>23</v>
      </c>
      <c r="H16" s="6" t="s">
        <v>107</v>
      </c>
      <c r="I16" s="6" t="s">
        <v>108</v>
      </c>
      <c r="J16" s="6" t="s">
        <v>109</v>
      </c>
      <c r="K16" s="10" t="s">
        <v>54</v>
      </c>
      <c r="L16" s="8"/>
      <c r="M16" s="9" t="s">
        <v>29</v>
      </c>
      <c r="N16" s="10" t="s">
        <v>30</v>
      </c>
      <c r="O16" s="10" t="s">
        <v>30</v>
      </c>
      <c r="P16" s="6" t="s">
        <v>110</v>
      </c>
    </row>
    <row r="17" spans="1:16" ht="67.5" customHeight="1" x14ac:dyDescent="0.3">
      <c r="A17" s="5">
        <v>12</v>
      </c>
      <c r="B17" s="6" t="s">
        <v>111</v>
      </c>
      <c r="C17" s="6" t="s">
        <v>34</v>
      </c>
      <c r="D17" s="6" t="s">
        <v>20</v>
      </c>
      <c r="E17" s="5" t="s">
        <v>64</v>
      </c>
      <c r="F17" s="6" t="s">
        <v>112</v>
      </c>
      <c r="G17" s="6" t="s">
        <v>23</v>
      </c>
      <c r="H17" s="6" t="s">
        <v>113</v>
      </c>
      <c r="I17" s="6" t="s">
        <v>114</v>
      </c>
      <c r="J17" s="6" t="s">
        <v>115</v>
      </c>
      <c r="K17" s="10" t="s">
        <v>54</v>
      </c>
      <c r="L17" s="8"/>
      <c r="M17" s="9" t="s">
        <v>29</v>
      </c>
      <c r="N17" s="10" t="s">
        <v>30</v>
      </c>
      <c r="O17" s="10" t="s">
        <v>30</v>
      </c>
      <c r="P17" s="6" t="s">
        <v>116</v>
      </c>
    </row>
    <row r="18" spans="1:16" ht="67.5" customHeight="1" x14ac:dyDescent="0.3">
      <c r="A18" s="5">
        <v>13</v>
      </c>
      <c r="B18" s="6" t="s">
        <v>117</v>
      </c>
      <c r="C18" s="6" t="s">
        <v>34</v>
      </c>
      <c r="D18" s="6" t="s">
        <v>20</v>
      </c>
      <c r="E18" s="5" t="s">
        <v>118</v>
      </c>
      <c r="F18" s="6" t="s">
        <v>119</v>
      </c>
      <c r="G18" s="6" t="s">
        <v>120</v>
      </c>
      <c r="H18" s="6" t="s">
        <v>121</v>
      </c>
      <c r="I18" s="6" t="s">
        <v>122</v>
      </c>
      <c r="J18" s="6" t="s">
        <v>123</v>
      </c>
      <c r="K18" s="9" t="s">
        <v>61</v>
      </c>
      <c r="L18" s="8"/>
      <c r="M18" s="7" t="s">
        <v>83</v>
      </c>
      <c r="N18" s="10" t="s">
        <v>30</v>
      </c>
      <c r="O18" s="9" t="s">
        <v>31</v>
      </c>
      <c r="P18" s="6" t="s">
        <v>124</v>
      </c>
    </row>
    <row r="19" spans="1:16" ht="67.5" customHeight="1" x14ac:dyDescent="0.3">
      <c r="A19" s="5">
        <v>14</v>
      </c>
      <c r="B19" s="6" t="s">
        <v>125</v>
      </c>
      <c r="C19" s="6" t="s">
        <v>34</v>
      </c>
      <c r="D19" s="6" t="s">
        <v>20</v>
      </c>
      <c r="E19" s="5" t="s">
        <v>71</v>
      </c>
      <c r="F19" s="6" t="s">
        <v>126</v>
      </c>
      <c r="G19" s="6" t="s">
        <v>73</v>
      </c>
      <c r="H19" s="6" t="s">
        <v>127</v>
      </c>
      <c r="I19" s="6" t="s">
        <v>128</v>
      </c>
      <c r="J19" s="6" t="s">
        <v>129</v>
      </c>
      <c r="K19" s="9" t="s">
        <v>61</v>
      </c>
      <c r="L19" s="8"/>
      <c r="M19" s="7" t="s">
        <v>83</v>
      </c>
      <c r="N19" s="10" t="s">
        <v>30</v>
      </c>
      <c r="O19" s="9" t="s">
        <v>31</v>
      </c>
      <c r="P19" s="6" t="s">
        <v>130</v>
      </c>
    </row>
    <row r="20" spans="1:16" ht="67.5" customHeight="1" x14ac:dyDescent="0.3">
      <c r="A20" s="5">
        <v>15</v>
      </c>
      <c r="B20" s="6" t="s">
        <v>131</v>
      </c>
      <c r="C20" s="6" t="s">
        <v>34</v>
      </c>
      <c r="D20" s="6" t="s">
        <v>20</v>
      </c>
      <c r="E20" s="5" t="s">
        <v>21</v>
      </c>
      <c r="F20" s="6" t="s">
        <v>132</v>
      </c>
      <c r="G20" s="6" t="s">
        <v>73</v>
      </c>
      <c r="H20" s="6" t="s">
        <v>133</v>
      </c>
      <c r="I20" s="6" t="s">
        <v>134</v>
      </c>
      <c r="J20" s="6" t="s">
        <v>135</v>
      </c>
      <c r="K20" s="10" t="s">
        <v>54</v>
      </c>
      <c r="L20" s="8"/>
      <c r="M20" s="9" t="s">
        <v>29</v>
      </c>
      <c r="N20" s="9" t="s">
        <v>31</v>
      </c>
      <c r="O20" s="11" t="s">
        <v>41</v>
      </c>
      <c r="P20" s="6" t="s">
        <v>136</v>
      </c>
    </row>
    <row r="21" spans="1:16" ht="67.5" customHeight="1" x14ac:dyDescent="0.3">
      <c r="A21" s="5">
        <v>16</v>
      </c>
      <c r="B21" s="6" t="s">
        <v>137</v>
      </c>
      <c r="C21" s="6" t="s">
        <v>34</v>
      </c>
      <c r="D21" s="6" t="s">
        <v>20</v>
      </c>
      <c r="E21" s="5" t="s">
        <v>138</v>
      </c>
      <c r="F21" s="6" t="s">
        <v>139</v>
      </c>
      <c r="G21" s="6" t="s">
        <v>73</v>
      </c>
      <c r="H21" s="6" t="s">
        <v>140</v>
      </c>
      <c r="I21" s="6" t="s">
        <v>141</v>
      </c>
      <c r="J21" s="6" t="s">
        <v>142</v>
      </c>
      <c r="K21" s="9" t="s">
        <v>61</v>
      </c>
      <c r="L21" s="8"/>
      <c r="M21" s="7" t="s">
        <v>83</v>
      </c>
      <c r="N21" s="9" t="s">
        <v>31</v>
      </c>
      <c r="O21" s="11" t="s">
        <v>41</v>
      </c>
      <c r="P21" s="6" t="s">
        <v>143</v>
      </c>
    </row>
    <row r="22" spans="1:16" ht="67.5" customHeight="1" x14ac:dyDescent="0.3">
      <c r="A22" s="5">
        <v>17</v>
      </c>
      <c r="B22" s="6" t="s">
        <v>144</v>
      </c>
      <c r="C22" s="6" t="s">
        <v>34</v>
      </c>
      <c r="D22" s="6" t="s">
        <v>20</v>
      </c>
      <c r="E22" s="5" t="s">
        <v>138</v>
      </c>
      <c r="F22" s="6" t="s">
        <v>145</v>
      </c>
      <c r="G22" s="6" t="s">
        <v>73</v>
      </c>
      <c r="H22" s="6" t="s">
        <v>146</v>
      </c>
      <c r="I22" s="6" t="s">
        <v>147</v>
      </c>
      <c r="J22" s="6" t="s">
        <v>148</v>
      </c>
      <c r="K22" s="10" t="s">
        <v>54</v>
      </c>
      <c r="L22" s="8"/>
      <c r="M22" s="9" t="s">
        <v>29</v>
      </c>
      <c r="N22" s="11" t="s">
        <v>41</v>
      </c>
      <c r="O22" s="10" t="s">
        <v>30</v>
      </c>
      <c r="P22" s="6" t="s">
        <v>149</v>
      </c>
    </row>
    <row r="23" spans="1:16" ht="67.5" customHeight="1" x14ac:dyDescent="0.3">
      <c r="A23" s="5">
        <v>18</v>
      </c>
      <c r="B23" s="6" t="s">
        <v>150</v>
      </c>
      <c r="C23" s="6" t="s">
        <v>34</v>
      </c>
      <c r="D23" s="6" t="s">
        <v>20</v>
      </c>
      <c r="E23" s="5" t="s">
        <v>35</v>
      </c>
      <c r="F23" s="6" t="s">
        <v>151</v>
      </c>
      <c r="G23" s="6" t="s">
        <v>152</v>
      </c>
      <c r="H23" s="6" t="s">
        <v>153</v>
      </c>
      <c r="I23" s="6" t="s">
        <v>154</v>
      </c>
      <c r="J23" s="6" t="s">
        <v>155</v>
      </c>
      <c r="K23" s="7" t="s">
        <v>156</v>
      </c>
      <c r="L23" s="5" t="s">
        <v>35</v>
      </c>
      <c r="M23" s="7" t="s">
        <v>83</v>
      </c>
      <c r="N23" s="9" t="s">
        <v>31</v>
      </c>
      <c r="O23" s="11" t="s">
        <v>41</v>
      </c>
      <c r="P23" s="6" t="s">
        <v>157</v>
      </c>
    </row>
    <row r="24" spans="1:16" ht="67.5" customHeight="1" x14ac:dyDescent="0.3">
      <c r="A24" s="12">
        <v>19</v>
      </c>
      <c r="B24" s="13" t="s">
        <v>158</v>
      </c>
      <c r="C24" s="14" t="s">
        <v>34</v>
      </c>
      <c r="D24" s="14" t="s">
        <v>20</v>
      </c>
      <c r="E24" s="8" t="s">
        <v>44</v>
      </c>
      <c r="F24" s="6" t="s">
        <v>159</v>
      </c>
      <c r="G24" s="6" t="s">
        <v>160</v>
      </c>
      <c r="H24" s="14" t="s">
        <v>161</v>
      </c>
      <c r="I24" s="14" t="s">
        <v>162</v>
      </c>
      <c r="J24" s="14" t="s">
        <v>163</v>
      </c>
      <c r="K24" s="10" t="s">
        <v>54</v>
      </c>
      <c r="L24" s="8"/>
      <c r="M24" s="9" t="s">
        <v>29</v>
      </c>
      <c r="N24" s="10" t="s">
        <v>30</v>
      </c>
      <c r="O24" s="10" t="s">
        <v>30</v>
      </c>
      <c r="P24" s="14" t="s">
        <v>164</v>
      </c>
    </row>
    <row r="25" spans="1:16" ht="67.5" customHeight="1" x14ac:dyDescent="0.3">
      <c r="A25" s="12">
        <v>20</v>
      </c>
      <c r="B25" s="13" t="s">
        <v>165</v>
      </c>
      <c r="C25" s="14" t="s">
        <v>34</v>
      </c>
      <c r="D25" s="14" t="s">
        <v>20</v>
      </c>
      <c r="E25" s="8" t="s">
        <v>44</v>
      </c>
      <c r="F25" s="6" t="s">
        <v>166</v>
      </c>
      <c r="G25" s="6" t="s">
        <v>160</v>
      </c>
      <c r="H25" s="14" t="s">
        <v>167</v>
      </c>
      <c r="I25" s="14" t="s">
        <v>168</v>
      </c>
      <c r="J25" s="14" t="s">
        <v>169</v>
      </c>
      <c r="K25" s="10" t="s">
        <v>54</v>
      </c>
      <c r="L25" s="8"/>
      <c r="M25" s="9" t="s">
        <v>29</v>
      </c>
      <c r="N25" s="9" t="s">
        <v>31</v>
      </c>
      <c r="O25" s="11" t="s">
        <v>41</v>
      </c>
      <c r="P25" s="14" t="s">
        <v>170</v>
      </c>
    </row>
    <row r="26" spans="1:16" ht="67.5" customHeight="1" x14ac:dyDescent="0.3">
      <c r="A26" s="5">
        <v>19</v>
      </c>
      <c r="B26" s="6" t="s">
        <v>171</v>
      </c>
      <c r="C26" s="6" t="s">
        <v>34</v>
      </c>
      <c r="D26" s="6" t="s">
        <v>20</v>
      </c>
      <c r="E26" s="5" t="s">
        <v>71</v>
      </c>
      <c r="F26" s="6" t="s">
        <v>172</v>
      </c>
      <c r="G26" s="6" t="s">
        <v>173</v>
      </c>
      <c r="H26" s="6" t="s">
        <v>174</v>
      </c>
      <c r="I26" s="6" t="s">
        <v>175</v>
      </c>
      <c r="J26" s="6" t="s">
        <v>176</v>
      </c>
      <c r="K26" s="10" t="s">
        <v>54</v>
      </c>
      <c r="L26" s="8"/>
      <c r="M26" s="9" t="s">
        <v>29</v>
      </c>
      <c r="N26" s="10" t="s">
        <v>30</v>
      </c>
      <c r="O26" s="10" t="s">
        <v>30</v>
      </c>
      <c r="P26" s="6" t="s">
        <v>177</v>
      </c>
    </row>
    <row r="27" spans="1:16" ht="67.5" customHeight="1" x14ac:dyDescent="0.3">
      <c r="A27" s="5">
        <v>20</v>
      </c>
      <c r="B27" s="6" t="s">
        <v>178</v>
      </c>
      <c r="C27" s="6" t="s">
        <v>34</v>
      </c>
      <c r="D27" s="6" t="s">
        <v>20</v>
      </c>
      <c r="E27" s="5" t="s">
        <v>86</v>
      </c>
      <c r="F27" s="6" t="s">
        <v>179</v>
      </c>
      <c r="G27" s="6" t="s">
        <v>180</v>
      </c>
      <c r="H27" s="6" t="s">
        <v>181</v>
      </c>
      <c r="I27" s="6" t="s">
        <v>182</v>
      </c>
      <c r="J27" s="6" t="s">
        <v>183</v>
      </c>
      <c r="K27" s="9" t="s">
        <v>61</v>
      </c>
      <c r="L27" s="8"/>
      <c r="M27" s="7" t="s">
        <v>83</v>
      </c>
      <c r="N27" s="10" t="s">
        <v>30</v>
      </c>
      <c r="O27" s="10" t="s">
        <v>30</v>
      </c>
      <c r="P27" s="6" t="s">
        <v>184</v>
      </c>
    </row>
    <row r="28" spans="1:16" ht="67.5" customHeight="1" x14ac:dyDescent="0.3">
      <c r="A28" s="5">
        <v>21</v>
      </c>
      <c r="B28" s="6" t="s">
        <v>185</v>
      </c>
      <c r="C28" s="6" t="s">
        <v>34</v>
      </c>
      <c r="D28" s="6" t="s">
        <v>20</v>
      </c>
      <c r="E28" s="5" t="s">
        <v>21</v>
      </c>
      <c r="F28" s="6" t="s">
        <v>186</v>
      </c>
      <c r="G28" s="6" t="s">
        <v>180</v>
      </c>
      <c r="H28" s="6" t="s">
        <v>187</v>
      </c>
      <c r="I28" s="6" t="s">
        <v>188</v>
      </c>
      <c r="J28" s="6" t="s">
        <v>189</v>
      </c>
      <c r="K28" s="9" t="s">
        <v>61</v>
      </c>
      <c r="L28" s="5" t="s">
        <v>190</v>
      </c>
      <c r="M28" s="7" t="s">
        <v>83</v>
      </c>
      <c r="N28" s="10" t="s">
        <v>30</v>
      </c>
      <c r="O28" s="11" t="s">
        <v>41</v>
      </c>
      <c r="P28" s="6" t="s">
        <v>191</v>
      </c>
    </row>
  </sheetData>
  <autoFilter ref="A4:P4" xr:uid="{00000000-0009-0000-0000-000000000000}"/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/>
  </sheetViews>
  <sheetFormatPr defaultColWidth="8.6640625" defaultRowHeight="14.4" x14ac:dyDescent="0.3"/>
  <cols>
    <col min="1" max="1" width="32" customWidth="1"/>
    <col min="2" max="4" width="12" customWidth="1"/>
    <col min="5" max="5" width="8" customWidth="1"/>
    <col min="6" max="6" width="16" customWidth="1"/>
  </cols>
  <sheetData>
    <row r="1" spans="1:6" ht="27.75" customHeight="1" x14ac:dyDescent="0.3">
      <c r="A1" s="1" t="s">
        <v>192</v>
      </c>
      <c r="B1" s="1"/>
      <c r="C1" s="1"/>
      <c r="D1" s="1"/>
      <c r="E1" s="1"/>
      <c r="F1" s="1"/>
    </row>
    <row r="3" spans="1:6" ht="30" customHeight="1" x14ac:dyDescent="0.3">
      <c r="A3" s="15" t="s">
        <v>8</v>
      </c>
      <c r="B3" s="15" t="s">
        <v>193</v>
      </c>
      <c r="C3" s="15" t="s">
        <v>156</v>
      </c>
      <c r="D3" s="15" t="s">
        <v>61</v>
      </c>
      <c r="E3" s="15" t="s">
        <v>54</v>
      </c>
      <c r="F3" s="15" t="s">
        <v>194</v>
      </c>
    </row>
    <row r="4" spans="1:6" x14ac:dyDescent="0.3">
      <c r="A4" s="16" t="s">
        <v>23</v>
      </c>
      <c r="B4" s="17">
        <v>12</v>
      </c>
      <c r="C4" s="18">
        <v>0</v>
      </c>
      <c r="D4" s="19">
        <v>4</v>
      </c>
      <c r="E4" s="20">
        <v>8</v>
      </c>
      <c r="F4" s="21">
        <v>280</v>
      </c>
    </row>
    <row r="5" spans="1:6" x14ac:dyDescent="0.3">
      <c r="A5" s="16" t="s">
        <v>120</v>
      </c>
      <c r="B5" s="17">
        <v>1</v>
      </c>
      <c r="C5" s="18">
        <v>0</v>
      </c>
      <c r="D5" s="19">
        <v>1</v>
      </c>
      <c r="E5" s="20">
        <v>0</v>
      </c>
      <c r="F5" s="21">
        <v>24</v>
      </c>
    </row>
    <row r="6" spans="1:6" x14ac:dyDescent="0.3">
      <c r="A6" s="16" t="s">
        <v>73</v>
      </c>
      <c r="B6" s="17">
        <v>4</v>
      </c>
      <c r="C6" s="18">
        <v>0</v>
      </c>
      <c r="D6" s="19">
        <v>2</v>
      </c>
      <c r="E6" s="20">
        <v>2</v>
      </c>
      <c r="F6" s="21">
        <v>40</v>
      </c>
    </row>
    <row r="7" spans="1:6" x14ac:dyDescent="0.3">
      <c r="A7" s="16" t="s">
        <v>152</v>
      </c>
      <c r="B7" s="17">
        <v>1</v>
      </c>
      <c r="C7" s="18">
        <v>1</v>
      </c>
      <c r="D7" s="19">
        <v>0</v>
      </c>
      <c r="E7" s="20">
        <v>0</v>
      </c>
      <c r="F7" s="21">
        <v>16</v>
      </c>
    </row>
    <row r="8" spans="1:6" x14ac:dyDescent="0.3">
      <c r="A8" s="16" t="s">
        <v>173</v>
      </c>
      <c r="B8" s="17">
        <v>1</v>
      </c>
      <c r="C8" s="18">
        <v>0</v>
      </c>
      <c r="D8" s="19">
        <v>0</v>
      </c>
      <c r="E8" s="20">
        <v>1</v>
      </c>
      <c r="F8" s="21">
        <v>12</v>
      </c>
    </row>
    <row r="9" spans="1:6" x14ac:dyDescent="0.3">
      <c r="A9" s="16" t="s">
        <v>180</v>
      </c>
      <c r="B9" s="17">
        <v>2</v>
      </c>
      <c r="C9" s="18">
        <v>1</v>
      </c>
      <c r="D9" s="19">
        <v>1</v>
      </c>
      <c r="E9" s="20">
        <v>0</v>
      </c>
      <c r="F9" s="21">
        <v>32</v>
      </c>
    </row>
    <row r="10" spans="1:6" x14ac:dyDescent="0.3">
      <c r="A10" s="22" t="s">
        <v>195</v>
      </c>
      <c r="B10" s="23">
        <v>2</v>
      </c>
      <c r="C10" s="24">
        <v>0</v>
      </c>
      <c r="D10" s="25">
        <v>0</v>
      </c>
      <c r="E10" s="26">
        <v>2</v>
      </c>
      <c r="F10" s="23">
        <v>32</v>
      </c>
    </row>
    <row r="11" spans="1:6" x14ac:dyDescent="0.3">
      <c r="A11" s="27" t="s">
        <v>196</v>
      </c>
      <c r="B11" s="28">
        <f>SUM(B4:B10)</f>
        <v>23</v>
      </c>
      <c r="C11" s="28">
        <f>SUM(C4:C10)</f>
        <v>2</v>
      </c>
      <c r="D11" s="28">
        <f>SUM(D4:D10)</f>
        <v>8</v>
      </c>
      <c r="E11" s="28">
        <f>SUM(E4:E10)</f>
        <v>13</v>
      </c>
      <c r="F11" s="28">
        <f>SUM(F4:F10)</f>
        <v>436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 Log Jun-Jul 2026</vt:lpstr>
      <vt:lpstr>Module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Dheeraj Motiyani</cp:lastModifiedBy>
  <cp:revision>0</cp:revision>
  <dcterms:created xsi:type="dcterms:W3CDTF">2026-07-10T06:51:35Z</dcterms:created>
  <dcterms:modified xsi:type="dcterms:W3CDTF">2026-07-13T04:53:13Z</dcterms:modified>
  <dc:language>en-US</dc:language>
</cp:coreProperties>
</file>