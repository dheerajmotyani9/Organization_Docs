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Parahak\"/>
    </mc:Choice>
  </mc:AlternateContent>
  <bookViews>
    <workbookView xWindow="0" yWindow="0" windowWidth="14380" windowHeight="41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<sst xmlns="http://schemas.openxmlformats.org/spreadsheetml/2006/main" count="216" uniqueCount="127">
  <si>
    <t>S. No</t>
  </si>
  <si>
    <t>District</t>
  </si>
  <si>
    <t>Initiative</t>
  </si>
  <si>
    <t>Request Received on (Letter / Verbal)</t>
  </si>
  <si>
    <t>Lettes</t>
  </si>
  <si>
    <t>District Level SPOC</t>
  </si>
  <si>
    <t>Current status</t>
  </si>
  <si>
    <t>ajeet pal</t>
  </si>
  <si>
    <t>Vertical</t>
  </si>
  <si>
    <t>OIC</t>
  </si>
  <si>
    <t>DeGM Name</t>
  </si>
  <si>
    <t>DeGM Contact Number</t>
  </si>
  <si>
    <t>Alirajpur</t>
  </si>
  <si>
    <t>Hostel Survey (Parakh)</t>
  </si>
  <si>
    <t>Letter</t>
  </si>
  <si>
    <t>LetterFromCollector-Alirajpur.pdf</t>
  </si>
  <si>
    <t>Virendra Singh Baghel (Joint Collector)</t>
  </si>
  <si>
    <t>Golive</t>
  </si>
  <si>
    <t>Ajeet Pal Singh</t>
  </si>
  <si>
    <t>GIS</t>
  </si>
  <si>
    <t xml:space="preserve">Dr. Sandeep Goyal </t>
  </si>
  <si>
    <t>Vineet Vishwkarma</t>
  </si>
  <si>
    <t>Chhindwara</t>
  </si>
  <si>
    <t>Wash on wheel (Parakh)</t>
  </si>
  <si>
    <t>LetterToOnboardParakh-Chindwara.pdf</t>
  </si>
  <si>
    <t>Agrim (CEO Jila Panchayat)</t>
  </si>
  <si>
    <t>Atul Kumar Sharma</t>
  </si>
  <si>
    <t>School Survey (Parakh)</t>
  </si>
  <si>
    <t>Today's UAT verification will arrive</t>
  </si>
  <si>
    <t>Bhopal commissioner office</t>
  </si>
  <si>
    <t>General Inspection on (Parakh)</t>
  </si>
  <si>
    <t>Comm. bpl letter for Parakh login.pdf</t>
  </si>
  <si>
    <t>Alok (Consultant) MPSEDC</t>
  </si>
  <si>
    <t>Work Complete &amp; submiited to Dept. for (UAT)</t>
  </si>
  <si>
    <t>Khargone</t>
  </si>
  <si>
    <t>Inspection Mobile App on (Parakh)</t>
  </si>
  <si>
    <t xml:space="preserve">Direction by MD / APD Sir </t>
  </si>
  <si>
    <t>-</t>
  </si>
  <si>
    <t>The current collector of Khargone has changed. The new collector will decide whether this project will proceed or not, and if it does, how the work will be carried forward.</t>
  </si>
  <si>
    <t>Pramod Pawar</t>
  </si>
  <si>
    <t>Damoh</t>
  </si>
  <si>
    <t>Parakh Letter Damoh.pdf</t>
  </si>
  <si>
    <t>No Name in Letter</t>
  </si>
  <si>
    <t>Mahesh Agrawal</t>
  </si>
  <si>
    <t>Burhanpur</t>
  </si>
  <si>
    <t>PARAKH Burhanpur.pdf</t>
  </si>
  <si>
    <t>Bhavya Mittal (Collector)</t>
  </si>
  <si>
    <t>Work In Progress</t>
  </si>
  <si>
    <t>Tikamgarh , Collectorate</t>
  </si>
  <si>
    <t>parakh portal letter tikamgarh.pdf</t>
  </si>
  <si>
    <t>In Tikamgarh Collectorate, forms are being prepared but have already taken considerable time.</t>
  </si>
  <si>
    <t>Pushpendra Tiwari</t>
  </si>
  <si>
    <t>Dindori  , Collectorate</t>
  </si>
  <si>
    <t>School Survey, Hostel, Anganbadi, PDS Center Extra Inspection App (Parakh)</t>
  </si>
  <si>
    <t>Parakh App dindori.pdf</t>
  </si>
  <si>
    <t>In Dindori, UAT is currently under testing. A reply will be provided once the testing is fully completed.</t>
  </si>
  <si>
    <t>Deepak Sahu</t>
  </si>
  <si>
    <t>Vidisha</t>
  </si>
  <si>
    <t xml:space="preserve">Direction by  MD / APD Sir </t>
  </si>
  <si>
    <t>विदिशा जिले में स्_कूलों के निरीक्षण संबंधी APP उपलब्_ध कराने बाबत् तथा तकनीकी सहयोग.pdf</t>
  </si>
  <si>
    <t>AMIT AGARWAL</t>
  </si>
  <si>
    <t>Bhind</t>
  </si>
  <si>
    <t>PARAKH Hostel Survey Bhind 15.01.2025.pdf</t>
  </si>
  <si>
    <t>Saurabh Upadhyay</t>
  </si>
  <si>
    <t xml:space="preserve">Chhatarpur Dist </t>
  </si>
  <si>
    <t>Creation Google form , Login ID Password</t>
  </si>
  <si>
    <t>Creation Google form for Chattarpur DIst login id 15 01 2025.pdf</t>
  </si>
  <si>
    <t>they will preparing our form and sending it from the Tikamgarh department, but they have also requested Alirajgarh's Parhak credentials for review.</t>
  </si>
  <si>
    <t>Rahul Tiwari</t>
  </si>
  <si>
    <t>Narwadapuram</t>
  </si>
  <si>
    <t>The form has arrived, UAT has been sent, and testing has started.</t>
  </si>
  <si>
    <t>seoni</t>
  </si>
  <si>
    <t>Satna</t>
  </si>
  <si>
    <t>vinod yadav (additional commissioner)</t>
  </si>
  <si>
    <t xml:space="preserve">Sandeep </t>
  </si>
  <si>
    <t>Go-live</t>
  </si>
  <si>
    <t>Saps</t>
  </si>
  <si>
    <t xml:space="preserve">Tribale department </t>
  </si>
  <si>
    <t>Rahul Shivhare</t>
  </si>
  <si>
    <t>Rahul tiwari</t>
  </si>
  <si>
    <t>School &amp; Hostel Survey (Parakha)</t>
  </si>
  <si>
    <t>Hostel Survey (Parakha)</t>
  </si>
  <si>
    <t xml:space="preserve">Work complete UAT shared </t>
  </si>
  <si>
    <t xml:space="preserve">Uat shared Changes requrired </t>
  </si>
  <si>
    <t>Task</t>
  </si>
  <si>
    <t>Resource</t>
  </si>
  <si>
    <t>No. of Resources</t>
  </si>
  <si>
    <t>Monthly Salary (in Lakhs)</t>
  </si>
  <si>
    <t>Total Cost (3 Months)</t>
  </si>
  <si>
    <t>Overall Project Execution &amp; Monitoring</t>
  </si>
  <si>
    <t>Project Manager</t>
  </si>
  <si>
    <t>Internal (MPSeDC)</t>
  </si>
  <si>
    <t>N/A</t>
  </si>
  <si>
    <t>Project Documentation &amp; Requirement Gathering</t>
  </si>
  <si>
    <t>Business Analyst</t>
  </si>
  <si>
    <t>Dynamic Form Creation &amp; Frontend Design</t>
  </si>
  <si>
    <t>Sr. GIS Executive</t>
  </si>
  <si>
    <t>GIS Executive</t>
  </si>
  <si>
    <t>Database Management &amp; Update</t>
  </si>
  <si>
    <t>Data Expert</t>
  </si>
  <si>
    <t>GIS Database Developer (DBD)</t>
  </si>
  <si>
    <t>Backend &amp; Frontend Report Section Development</t>
  </si>
  <si>
    <t>Sr. Mobile Developer</t>
  </si>
  <si>
    <t>Portal &amp; Mobile App Developer</t>
  </si>
  <si>
    <t>UI Design</t>
  </si>
  <si>
    <t>UI/UX Designer</t>
  </si>
  <si>
    <t>Testing</t>
  </si>
  <si>
    <t>Tester</t>
  </si>
  <si>
    <t>Total Resource Cost</t>
  </si>
  <si>
    <t>29.70 Lakhs</t>
  </si>
  <si>
    <t>Model</t>
  </si>
  <si>
    <t xml:space="preserve">Hostel Survey (Parakh)
General inspection form
आवेदन फॉर्म </t>
  </si>
  <si>
    <t xml:space="preserve">Request completion Form
School servey Form </t>
  </si>
  <si>
    <t xml:space="preserve">Site Inspection &amp; servey form
Hostel Servey Form
</t>
  </si>
  <si>
    <t>School &amp; Hostel Survey (Parakha)
School monitoring Form</t>
  </si>
  <si>
    <t>Hostel Inspection Form</t>
  </si>
  <si>
    <t xml:space="preserve">Weekly Inspection Form
Aaganwadi survey form
स्वास्थ्य संस्थाओ का निरीक्षण फॉर्म </t>
  </si>
  <si>
    <t xml:space="preserve">आकदमिक अवलोकन निरीक्षण फॉर्म </t>
  </si>
  <si>
    <t xml:space="preserve">छात्रावास निरीक्षण फॉर्म </t>
  </si>
  <si>
    <t xml:space="preserve">Grocery Store Inspection
General Inspection
Hostel Inspection Form
दुकानों के निरीक्षण की जानकारी फॉर्म </t>
  </si>
  <si>
    <t xml:space="preserve">Aadhar Inspection Form 
शाला निरीक्षण प्रपत्र 
aanganwadi Center Inspection 
छात्रावास निरीक्षण फॉर्म </t>
  </si>
  <si>
    <t xml:space="preserve">rajgarh </t>
  </si>
  <si>
    <t>छात्रावास निरीक्षण फॉर्म
Test Gun Licence survey-InActive
Gun Licence Survey</t>
  </si>
  <si>
    <t xml:space="preserve">छात्रावास निरीक्षण फॉर्म
छात्रावास भोजन गुणवत्ता फॉर्म </t>
  </si>
  <si>
    <t xml:space="preserve">Aadhar Inspection Form </t>
  </si>
  <si>
    <t>LKS Inspection Form</t>
  </si>
  <si>
    <t xml:space="preserve">जूनियर छात्रावास /आश्रम निरीक्षण हेतु प्रपत्र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</si>
</sst>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1"/>
      <color rgb="FF000000"/>
      <name val="Times New Roman"/>
    </font>
    <font>
      <sz val="11"/>
      <color theme="1"/>
      <name val="Times New Roman"/>
    </font>
    <font>
      <u/>
      <sz val="11"/>
      <color theme="1"/>
      <name val="Times New Roman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9" fontId="2" fillId="0" borderId="2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0" fillId="2" borderId="4" xfId="0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0" borderId="14" xfId="0" applyFont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2" borderId="14" xfId="0" applyFill="1" applyBorder="1" applyAlignment="1">
      <alignment horizontal="center" wrapText="1"/>
    </xf>
    <xf numFmtId="0" fontId="0" fillId="0" borderId="14" xfId="0" applyBorder="1" applyAlignment="1">
      <alignment wrapText="1"/>
    </xf>
    <xf numFmtId="0" fontId="3" fillId="0" borderId="4" xfId="0" applyFont="1" applyBorder="1" applyAlignment="1">
      <alignment vertical="top" wrapText="1"/>
    </xf>
    <xf numFmtId="0" fontId="0" fillId="0" borderId="0" xfId="0" applyBorder="1"/>
    <xf numFmtId="0" fontId="3" fillId="2" borderId="1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0" fillId="4" borderId="4" xfId="0" applyFill="1" applyBorder="1" applyAlignment="1">
      <alignment wrapText="1"/>
    </xf>
    <xf numFmtId="0" fontId="3" fillId="4" borderId="18" xfId="0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vertical="top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g5mRLKl-A4sgqjGRf9dRMvShG9MRz7Y/view?usp=sharing" TargetMode="External"/><Relationship Id="rId3" Type="http://schemas.openxmlformats.org/officeDocument/2006/relationships/hyperlink" Target="https://drive.google.com/file/d/1nVFl4q0gC86x31_lgpJNObU9N4d8-TEg/view?usp=sharing" TargetMode="External"/><Relationship Id="rId7" Type="http://schemas.openxmlformats.org/officeDocument/2006/relationships/hyperlink" Target="https://drive.google.com/file/d/1CqI6jqKfbRR--diJNGXXp8VyCD9yfkp4/view?usp=sharing" TargetMode="External"/><Relationship Id="rId2" Type="http://schemas.openxmlformats.org/officeDocument/2006/relationships/hyperlink" Target="https://drive.google.com/file/d/1nVFl4q0gC86x31_lgpJNObU9N4d8-TEg/view?usp=sharing" TargetMode="External"/><Relationship Id="rId1" Type="http://schemas.openxmlformats.org/officeDocument/2006/relationships/hyperlink" Target="https://drive.google.com/file/d/145n4j0YGpfoHj_fvHz65pONUDay1XBrl/view?usp=sharing" TargetMode="External"/><Relationship Id="rId6" Type="http://schemas.openxmlformats.org/officeDocument/2006/relationships/hyperlink" Target="https://drive.google.com/file/d/1iwmo-KcKwrcW804sOG7L99Sg_Yy_onGg/view?usp=sharing" TargetMode="External"/><Relationship Id="rId11" Type="http://schemas.openxmlformats.org/officeDocument/2006/relationships/hyperlink" Target="https://drive.google.com/file/d/1TtZsunVkbYbpd7OzjiC-M4-bta6ZBMZf/view?usp=sharing" TargetMode="External"/><Relationship Id="rId5" Type="http://schemas.openxmlformats.org/officeDocument/2006/relationships/hyperlink" Target="https://drive.google.com/file/d/1zd9dY49jZQvyo4jKlkZ3qgoapbK7L-8o/view?usp=sharing" TargetMode="External"/><Relationship Id="rId10" Type="http://schemas.openxmlformats.org/officeDocument/2006/relationships/hyperlink" Target="https://drive.google.com/file/d/17gF2Zx1DnMGLygJ3UbsNqaiR8BjEEO_E/view?usp=sharing" TargetMode="External"/><Relationship Id="rId4" Type="http://schemas.openxmlformats.org/officeDocument/2006/relationships/hyperlink" Target="https://drive.google.com/file/d/13X0E_KeL-gOZX5GfbpNuxOir5_NBkPVA/view?usp=sharing" TargetMode="External"/><Relationship Id="rId9" Type="http://schemas.openxmlformats.org/officeDocument/2006/relationships/hyperlink" Target="https://drive.google.com/file/d/1qydFlBZmRduP6WlhtnJofsy8yLOnf2ig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topLeftCell="A14" zoomScale="89" zoomScaleNormal="89" workbookViewId="0">
      <selection activeCell="A14" sqref="A14:M14"/>
    </sheetView>
  </sheetViews>
  <sheetFormatPr defaultRowHeight="14.5" x14ac:dyDescent="0.35"/>
  <cols>
    <col min="2" max="2" width="23.1796875" customWidth="1"/>
    <col min="3" max="3" width="29.54296875" style="67" customWidth="1"/>
    <col min="5" max="5" width="18.08984375" customWidth="1"/>
    <col min="6" max="6" width="14.453125" customWidth="1"/>
    <col min="7" max="7" width="28.36328125" customWidth="1"/>
    <col min="8" max="8" width="15.36328125" customWidth="1"/>
    <col min="10" max="10" width="24.08984375" customWidth="1"/>
    <col min="11" max="11" width="15" customWidth="1"/>
    <col min="12" max="12" width="17" customWidth="1"/>
    <col min="13" max="13" width="22" style="79" customWidth="1"/>
    <col min="14" max="14" width="33.54296875" customWidth="1"/>
  </cols>
  <sheetData>
    <row r="1" spans="1:15" ht="70" x14ac:dyDescent="0.35">
      <c r="A1" s="1" t="s">
        <v>0</v>
      </c>
      <c r="B1" s="1" t="s">
        <v>1</v>
      </c>
      <c r="C1" s="57" t="s">
        <v>2</v>
      </c>
      <c r="D1" s="1" t="s">
        <v>3</v>
      </c>
      <c r="E1" s="1" t="s">
        <v>4</v>
      </c>
      <c r="F1" s="2" t="s">
        <v>5</v>
      </c>
      <c r="G1" s="19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5" t="s">
        <v>11</v>
      </c>
      <c r="M1" s="52" t="s">
        <v>110</v>
      </c>
      <c r="N1" s="24"/>
    </row>
    <row r="2" spans="1:15" ht="42" x14ac:dyDescent="0.35">
      <c r="A2" s="20">
        <v>1</v>
      </c>
      <c r="B2" s="7" t="s">
        <v>12</v>
      </c>
      <c r="C2" s="58" t="s">
        <v>13</v>
      </c>
      <c r="D2" s="20" t="s">
        <v>14</v>
      </c>
      <c r="E2" s="5" t="s">
        <v>15</v>
      </c>
      <c r="F2" s="6" t="s">
        <v>16</v>
      </c>
      <c r="G2" s="21" t="s">
        <v>17</v>
      </c>
      <c r="H2" s="6" t="s">
        <v>18</v>
      </c>
      <c r="I2" s="22" t="s">
        <v>19</v>
      </c>
      <c r="J2" s="7" t="s">
        <v>20</v>
      </c>
      <c r="K2" s="23" t="s">
        <v>21</v>
      </c>
      <c r="L2" s="68">
        <v>6260437738</v>
      </c>
      <c r="M2" s="34" t="s">
        <v>111</v>
      </c>
      <c r="N2" s="24"/>
      <c r="O2" s="24"/>
    </row>
    <row r="3" spans="1:15" ht="28" x14ac:dyDescent="0.35">
      <c r="A3" s="20">
        <f t="shared" ref="A3:A17" si="0">A2+1</f>
        <v>2</v>
      </c>
      <c r="B3" s="7" t="s">
        <v>22</v>
      </c>
      <c r="C3" s="58" t="s">
        <v>23</v>
      </c>
      <c r="D3" s="20" t="s">
        <v>14</v>
      </c>
      <c r="E3" s="5" t="s">
        <v>24</v>
      </c>
      <c r="F3" s="6" t="s">
        <v>25</v>
      </c>
      <c r="G3" s="21" t="s">
        <v>17</v>
      </c>
      <c r="H3" s="6" t="s">
        <v>18</v>
      </c>
      <c r="I3" s="22" t="s">
        <v>19</v>
      </c>
      <c r="J3" s="7" t="s">
        <v>20</v>
      </c>
      <c r="K3" s="23" t="s">
        <v>26</v>
      </c>
      <c r="L3" s="68">
        <v>7898452023</v>
      </c>
      <c r="M3" s="34" t="s">
        <v>23</v>
      </c>
      <c r="N3" s="24"/>
    </row>
    <row r="4" spans="1:15" ht="43.5" x14ac:dyDescent="0.35">
      <c r="A4" s="3">
        <f t="shared" si="0"/>
        <v>3</v>
      </c>
      <c r="B4" s="8" t="s">
        <v>22</v>
      </c>
      <c r="C4" s="59" t="s">
        <v>27</v>
      </c>
      <c r="D4" s="3" t="s">
        <v>14</v>
      </c>
      <c r="E4" s="51" t="s">
        <v>24</v>
      </c>
      <c r="F4" s="28" t="s">
        <v>25</v>
      </c>
      <c r="G4" s="24" t="s">
        <v>28</v>
      </c>
      <c r="H4" s="28" t="s">
        <v>18</v>
      </c>
      <c r="I4" s="26" t="s">
        <v>19</v>
      </c>
      <c r="J4" s="8" t="s">
        <v>20</v>
      </c>
      <c r="K4" s="18" t="s">
        <v>26</v>
      </c>
      <c r="L4" s="69">
        <v>7898452023</v>
      </c>
      <c r="M4" s="25" t="s">
        <v>112</v>
      </c>
      <c r="N4" s="24"/>
    </row>
    <row r="5" spans="1:15" ht="58" x14ac:dyDescent="0.35">
      <c r="A5" s="3">
        <f t="shared" si="0"/>
        <v>4</v>
      </c>
      <c r="B5" s="8" t="s">
        <v>29</v>
      </c>
      <c r="C5" s="59" t="s">
        <v>30</v>
      </c>
      <c r="D5" s="3" t="s">
        <v>14</v>
      </c>
      <c r="E5" s="10" t="s">
        <v>31</v>
      </c>
      <c r="F5" s="11" t="s">
        <v>32</v>
      </c>
      <c r="G5" s="12" t="s">
        <v>33</v>
      </c>
      <c r="H5" s="13" t="s">
        <v>18</v>
      </c>
      <c r="I5" s="3" t="s">
        <v>19</v>
      </c>
      <c r="J5" s="8" t="s">
        <v>20</v>
      </c>
      <c r="K5" s="18" t="s">
        <v>73</v>
      </c>
      <c r="L5" s="69">
        <v>9407511101</v>
      </c>
      <c r="M5" s="25" t="s">
        <v>113</v>
      </c>
      <c r="N5" s="24"/>
    </row>
    <row r="6" spans="1:15" ht="84" x14ac:dyDescent="0.35">
      <c r="A6" s="3">
        <f t="shared" si="0"/>
        <v>5</v>
      </c>
      <c r="B6" s="8" t="s">
        <v>34</v>
      </c>
      <c r="C6" s="60" t="s">
        <v>35</v>
      </c>
      <c r="D6" s="3" t="s">
        <v>36</v>
      </c>
      <c r="E6" s="14" t="s">
        <v>37</v>
      </c>
      <c r="F6" s="14" t="s">
        <v>37</v>
      </c>
      <c r="G6" s="15" t="s">
        <v>38</v>
      </c>
      <c r="H6" s="8" t="s">
        <v>18</v>
      </c>
      <c r="I6" s="3" t="s">
        <v>19</v>
      </c>
      <c r="J6" s="8" t="s">
        <v>20</v>
      </c>
      <c r="K6" s="18" t="s">
        <v>39</v>
      </c>
      <c r="L6" s="69">
        <v>8989854171</v>
      </c>
      <c r="M6" s="25"/>
      <c r="N6" s="24"/>
    </row>
    <row r="7" spans="1:15" ht="42" x14ac:dyDescent="0.35">
      <c r="A7" s="20">
        <f t="shared" si="0"/>
        <v>6</v>
      </c>
      <c r="B7" s="7" t="s">
        <v>40</v>
      </c>
      <c r="C7" s="58" t="s">
        <v>80</v>
      </c>
      <c r="D7" s="20" t="s">
        <v>14</v>
      </c>
      <c r="E7" s="36" t="s">
        <v>41</v>
      </c>
      <c r="F7" s="7" t="s">
        <v>42</v>
      </c>
      <c r="G7" s="4" t="s">
        <v>75</v>
      </c>
      <c r="H7" s="7" t="s">
        <v>18</v>
      </c>
      <c r="I7" s="20" t="s">
        <v>19</v>
      </c>
      <c r="J7" s="7" t="s">
        <v>20</v>
      </c>
      <c r="K7" s="4" t="s">
        <v>43</v>
      </c>
      <c r="L7" s="70">
        <v>9893691611</v>
      </c>
      <c r="M7" s="34" t="s">
        <v>114</v>
      </c>
      <c r="N7" s="24"/>
    </row>
    <row r="8" spans="1:15" ht="28" x14ac:dyDescent="0.35">
      <c r="A8" s="3">
        <f t="shared" si="0"/>
        <v>7</v>
      </c>
      <c r="B8" s="8" t="s">
        <v>44</v>
      </c>
      <c r="C8" s="59" t="s">
        <v>35</v>
      </c>
      <c r="D8" s="3" t="s">
        <v>14</v>
      </c>
      <c r="E8" s="10" t="s">
        <v>45</v>
      </c>
      <c r="F8" s="8" t="s">
        <v>46</v>
      </c>
      <c r="G8" s="9" t="s">
        <v>47</v>
      </c>
      <c r="H8" s="8" t="s">
        <v>18</v>
      </c>
      <c r="I8" s="3" t="s">
        <v>19</v>
      </c>
      <c r="J8" s="8" t="s">
        <v>20</v>
      </c>
      <c r="K8" s="18"/>
      <c r="L8" s="69"/>
      <c r="M8" s="25"/>
      <c r="N8" s="24"/>
    </row>
    <row r="9" spans="1:15" ht="58" x14ac:dyDescent="0.35">
      <c r="A9" s="3">
        <f t="shared" si="0"/>
        <v>8</v>
      </c>
      <c r="B9" s="8" t="s">
        <v>48</v>
      </c>
      <c r="C9" s="60" t="s">
        <v>35</v>
      </c>
      <c r="D9" s="3" t="s">
        <v>14</v>
      </c>
      <c r="E9" s="16" t="s">
        <v>49</v>
      </c>
      <c r="F9" s="17" t="s">
        <v>37</v>
      </c>
      <c r="G9" s="25" t="s">
        <v>50</v>
      </c>
      <c r="H9" s="27" t="s">
        <v>18</v>
      </c>
      <c r="I9" s="3" t="s">
        <v>19</v>
      </c>
      <c r="J9" s="8" t="s">
        <v>20</v>
      </c>
      <c r="K9" s="9" t="s">
        <v>51</v>
      </c>
      <c r="L9" s="71">
        <v>7415360791</v>
      </c>
      <c r="M9" s="25" t="s">
        <v>115</v>
      </c>
      <c r="N9" s="24"/>
    </row>
    <row r="10" spans="1:15" ht="58" x14ac:dyDescent="0.35">
      <c r="A10" s="3">
        <f t="shared" si="0"/>
        <v>9</v>
      </c>
      <c r="B10" s="8" t="s">
        <v>52</v>
      </c>
      <c r="C10" s="59" t="s">
        <v>53</v>
      </c>
      <c r="D10" s="3" t="s">
        <v>14</v>
      </c>
      <c r="E10" s="16" t="s">
        <v>54</v>
      </c>
      <c r="F10" s="14" t="s">
        <v>37</v>
      </c>
      <c r="G10" s="24" t="s">
        <v>55</v>
      </c>
      <c r="H10" s="28" t="s">
        <v>18</v>
      </c>
      <c r="I10" s="26" t="s">
        <v>19</v>
      </c>
      <c r="J10" s="8" t="s">
        <v>20</v>
      </c>
      <c r="K10" s="9" t="s">
        <v>56</v>
      </c>
      <c r="L10" s="71">
        <v>9179173987</v>
      </c>
      <c r="M10" s="25" t="s">
        <v>116</v>
      </c>
      <c r="N10" s="24"/>
    </row>
    <row r="11" spans="1:15" ht="84" x14ac:dyDescent="0.35">
      <c r="A11" s="20">
        <f t="shared" si="0"/>
        <v>10</v>
      </c>
      <c r="B11" s="29" t="s">
        <v>57</v>
      </c>
      <c r="C11" s="61" t="s">
        <v>13</v>
      </c>
      <c r="D11" s="20" t="s">
        <v>58</v>
      </c>
      <c r="E11" s="30" t="s">
        <v>59</v>
      </c>
      <c r="F11" s="29" t="s">
        <v>37</v>
      </c>
      <c r="G11" s="4" t="s">
        <v>75</v>
      </c>
      <c r="H11" s="31" t="s">
        <v>18</v>
      </c>
      <c r="I11" s="20" t="s">
        <v>19</v>
      </c>
      <c r="J11" s="7" t="s">
        <v>20</v>
      </c>
      <c r="K11" s="4" t="s">
        <v>60</v>
      </c>
      <c r="L11" s="70">
        <v>9893276222</v>
      </c>
      <c r="M11" s="25" t="s">
        <v>117</v>
      </c>
      <c r="N11" s="24"/>
    </row>
    <row r="12" spans="1:15" ht="42" x14ac:dyDescent="0.35">
      <c r="A12" s="20">
        <f t="shared" si="0"/>
        <v>11</v>
      </c>
      <c r="B12" s="46" t="s">
        <v>61</v>
      </c>
      <c r="C12" s="62" t="s">
        <v>13</v>
      </c>
      <c r="D12" s="38" t="s">
        <v>14</v>
      </c>
      <c r="E12" s="47" t="s">
        <v>62</v>
      </c>
      <c r="F12" s="46" t="s">
        <v>37</v>
      </c>
      <c r="G12" s="48" t="s">
        <v>75</v>
      </c>
      <c r="H12" s="40" t="s">
        <v>18</v>
      </c>
      <c r="I12" s="38" t="s">
        <v>19</v>
      </c>
      <c r="J12" s="40" t="s">
        <v>20</v>
      </c>
      <c r="K12" s="48" t="s">
        <v>63</v>
      </c>
      <c r="L12" s="72">
        <v>9893310941</v>
      </c>
      <c r="M12" s="25" t="s">
        <v>118</v>
      </c>
      <c r="N12" s="24"/>
    </row>
    <row r="13" spans="1:15" ht="72.5" x14ac:dyDescent="0.35">
      <c r="A13" s="45">
        <f t="shared" si="0"/>
        <v>12</v>
      </c>
      <c r="B13" s="44" t="s">
        <v>64</v>
      </c>
      <c r="C13" s="63" t="s">
        <v>65</v>
      </c>
      <c r="D13" s="49" t="s">
        <v>14</v>
      </c>
      <c r="E13" s="50" t="s">
        <v>66</v>
      </c>
      <c r="F13" s="44" t="s">
        <v>37</v>
      </c>
      <c r="G13" s="12" t="s">
        <v>67</v>
      </c>
      <c r="H13" s="28" t="s">
        <v>18</v>
      </c>
      <c r="I13" s="49" t="s">
        <v>19</v>
      </c>
      <c r="J13" s="28" t="s">
        <v>20</v>
      </c>
      <c r="K13" s="44" t="s">
        <v>68</v>
      </c>
      <c r="L13" s="73">
        <v>9993551020</v>
      </c>
      <c r="M13" s="25" t="s">
        <v>119</v>
      </c>
      <c r="N13" s="24"/>
    </row>
    <row r="14" spans="1:15" ht="72.5" x14ac:dyDescent="0.35">
      <c r="A14" s="89">
        <f t="shared" si="0"/>
        <v>13</v>
      </c>
      <c r="B14" s="90" t="s">
        <v>69</v>
      </c>
      <c r="C14" s="91" t="s">
        <v>120</v>
      </c>
      <c r="D14" s="92" t="s">
        <v>14</v>
      </c>
      <c r="E14" s="90"/>
      <c r="F14" s="90"/>
      <c r="G14" s="83" t="s">
        <v>70</v>
      </c>
      <c r="H14" s="93" t="s">
        <v>18</v>
      </c>
      <c r="I14" s="94" t="s">
        <v>19</v>
      </c>
      <c r="J14" s="93" t="s">
        <v>20</v>
      </c>
      <c r="K14" s="90" t="s">
        <v>74</v>
      </c>
      <c r="L14" s="95">
        <v>9425966696</v>
      </c>
      <c r="M14" s="83" t="s">
        <v>120</v>
      </c>
      <c r="N14" s="24"/>
    </row>
    <row r="15" spans="1:15" ht="58" x14ac:dyDescent="0.35">
      <c r="A15" s="81">
        <f t="shared" si="0"/>
        <v>14</v>
      </c>
      <c r="B15" s="82" t="s">
        <v>121</v>
      </c>
      <c r="C15" s="83" t="s">
        <v>122</v>
      </c>
      <c r="D15" s="84" t="s">
        <v>14</v>
      </c>
      <c r="E15" s="82"/>
      <c r="F15" s="82"/>
      <c r="G15" s="85" t="s">
        <v>70</v>
      </c>
      <c r="H15" s="86" t="s">
        <v>18</v>
      </c>
      <c r="I15" s="87" t="s">
        <v>19</v>
      </c>
      <c r="J15" s="86" t="s">
        <v>20</v>
      </c>
      <c r="K15" s="82"/>
      <c r="L15" s="88"/>
      <c r="M15" s="83" t="s">
        <v>122</v>
      </c>
      <c r="N15" s="24"/>
    </row>
    <row r="16" spans="1:15" ht="38.5" customHeight="1" x14ac:dyDescent="0.35">
      <c r="A16" s="20">
        <f t="shared" si="0"/>
        <v>15</v>
      </c>
      <c r="B16" s="37" t="s">
        <v>71</v>
      </c>
      <c r="C16" s="21" t="s">
        <v>123</v>
      </c>
      <c r="D16" s="80" t="s">
        <v>14</v>
      </c>
      <c r="E16" s="37"/>
      <c r="F16" s="37"/>
      <c r="G16" s="39"/>
      <c r="H16" s="40" t="s">
        <v>18</v>
      </c>
      <c r="I16" s="38" t="s">
        <v>19</v>
      </c>
      <c r="J16" s="40" t="s">
        <v>20</v>
      </c>
      <c r="K16" s="37" t="s">
        <v>78</v>
      </c>
      <c r="L16" s="74">
        <v>9302469983</v>
      </c>
      <c r="M16" s="25" t="s">
        <v>123</v>
      </c>
      <c r="N16" s="24"/>
    </row>
    <row r="17" spans="1:14" ht="31" customHeight="1" x14ac:dyDescent="0.35">
      <c r="A17" s="32">
        <f t="shared" si="0"/>
        <v>16</v>
      </c>
      <c r="B17" s="41" t="s">
        <v>72</v>
      </c>
      <c r="C17" s="64" t="s">
        <v>124</v>
      </c>
      <c r="D17" s="41"/>
      <c r="E17" s="41"/>
      <c r="F17" s="41"/>
      <c r="G17" s="42" t="s">
        <v>83</v>
      </c>
      <c r="H17" s="42" t="s">
        <v>18</v>
      </c>
      <c r="I17" s="43" t="s">
        <v>19</v>
      </c>
      <c r="J17" s="42" t="s">
        <v>20</v>
      </c>
      <c r="K17" s="41"/>
      <c r="L17" s="75"/>
      <c r="M17" s="78" t="s">
        <v>124</v>
      </c>
      <c r="N17" s="24"/>
    </row>
    <row r="18" spans="1:14" ht="34.5" customHeight="1" x14ac:dyDescent="0.35">
      <c r="A18" s="33">
        <v>17</v>
      </c>
      <c r="B18" s="6" t="s">
        <v>76</v>
      </c>
      <c r="C18" s="65" t="s">
        <v>125</v>
      </c>
      <c r="D18" s="33"/>
      <c r="E18" s="33"/>
      <c r="F18" s="33"/>
      <c r="G18" s="34" t="s">
        <v>75</v>
      </c>
      <c r="H18" s="33"/>
      <c r="I18" s="33"/>
      <c r="J18" s="33"/>
      <c r="K18" s="33" t="s">
        <v>79</v>
      </c>
      <c r="L18" s="76">
        <v>9893404034</v>
      </c>
      <c r="M18" s="25" t="s">
        <v>125</v>
      </c>
      <c r="N18" s="24"/>
    </row>
    <row r="19" spans="1:14" ht="38" customHeight="1" x14ac:dyDescent="0.35">
      <c r="A19" s="35">
        <v>18</v>
      </c>
      <c r="B19" s="25" t="s">
        <v>77</v>
      </c>
      <c r="C19" s="66" t="s">
        <v>126</v>
      </c>
      <c r="D19" s="25"/>
      <c r="E19" s="25" t="s">
        <v>81</v>
      </c>
      <c r="F19" s="25"/>
      <c r="G19" s="25" t="s">
        <v>82</v>
      </c>
      <c r="H19" s="25"/>
      <c r="I19" s="25"/>
      <c r="J19" s="25"/>
      <c r="K19" s="25"/>
      <c r="L19" s="77"/>
      <c r="M19" s="66" t="s">
        <v>126</v>
      </c>
      <c r="N19" s="24"/>
    </row>
  </sheetData>
  <hyperlinks>
    <hyperlink ref="E2" r:id="rId1"/>
    <hyperlink ref="E3" r:id="rId2"/>
    <hyperlink ref="E4" r:id="rId3"/>
    <hyperlink ref="E5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opLeftCell="A6" workbookViewId="0">
      <selection sqref="A1:E12"/>
    </sheetView>
  </sheetViews>
  <sheetFormatPr defaultRowHeight="14.5" x14ac:dyDescent="0.35"/>
  <cols>
    <col min="1" max="1" width="19.81640625" customWidth="1"/>
    <col min="2" max="2" width="13.1796875" customWidth="1"/>
    <col min="3" max="3" width="16.81640625" customWidth="1"/>
    <col min="4" max="4" width="18.6328125" customWidth="1"/>
    <col min="5" max="5" width="17.08984375" customWidth="1"/>
  </cols>
  <sheetData>
    <row r="1" spans="1:5" ht="30" x14ac:dyDescent="0.35">
      <c r="A1" s="56" t="s">
        <v>84</v>
      </c>
      <c r="B1" s="56" t="s">
        <v>85</v>
      </c>
      <c r="C1" s="56" t="s">
        <v>86</v>
      </c>
      <c r="D1" s="56" t="s">
        <v>87</v>
      </c>
      <c r="E1" s="56" t="s">
        <v>88</v>
      </c>
    </row>
    <row r="2" spans="1:5" ht="46.5" x14ac:dyDescent="0.35">
      <c r="A2" s="53" t="s">
        <v>89</v>
      </c>
      <c r="B2" s="53" t="s">
        <v>90</v>
      </c>
      <c r="C2" s="53">
        <v>1</v>
      </c>
      <c r="D2" s="53" t="s">
        <v>91</v>
      </c>
      <c r="E2" s="53" t="s">
        <v>92</v>
      </c>
    </row>
    <row r="3" spans="1:5" ht="62" x14ac:dyDescent="0.35">
      <c r="A3" s="53" t="s">
        <v>93</v>
      </c>
      <c r="B3" s="53" t="s">
        <v>94</v>
      </c>
      <c r="C3" s="53">
        <v>1</v>
      </c>
      <c r="D3" s="53" t="s">
        <v>91</v>
      </c>
      <c r="E3" s="53" t="s">
        <v>92</v>
      </c>
    </row>
    <row r="4" spans="1:5" ht="46.5" x14ac:dyDescent="0.35">
      <c r="A4" s="53" t="s">
        <v>95</v>
      </c>
      <c r="B4" s="53" t="s">
        <v>96</v>
      </c>
      <c r="C4" s="53">
        <v>1</v>
      </c>
      <c r="D4" s="53">
        <v>1.2</v>
      </c>
      <c r="E4" s="53">
        <v>3.6</v>
      </c>
    </row>
    <row r="5" spans="1:5" ht="31" x14ac:dyDescent="0.35">
      <c r="A5" s="54"/>
      <c r="B5" s="53" t="s">
        <v>97</v>
      </c>
      <c r="C5" s="53">
        <v>2</v>
      </c>
      <c r="D5" s="53">
        <v>0.8</v>
      </c>
      <c r="E5" s="53">
        <v>4.8</v>
      </c>
    </row>
    <row r="6" spans="1:5" ht="46.5" x14ac:dyDescent="0.35">
      <c r="A6" s="53" t="s">
        <v>98</v>
      </c>
      <c r="B6" s="53" t="s">
        <v>99</v>
      </c>
      <c r="C6" s="53">
        <v>1</v>
      </c>
      <c r="D6" s="53">
        <v>1.5</v>
      </c>
      <c r="E6" s="53">
        <v>4.5</v>
      </c>
    </row>
    <row r="7" spans="1:5" ht="62" x14ac:dyDescent="0.35">
      <c r="A7" s="54"/>
      <c r="B7" s="53" t="s">
        <v>100</v>
      </c>
      <c r="C7" s="53">
        <v>1</v>
      </c>
      <c r="D7" s="53">
        <v>2</v>
      </c>
      <c r="E7" s="53">
        <v>6</v>
      </c>
    </row>
    <row r="8" spans="1:5" ht="46.5" x14ac:dyDescent="0.35">
      <c r="A8" s="53" t="s">
        <v>101</v>
      </c>
      <c r="B8" s="53" t="s">
        <v>102</v>
      </c>
      <c r="C8" s="53">
        <v>1</v>
      </c>
      <c r="D8" s="53">
        <v>1.8</v>
      </c>
      <c r="E8" s="53">
        <v>5.4</v>
      </c>
    </row>
    <row r="9" spans="1:5" ht="46.5" x14ac:dyDescent="0.35">
      <c r="A9" s="54"/>
      <c r="B9" s="53" t="s">
        <v>103</v>
      </c>
      <c r="C9" s="53">
        <v>1</v>
      </c>
      <c r="D9" s="53">
        <v>1.8</v>
      </c>
      <c r="E9" s="53">
        <v>5.4</v>
      </c>
    </row>
    <row r="10" spans="1:5" ht="31" x14ac:dyDescent="0.35">
      <c r="A10" s="53" t="s">
        <v>104</v>
      </c>
      <c r="B10" s="53" t="s">
        <v>105</v>
      </c>
      <c r="C10" s="53">
        <v>1</v>
      </c>
      <c r="D10" s="53" t="s">
        <v>91</v>
      </c>
      <c r="E10" s="53" t="s">
        <v>92</v>
      </c>
    </row>
    <row r="11" spans="1:5" ht="15.5" x14ac:dyDescent="0.35">
      <c r="A11" s="53" t="s">
        <v>106</v>
      </c>
      <c r="B11" s="53" t="s">
        <v>107</v>
      </c>
      <c r="C11" s="53">
        <v>1</v>
      </c>
      <c r="D11" s="53" t="s">
        <v>91</v>
      </c>
      <c r="E11" s="53" t="s">
        <v>92</v>
      </c>
    </row>
    <row r="12" spans="1:5" ht="30" x14ac:dyDescent="0.35">
      <c r="A12" s="55" t="s">
        <v>108</v>
      </c>
      <c r="B12" s="54"/>
      <c r="C12" s="54"/>
      <c r="D12" s="54"/>
      <c r="E12" s="55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2025-02-18T05:23:22Z</dcterms:created>
  <dcterms:modified xsi:type="dcterms:W3CDTF">2025-03-11T07:16:49Z</dcterms:modified>
</cp:coreProperties>
</file>