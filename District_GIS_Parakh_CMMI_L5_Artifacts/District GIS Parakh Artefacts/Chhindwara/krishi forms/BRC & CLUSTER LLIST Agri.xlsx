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trict GIS Parakh\"/>
    </mc:Choice>
  </mc:AlternateContent>
  <xr:revisionPtr revIDLastSave="0" documentId="13_ncr:1_{4241FC15-B116-4A2A-9DB9-921D424864A1}" xr6:coauthVersionLast="47" xr6:coauthVersionMax="47" xr10:uidLastSave="{00000000-0000-0000-0000-000000000000}"/>
  <bookViews>
    <workbookView xWindow="-98" yWindow="-98" windowWidth="21795" windowHeight="13695" xr2:uid="{1A512DB6-C23E-4021-9947-95E0E04B6349}"/>
  </bookViews>
  <sheets>
    <sheet name="BRC LIST" sheetId="1" r:id="rId1"/>
    <sheet name="Detail of Clusters" sheetId="2" r:id="rId2"/>
  </sheets>
  <definedNames>
    <definedName name="_xlnm._FilterDatabase" localSheetId="1" hidden="1">'Detail of Clusters'!$Z$1:$Z$92</definedName>
    <definedName name="_xlnm.Print_Area" localSheetId="1">'Detail of Clusters'!$A$1:$AD$89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90" i="2" l="1"/>
  <c r="AB90" i="2"/>
  <c r="AA90" i="2"/>
  <c r="Z90" i="2"/>
  <c r="O90" i="2"/>
  <c r="N90" i="2"/>
  <c r="M90" i="2"/>
  <c r="L90" i="2"/>
  <c r="J90" i="2"/>
  <c r="L92" i="2" s="1"/>
  <c r="I90" i="2"/>
  <c r="J92" i="2" s="1"/>
  <c r="H90" i="2"/>
  <c r="G90" i="2"/>
  <c r="G92" i="2" s="1"/>
  <c r="AD89" i="2"/>
  <c r="Y89" i="2"/>
  <c r="AD88" i="2"/>
  <c r="Y88" i="2"/>
  <c r="P88" i="2"/>
  <c r="K88" i="2"/>
  <c r="AD87" i="2"/>
  <c r="Y87" i="2"/>
  <c r="AD86" i="2"/>
  <c r="Y86" i="2"/>
  <c r="P86" i="2"/>
  <c r="K86" i="2"/>
  <c r="AD85" i="2"/>
  <c r="Y85" i="2"/>
  <c r="AD84" i="2"/>
  <c r="Y84" i="2"/>
  <c r="P84" i="2"/>
  <c r="K84" i="2"/>
  <c r="AD83" i="2"/>
  <c r="Y83" i="2"/>
  <c r="AD82" i="2"/>
  <c r="Y82" i="2"/>
  <c r="P82" i="2"/>
  <c r="K82" i="2"/>
  <c r="AD81" i="2"/>
  <c r="Y81" i="2"/>
  <c r="AD80" i="2"/>
  <c r="Y80" i="2"/>
  <c r="P80" i="2"/>
  <c r="K80" i="2"/>
  <c r="AD79" i="2"/>
  <c r="Y79" i="2"/>
  <c r="AD78" i="2"/>
  <c r="Y78" i="2"/>
  <c r="P78" i="2"/>
  <c r="K78" i="2"/>
  <c r="AD77" i="2"/>
  <c r="Y77" i="2"/>
  <c r="AD76" i="2"/>
  <c r="Y76" i="2"/>
  <c r="P76" i="2"/>
  <c r="K76" i="2"/>
  <c r="AD75" i="2"/>
  <c r="Y75" i="2"/>
  <c r="AD74" i="2"/>
  <c r="Y74" i="2"/>
  <c r="P74" i="2"/>
  <c r="K74" i="2"/>
  <c r="AD73" i="2"/>
  <c r="Y73" i="2"/>
  <c r="AD72" i="2"/>
  <c r="Y72" i="2"/>
  <c r="P72" i="2"/>
  <c r="K72" i="2"/>
  <c r="AD71" i="2"/>
  <c r="Y71" i="2"/>
  <c r="AD70" i="2"/>
  <c r="Y70" i="2"/>
  <c r="P70" i="2"/>
  <c r="K70" i="2"/>
  <c r="AD69" i="2"/>
  <c r="Y69" i="2"/>
  <c r="AD68" i="2"/>
  <c r="Y68" i="2"/>
  <c r="P68" i="2"/>
  <c r="K68" i="2"/>
  <c r="AD67" i="2"/>
  <c r="Y67" i="2"/>
  <c r="AD66" i="2"/>
  <c r="Y66" i="2"/>
  <c r="P66" i="2"/>
  <c r="K66" i="2"/>
  <c r="AD65" i="2"/>
  <c r="Y65" i="2"/>
  <c r="AD64" i="2"/>
  <c r="Y64" i="2"/>
  <c r="P64" i="2"/>
  <c r="K64" i="2"/>
  <c r="AD63" i="2"/>
  <c r="Y63" i="2"/>
  <c r="AD62" i="2"/>
  <c r="Y62" i="2"/>
  <c r="P62" i="2"/>
  <c r="K62" i="2"/>
  <c r="AD61" i="2"/>
  <c r="Y61" i="2"/>
  <c r="AD60" i="2"/>
  <c r="Y60" i="2"/>
  <c r="P60" i="2"/>
  <c r="K60" i="2"/>
  <c r="AD59" i="2"/>
  <c r="Y59" i="2"/>
  <c r="AD58" i="2"/>
  <c r="Y58" i="2"/>
  <c r="P58" i="2"/>
  <c r="K58" i="2"/>
  <c r="AD57" i="2"/>
  <c r="Y57" i="2"/>
  <c r="AD56" i="2"/>
  <c r="Y56" i="2"/>
  <c r="P56" i="2"/>
  <c r="K56" i="2"/>
  <c r="AD55" i="2"/>
  <c r="Y55" i="2"/>
  <c r="AD54" i="2"/>
  <c r="Y54" i="2"/>
  <c r="P54" i="2"/>
  <c r="K54" i="2"/>
  <c r="AD53" i="2"/>
  <c r="Y53" i="2"/>
  <c r="AD52" i="2"/>
  <c r="Y52" i="2"/>
  <c r="P52" i="2"/>
  <c r="K52" i="2"/>
  <c r="AD51" i="2"/>
  <c r="Y51" i="2"/>
  <c r="AD50" i="2"/>
  <c r="Y50" i="2"/>
  <c r="P50" i="2"/>
  <c r="K50" i="2"/>
  <c r="AD49" i="2"/>
  <c r="Y49" i="2"/>
  <c r="AD48" i="2"/>
  <c r="Y48" i="2"/>
  <c r="P48" i="2"/>
  <c r="K48" i="2"/>
  <c r="AD47" i="2"/>
  <c r="Y47" i="2"/>
  <c r="AD46" i="2"/>
  <c r="Y46" i="2"/>
  <c r="P46" i="2"/>
  <c r="K46" i="2"/>
  <c r="AD45" i="2"/>
  <c r="Y45" i="2"/>
  <c r="AD44" i="2"/>
  <c r="Y44" i="2"/>
  <c r="P44" i="2"/>
  <c r="K44" i="2"/>
  <c r="AD43" i="2"/>
  <c r="Y43" i="2"/>
  <c r="AD42" i="2"/>
  <c r="Y42" i="2"/>
  <c r="P42" i="2"/>
  <c r="K42" i="2"/>
  <c r="AD41" i="2"/>
  <c r="Y41" i="2"/>
  <c r="AD40" i="2"/>
  <c r="Y40" i="2"/>
  <c r="P40" i="2"/>
  <c r="K40" i="2"/>
  <c r="AD39" i="2"/>
  <c r="Y39" i="2"/>
  <c r="AD38" i="2"/>
  <c r="Y38" i="2"/>
  <c r="P38" i="2"/>
  <c r="K38" i="2"/>
  <c r="AD37" i="2"/>
  <c r="Y37" i="2"/>
  <c r="AD36" i="2"/>
  <c r="Y36" i="2"/>
  <c r="P36" i="2"/>
  <c r="K36" i="2"/>
  <c r="AD35" i="2"/>
  <c r="Y35" i="2"/>
  <c r="AD34" i="2"/>
  <c r="Y34" i="2"/>
  <c r="P34" i="2"/>
  <c r="K34" i="2"/>
  <c r="AD33" i="2"/>
  <c r="Y33" i="2"/>
  <c r="AD32" i="2"/>
  <c r="Y32" i="2"/>
  <c r="P32" i="2"/>
  <c r="K32" i="2"/>
  <c r="AD31" i="2"/>
  <c r="Y31" i="2"/>
  <c r="AD30" i="2"/>
  <c r="Y30" i="2"/>
  <c r="P30" i="2"/>
  <c r="K30" i="2"/>
  <c r="AD29" i="2"/>
  <c r="Y29" i="2"/>
  <c r="AD28" i="2"/>
  <c r="Y28" i="2"/>
  <c r="P28" i="2"/>
  <c r="K28" i="2"/>
  <c r="AD27" i="2"/>
  <c r="Y27" i="2"/>
  <c r="AD26" i="2"/>
  <c r="Y26" i="2"/>
  <c r="P26" i="2"/>
  <c r="K26" i="2"/>
  <c r="AD25" i="2"/>
  <c r="Y25" i="2"/>
  <c r="AD24" i="2"/>
  <c r="Y24" i="2"/>
  <c r="P24" i="2"/>
  <c r="K24" i="2"/>
  <c r="AD23" i="2"/>
  <c r="Y23" i="2"/>
  <c r="AD22" i="2"/>
  <c r="Y22" i="2"/>
  <c r="P22" i="2"/>
  <c r="K22" i="2"/>
  <c r="AD21" i="2"/>
  <c r="Y21" i="2"/>
  <c r="AD20" i="2"/>
  <c r="Y20" i="2"/>
  <c r="P20" i="2"/>
  <c r="K20" i="2"/>
  <c r="AD19" i="2"/>
  <c r="Y19" i="2"/>
  <c r="AD18" i="2"/>
  <c r="Y18" i="2"/>
  <c r="P18" i="2"/>
  <c r="K18" i="2"/>
  <c r="AD17" i="2"/>
  <c r="Y17" i="2"/>
  <c r="AD16" i="2"/>
  <c r="Y16" i="2"/>
  <c r="P16" i="2"/>
  <c r="K16" i="2"/>
  <c r="AD15" i="2"/>
  <c r="Y15" i="2"/>
  <c r="AD14" i="2"/>
  <c r="Y14" i="2"/>
  <c r="P14" i="2"/>
  <c r="K14" i="2"/>
  <c r="AD13" i="2"/>
  <c r="Y13" i="2"/>
  <c r="AD12" i="2"/>
  <c r="Y12" i="2"/>
  <c r="P12" i="2"/>
  <c r="K12" i="2"/>
  <c r="AD11" i="2"/>
  <c r="Y11" i="2"/>
  <c r="AD10" i="2"/>
  <c r="Y10" i="2"/>
  <c r="P10" i="2"/>
  <c r="K10" i="2"/>
  <c r="AD9" i="2"/>
  <c r="Y9" i="2"/>
  <c r="AD8" i="2"/>
  <c r="Y8" i="2"/>
  <c r="P8" i="2"/>
  <c r="K8" i="2"/>
  <c r="AD7" i="2"/>
  <c r="Y7" i="2"/>
  <c r="AD6" i="2"/>
  <c r="Y6" i="2"/>
  <c r="P6" i="2"/>
  <c r="K6" i="2"/>
</calcChain>
</file>

<file path=xl/sharedStrings.xml><?xml version="1.0" encoding="utf-8"?>
<sst xmlns="http://schemas.openxmlformats.org/spreadsheetml/2006/main" count="661" uniqueCount="286">
  <si>
    <t xml:space="preserve">कार्यालय परियोजना संचालक आत्‍मा </t>
  </si>
  <si>
    <t>किसान कल्‍याण तथा कृषि विकास जिला छिन्‍दवाडा (म.प्र.)</t>
  </si>
  <si>
    <t>नेशनल मिशन ऑन नेचुरल फार्मिंग (NMNF) अंतर्गत बायो रिसोर्स सेन्‍टर (BRC)  के प्राप्‍त आवेदनों के मूल्‍यांकन पश्‍चात अनुमोदन सूची जिला छिन्‍दवाड़ा</t>
  </si>
  <si>
    <t>क्र</t>
  </si>
  <si>
    <t>समूह/संस्‍था/ स्‍वयं/FPO</t>
  </si>
  <si>
    <t>मोबाइल नम्‍बर</t>
  </si>
  <si>
    <t xml:space="preserve">विकासखण्‍ड </t>
  </si>
  <si>
    <t>श्री शिवचरण देवमन चौरासिया</t>
  </si>
  <si>
    <t>स्‍वयं</t>
  </si>
  <si>
    <t>कुहिया</t>
  </si>
  <si>
    <t>छिन्‍दवाडा</t>
  </si>
  <si>
    <t>श्री सुरेश महादेव माहोरे</t>
  </si>
  <si>
    <t>रोहनाकला</t>
  </si>
  <si>
    <t>श्री राजेश तुलाराम मालवी</t>
  </si>
  <si>
    <t>भाजीपानी कला</t>
  </si>
  <si>
    <t>भवानी स्‍व सहायता समूह (अध्‍यक्ष अनीता धुर्वे)</t>
  </si>
  <si>
    <t>समूह</t>
  </si>
  <si>
    <t xml:space="preserve">केरिया </t>
  </si>
  <si>
    <t>चौरई</t>
  </si>
  <si>
    <t>श्री संतराम सुमरलाल चौरिया</t>
  </si>
  <si>
    <t>चोरबतरी</t>
  </si>
  <si>
    <t>राजा भोज फार्मर प्रोड्यूसर कम्‍पनी (विमला डिगरसे)</t>
  </si>
  <si>
    <t>संस्‍था</t>
  </si>
  <si>
    <t>छाबडी</t>
  </si>
  <si>
    <t>मोहखेड़</t>
  </si>
  <si>
    <t>श्री राजेश सहसू धारे</t>
  </si>
  <si>
    <t>स्‍वंय</t>
  </si>
  <si>
    <t>टेमनीखुर्द</t>
  </si>
  <si>
    <t>श्री आशाराम लक्‍सया घाघरे</t>
  </si>
  <si>
    <t>पालाखेड</t>
  </si>
  <si>
    <t>श्री उमेश अन्‍तराम डेहरिया</t>
  </si>
  <si>
    <t>सोनपुर</t>
  </si>
  <si>
    <t>अमरवाड़ा</t>
  </si>
  <si>
    <t>श्री जगतलाल सऊआ टेकाम</t>
  </si>
  <si>
    <t>बम्‍होरी</t>
  </si>
  <si>
    <t>श्री शारदा माई थावरीकला गौशाला (श्रीमति माया वर्मा)</t>
  </si>
  <si>
    <t>गौशाला</t>
  </si>
  <si>
    <t>थावरीकला</t>
  </si>
  <si>
    <t xml:space="preserve">श्री विजय कुमार ललता प्रसाद डेहरिया </t>
  </si>
  <si>
    <t>सगौनिया</t>
  </si>
  <si>
    <t>हर्रई</t>
  </si>
  <si>
    <t>श्री भूरा बड्डा कहार</t>
  </si>
  <si>
    <t>श्री पूरनलाल निरपत इनवाती</t>
  </si>
  <si>
    <t>भुमका</t>
  </si>
  <si>
    <t>श्री बलवीर केवल प्रसाद चन्‍द्रवंशी</t>
  </si>
  <si>
    <t>कुण्‍डालीखुर्द</t>
  </si>
  <si>
    <t>परासिया</t>
  </si>
  <si>
    <t>श्री सनत खेमचंद साहू</t>
  </si>
  <si>
    <t>बुड्डी</t>
  </si>
  <si>
    <t>श्री हरमेन्‍द्रसा पातालसा मरकाम</t>
  </si>
  <si>
    <t>धूसावानी</t>
  </si>
  <si>
    <t>तामिया</t>
  </si>
  <si>
    <t>श्री दूरकसा परसादी कवरेती</t>
  </si>
  <si>
    <t>खडूआ</t>
  </si>
  <si>
    <t>श्री रेवनशाह बंशीलाल उईके</t>
  </si>
  <si>
    <t>कोरपानी खूर्द</t>
  </si>
  <si>
    <t>जुन्‍नारदेव</t>
  </si>
  <si>
    <t>श्री रूसीलाल काशीराम धुर्वे</t>
  </si>
  <si>
    <t>भरदागढ</t>
  </si>
  <si>
    <t>श्री झुमरलाल बारेलाल कवरेती</t>
  </si>
  <si>
    <t>गुद्दम</t>
  </si>
  <si>
    <t>श्रीमति किर्ति नामदेव देशमुख</t>
  </si>
  <si>
    <t>आमटी</t>
  </si>
  <si>
    <t>बिछुआ</t>
  </si>
  <si>
    <t>जय भवानी स्‍व सहायता समूह (सावित्री इनवाती)</t>
  </si>
  <si>
    <t>कुण्‍डई</t>
  </si>
  <si>
    <t>श्रीमति लक्ष्‍मी महेश घाघरे</t>
  </si>
  <si>
    <t>झामटा</t>
  </si>
  <si>
    <t>श्री संदीप मनोहर घोडमारे</t>
  </si>
  <si>
    <t>सर्रा सावरी</t>
  </si>
  <si>
    <t>सौंसर</t>
  </si>
  <si>
    <t>श्री प्रविण दशरथ पाटील</t>
  </si>
  <si>
    <t>जोबनी</t>
  </si>
  <si>
    <t>श्री विजेश साहेबलाल भादे</t>
  </si>
  <si>
    <t>पिपलपानी</t>
  </si>
  <si>
    <t>पांढुर्णा</t>
  </si>
  <si>
    <t>श्री पंकज विश्‍वनाथ पाटील</t>
  </si>
  <si>
    <t>उमरीखूर्द</t>
  </si>
  <si>
    <t>Details of Clusters under NMNF till 15 January  2026</t>
  </si>
  <si>
    <t>State/Uts</t>
  </si>
  <si>
    <t xml:space="preserve">District </t>
  </si>
  <si>
    <t>Block</t>
  </si>
  <si>
    <t xml:space="preserve">Sr. No </t>
  </si>
  <si>
    <t xml:space="preserve">Name of Cluster </t>
  </si>
  <si>
    <t>Total no of Gram Panchyat per Cluster</t>
  </si>
  <si>
    <t>No. of farmers per Cluster</t>
  </si>
  <si>
    <t>Total Area covered under NF
(in acres) per Cluster</t>
  </si>
  <si>
    <t xml:space="preserve">Details of CRP/Krishi Sakhi </t>
  </si>
  <si>
    <t>Category of CRP/Krishi Sakhi</t>
  </si>
  <si>
    <t>Male</t>
  </si>
  <si>
    <t>Female</t>
  </si>
  <si>
    <t>Name of CRP (Krishi Sakhi) per Cluster</t>
  </si>
  <si>
    <t>Contact Number</t>
  </si>
  <si>
    <t>Aadhar Number</t>
  </si>
  <si>
    <t>Gen</t>
  </si>
  <si>
    <t>OBC</t>
  </si>
  <si>
    <t>SC</t>
  </si>
  <si>
    <t>ST</t>
  </si>
  <si>
    <t>Total</t>
  </si>
  <si>
    <t>MADHYA PRADESH</t>
  </si>
  <si>
    <t>CHHINDWARA</t>
  </si>
  <si>
    <t>SUSARAI SAILAYA</t>
  </si>
  <si>
    <t>SUSARAI, PINDRAI KALA, PULPULADOH</t>
  </si>
  <si>
    <t>SUMAN SAHU</t>
  </si>
  <si>
    <t>AARTI DEHRIYA</t>
  </si>
  <si>
    <t>BHAJIPANI</t>
  </si>
  <si>
    <t>BHAJIPANI, KUHIYA</t>
  </si>
  <si>
    <t>VIRESH KUMARI JAMHORE</t>
  </si>
  <si>
    <t xml:space="preserve">MEENA CHOUDHARI </t>
  </si>
  <si>
    <t>CHARGANV JAITPUR</t>
  </si>
  <si>
    <t>CHARGANV, MADANPUR</t>
  </si>
  <si>
    <t>DROPATI BUNKAR</t>
  </si>
  <si>
    <t>LAXMI CHOURE</t>
  </si>
  <si>
    <t>ROHNAKALA BHAISADAND</t>
  </si>
  <si>
    <t>ROHNAKALA, BHAISADAND, THUNIYAUDNA</t>
  </si>
  <si>
    <t>POOJA MAHORE</t>
  </si>
  <si>
    <t xml:space="preserve">KIRAN DEHRIYA </t>
  </si>
  <si>
    <t>CHOURAI</t>
  </si>
  <si>
    <t>SAMARASWADA</t>
  </si>
  <si>
    <t>SAMASWADA, GHODAWADI</t>
  </si>
  <si>
    <t>VIMLA JAWRE</t>
  </si>
  <si>
    <t>KEKAI JAWRE</t>
  </si>
  <si>
    <t>GUMGAON</t>
  </si>
  <si>
    <t>GUMGAON, DAWAJHIR</t>
  </si>
  <si>
    <t>CHHAYA DARJI</t>
  </si>
  <si>
    <t>YASHODA VERMA</t>
  </si>
  <si>
    <t>NAVEGAON</t>
  </si>
  <si>
    <t>NAVEGAON GOND, CHIKHLI KHURD, NISHAN JANOJI</t>
  </si>
  <si>
    <t>PRIYANKA CHOURIYA</t>
  </si>
  <si>
    <t>KRISHNAKUMARI VERMA</t>
  </si>
  <si>
    <t>BAKANAGANPUR</t>
  </si>
  <si>
    <t>BAKANAGANPUR, KERIYA</t>
  </si>
  <si>
    <t>SHIVANI TEKAM</t>
  </si>
  <si>
    <t>PARVIN MANSOORI</t>
  </si>
  <si>
    <t>MOHKHED</t>
  </si>
  <si>
    <t>PALAKHED AMBAMALI</t>
  </si>
  <si>
    <t>PALAKHED, AMBAMALI</t>
  </si>
  <si>
    <t>ROSHNI NAYAK</t>
  </si>
  <si>
    <t>CHHAYA GADRE</t>
  </si>
  <si>
    <t>RAJADA BADNUR</t>
  </si>
  <si>
    <t>RAJDA, BADNUR</t>
  </si>
  <si>
    <t>ANURADHA GADRE</t>
  </si>
  <si>
    <t>BHARTI CHOUDHARI</t>
  </si>
  <si>
    <t>RAJEGAON CHARGANV</t>
  </si>
  <si>
    <t>RAJEGAON, CHARGANV KARBAL, KAMTHI</t>
  </si>
  <si>
    <t>PRIYANKA SONI</t>
  </si>
  <si>
    <t>LALITA KADVE</t>
  </si>
  <si>
    <t>GADMAU MAU</t>
  </si>
  <si>
    <t>MAU, GADHMAU, IKALBIHARI</t>
  </si>
  <si>
    <t xml:space="preserve">SANDHYA BAGHEL </t>
  </si>
  <si>
    <t>BABY DONGRE</t>
  </si>
  <si>
    <t>AMARWARA</t>
  </si>
  <si>
    <t>KONDRA</t>
  </si>
  <si>
    <t>SEJA, KONDARA, DULARA</t>
  </si>
  <si>
    <t>SITA BAI VERMA</t>
  </si>
  <si>
    <t>ANITA VERMA</t>
  </si>
  <si>
    <t>SONPUR</t>
  </si>
  <si>
    <t>NANDKUMARI DEHARIYA</t>
  </si>
  <si>
    <t xml:space="preserve">AASMA TABBSUM </t>
  </si>
  <si>
    <t>RAPHA</t>
  </si>
  <si>
    <t>GHOGHRI, MEHLON, SARASDOL</t>
  </si>
  <si>
    <t xml:space="preserve">ANITA SALLAM </t>
  </si>
  <si>
    <t>INDRA DEHARIYA</t>
  </si>
  <si>
    <t>GADARWADA</t>
  </si>
  <si>
    <t>MOHLIBHARAT, GADARWADA, JUNGAWANI</t>
  </si>
  <si>
    <t>JANKI TEKAM</t>
  </si>
  <si>
    <t>SANDHYA DEHARIYA</t>
  </si>
  <si>
    <t>HARRAI</t>
  </si>
  <si>
    <t>KODHIYA THARWA</t>
  </si>
  <si>
    <t>KOTHIYA, CHURISAAJWA, THARBA</t>
  </si>
  <si>
    <t>PINKI UIKEY</t>
  </si>
  <si>
    <t>SUMARWATI SALLAM</t>
  </si>
  <si>
    <t>SAGONIA</t>
  </si>
  <si>
    <t>SAGONIA, JHIRNA, DHANORA</t>
  </si>
  <si>
    <t>RAMDHARA DEHARIYA</t>
  </si>
  <si>
    <t>MAMTA BELWANSHI</t>
  </si>
  <si>
    <t>SURLA</t>
  </si>
  <si>
    <t>KHAPA, SURLA, JAMUNIYA</t>
  </si>
  <si>
    <t xml:space="preserve">LALITA AHARWAR </t>
  </si>
  <si>
    <t>KAMARJHAN KHAN</t>
  </si>
  <si>
    <t>BUDHAINA</t>
  </si>
  <si>
    <t>HADAI, BUDHAINACHATTI, RAIARAO</t>
  </si>
  <si>
    <t>SUNANIA DEHARIYA</t>
  </si>
  <si>
    <t xml:space="preserve">SEVANTI BHALAVI </t>
  </si>
  <si>
    <t>PARASIA</t>
  </si>
  <si>
    <t>DAMUA</t>
  </si>
  <si>
    <t>KOHKA, DAMUA</t>
  </si>
  <si>
    <t>SARITA PARTETI</t>
  </si>
  <si>
    <t>RACHNA KARPE</t>
  </si>
  <si>
    <t>TURSI</t>
  </si>
  <si>
    <t>SEMARTAL, DUNGARIYA</t>
  </si>
  <si>
    <t xml:space="preserve">LAXMI BARKADE </t>
  </si>
  <si>
    <t>DEEPIKA INWATI</t>
  </si>
  <si>
    <t>JAMUNIYA JETHU</t>
  </si>
  <si>
    <t>MANIYAKAPA, JAMUNIYAJETHU, PATHA</t>
  </si>
  <si>
    <t>LAXMI KUMRE</t>
  </si>
  <si>
    <t>SUJATA DEHARIYA</t>
  </si>
  <si>
    <t>TUMDI</t>
  </si>
  <si>
    <t>JHURREMAL, TUMDI, URDHAN</t>
  </si>
  <si>
    <t>SANITA NAGWANSHI</t>
  </si>
  <si>
    <t>SUNITA TUMRAM</t>
  </si>
  <si>
    <t>TAMIA</t>
  </si>
  <si>
    <t>JAITPUR</t>
  </si>
  <si>
    <t>JAITPUR, SINGHAULI</t>
  </si>
  <si>
    <t>ANITA KUMRE</t>
  </si>
  <si>
    <t xml:space="preserve">SAVITA UIKEY </t>
  </si>
  <si>
    <t>ITAWA</t>
  </si>
  <si>
    <t>ITAWA, GHUSAWANI</t>
  </si>
  <si>
    <t>SAROJ MARKAM</t>
  </si>
  <si>
    <t>SHUDHA DHURVE</t>
  </si>
  <si>
    <t>DHAGARIYA</t>
  </si>
  <si>
    <t>DHAGADIYA, MUTTOUR</t>
  </si>
  <si>
    <t>SANGITA SARYAM</t>
  </si>
  <si>
    <t>RADHA IVNATI</t>
  </si>
  <si>
    <t>JOGIMUAR</t>
  </si>
  <si>
    <t>JOGIMUAR, LINGA</t>
  </si>
  <si>
    <t>NAMITA SARYAM</t>
  </si>
  <si>
    <t>SUNITA BHARTI</t>
  </si>
  <si>
    <t>JUNNARDEO</t>
  </si>
  <si>
    <t>KORPANI KHURD</t>
  </si>
  <si>
    <t>KORPANI KHURD, ANKIYA</t>
  </si>
  <si>
    <t>NIRMALA IVNATI</t>
  </si>
  <si>
    <t>JAIWANTI MEHALVANSHI</t>
  </si>
  <si>
    <t>BHAKHRA</t>
  </si>
  <si>
    <t>BHARDI, BHAKRA</t>
  </si>
  <si>
    <t>RESHMA LOBO</t>
  </si>
  <si>
    <t>SARASWATI VARKADE</t>
  </si>
  <si>
    <t>PINDRAI KALA</t>
  </si>
  <si>
    <t>DUNGARIYA BHARDAGARH, PINDRAI KALA</t>
  </si>
  <si>
    <t>SHANTI SHEELU</t>
  </si>
  <si>
    <t>BABITA DHURVE</t>
  </si>
  <si>
    <t>GUDDAM</t>
  </si>
  <si>
    <t>GUDDAM, KHAMRAKALA, KARANPIPARIYA</t>
  </si>
  <si>
    <t>AARTI UIKEY</t>
  </si>
  <si>
    <t>SASHIKALA KAVRETI</t>
  </si>
  <si>
    <t>SAUSAR</t>
  </si>
  <si>
    <t>RANGARI AMBADI</t>
  </si>
  <si>
    <t>RANGARI, AMBADI, BAIRAGARH</t>
  </si>
  <si>
    <t>PUSHPA BHADRE</t>
  </si>
  <si>
    <t>SADHANA BALKI</t>
  </si>
  <si>
    <t xml:space="preserve">JOBNI KHAPA </t>
  </si>
  <si>
    <t>KHAPA, JOBNI</t>
  </si>
  <si>
    <t>MITA DHURVE</t>
  </si>
  <si>
    <t>RAMREKHA PATIL</t>
  </si>
  <si>
    <t xml:space="preserve">DHOKDOH </t>
  </si>
  <si>
    <t>DHOKDOH, SAIKHEDA, MEHRAKHAPA</t>
  </si>
  <si>
    <t>ASHWINI GAJBHIYE</t>
  </si>
  <si>
    <t>SEEMA KAVDETI</t>
  </si>
  <si>
    <t>PANDHURNA</t>
  </si>
  <si>
    <t>PIPALPANI</t>
  </si>
  <si>
    <t xml:space="preserve"> PIPALPANI, CHATWA, TIGAON</t>
  </si>
  <si>
    <t>PRAMITA NAGVANSHI</t>
  </si>
  <si>
    <t>RAMPYARI KUMRE</t>
  </si>
  <si>
    <t xml:space="preserve">GORLIKHAPA </t>
  </si>
  <si>
    <t>GORLIKHAPA, CHICHKHEDA</t>
  </si>
  <si>
    <t>INDIRA NAVDETI</t>
  </si>
  <si>
    <t>UMA DANGE</t>
  </si>
  <si>
    <t xml:space="preserve">MARKAWADA </t>
  </si>
  <si>
    <t>MARKAWADA, LENDHORI, JUNEWANI</t>
  </si>
  <si>
    <t>MONALI DESHMUKH</t>
  </si>
  <si>
    <t>ASHA KHANWANSHI</t>
  </si>
  <si>
    <t>BICHHUA</t>
  </si>
  <si>
    <t xml:space="preserve">JHAMTA </t>
  </si>
  <si>
    <t>AAMAKUHI, PANATHAWARI MALL, JHAMTA</t>
  </si>
  <si>
    <t>LAXMIBAI GHAGRE</t>
  </si>
  <si>
    <t>RANU PARTETI</t>
  </si>
  <si>
    <t xml:space="preserve">CHANDRIKAPUR </t>
  </si>
  <si>
    <t>CHANDRIKAPUR, DHANEGAON</t>
  </si>
  <si>
    <t>SANGITA UIKEY</t>
  </si>
  <si>
    <t>URMILA SUKHDEVE</t>
  </si>
  <si>
    <t xml:space="preserve">THUYEPANI </t>
  </si>
  <si>
    <t>DEORI, THUYEPANI, KUNDAI</t>
  </si>
  <si>
    <t>MEENA PATHE</t>
  </si>
  <si>
    <t>SUMAN KAWDE</t>
  </si>
  <si>
    <t xml:space="preserve">SONPUR </t>
  </si>
  <si>
    <t>SONPUR, MUGNAPAR</t>
  </si>
  <si>
    <t>VANDANA CHOUDHARI</t>
  </si>
  <si>
    <t>SARASVATI SARATHE</t>
  </si>
  <si>
    <t>BRC</t>
  </si>
  <si>
    <t>Yojna</t>
  </si>
  <si>
    <t xml:space="preserve">नेशनल मिशन ऑन नेचुरल फार्मिंग (NMNF) </t>
  </si>
  <si>
    <t>Other</t>
  </si>
  <si>
    <t xml:space="preserve">cluster choose option should be multiple </t>
  </si>
  <si>
    <r>
      <rPr>
        <b/>
        <sz val="12"/>
        <color theme="1"/>
        <rFont val="Calibri"/>
        <family val="2"/>
        <scheme val="minor"/>
      </rPr>
      <t>Lead Farmer/ Organization</t>
    </r>
    <r>
      <rPr>
        <b/>
        <sz val="11"/>
        <color theme="1"/>
        <rFont val="Calibri"/>
        <family val="2"/>
        <scheme val="minor"/>
      </rPr>
      <t xml:space="preserve"> का नाम</t>
    </r>
  </si>
  <si>
    <r>
      <t>3.) 'Lead Farmer/ Organization का नाम' in place of 'किसान का नाम' </t>
    </r>
    <r>
      <rPr>
        <b/>
        <sz val="10"/>
        <color rgb="FFFF0000"/>
        <rFont val="Arial"/>
        <family val="2"/>
      </rPr>
      <t>*</t>
    </r>
  </si>
  <si>
    <r>
      <t>4.) 'BRC name' in place of 'पिता का नाम' </t>
    </r>
    <r>
      <rPr>
        <sz val="6"/>
        <color rgb="FFFF0000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</si>
</sst>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rgb="FF000000"/>
      <name val="Mangal"/>
      <family val="1"/>
    </font>
    <font>
      <sz val="6"/>
      <color rgb="FFFF0000"/>
      <name val="Arial"/>
      <family val="2"/>
    </font>
    <font>
      <b/>
      <sz val="10"/>
      <color rgb="FF212529"/>
      <name val="Arial"/>
      <family val="2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 readingOrder="1"/>
    </xf>
    <xf numFmtId="1" fontId="10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1" fillId="2" borderId="1" xfId="0" applyFont="1" applyFill="1" applyBorder="1" applyAlignment="1">
      <alignment horizontal="center" vertical="center" wrapText="1" readingOrder="1"/>
    </xf>
    <xf numFmtId="0" fontId="0" fillId="2" borderId="3" xfId="0" applyFill="1" applyBorder="1" applyAlignment="1">
      <alignment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6" borderId="0" xfId="0" applyFill="1"/>
    <xf numFmtId="0" fontId="7" fillId="2" borderId="3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/>
    </xf>
    <xf numFmtId="0" fontId="0" fillId="8" borderId="0" xfId="0" applyFill="1"/>
    <xf numFmtId="0" fontId="13" fillId="8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4096-9355-42DC-9170-7005564B1E89}">
  <dimension ref="A1:I93"/>
  <sheetViews>
    <sheetView tabSelected="1" workbookViewId="0">
      <selection activeCell="E12" sqref="E12"/>
    </sheetView>
  </sheetViews>
  <sheetFormatPr defaultColWidth="9.265625" defaultRowHeight="14.25" x14ac:dyDescent="0.45"/>
  <cols>
    <col min="1" max="1" width="3" bestFit="1" customWidth="1"/>
    <col min="2" max="2" width="45.59765625" bestFit="1" customWidth="1"/>
    <col min="4" max="4" width="34.46484375" bestFit="1" customWidth="1"/>
    <col min="5" max="5" width="13.86328125" bestFit="1" customWidth="1"/>
    <col min="6" max="6" width="13.73046875" bestFit="1" customWidth="1"/>
    <col min="7" max="7" width="12.86328125" bestFit="1" customWidth="1"/>
    <col min="8" max="8" width="24.33203125" bestFit="1" customWidth="1"/>
    <col min="9" max="9" width="57.265625" bestFit="1" customWidth="1"/>
  </cols>
  <sheetData>
    <row r="1" spans="1:9" ht="23.25" x14ac:dyDescent="0.45">
      <c r="A1" s="50" t="s">
        <v>0</v>
      </c>
      <c r="B1" s="50"/>
      <c r="C1" s="50"/>
      <c r="D1" s="50"/>
      <c r="E1" s="50"/>
      <c r="F1" s="50"/>
      <c r="G1" s="50"/>
    </row>
    <row r="2" spans="1:9" ht="23.25" x14ac:dyDescent="0.45">
      <c r="A2" s="50" t="s">
        <v>1</v>
      </c>
      <c r="B2" s="50"/>
      <c r="C2" s="50"/>
      <c r="D2" s="50"/>
      <c r="E2" s="50"/>
      <c r="F2" s="50"/>
      <c r="G2" s="50"/>
    </row>
    <row r="3" spans="1:9" x14ac:dyDescent="0.45">
      <c r="A3" s="1"/>
      <c r="B3" s="2"/>
      <c r="C3" s="3"/>
      <c r="D3" s="3"/>
      <c r="E3" s="3"/>
      <c r="F3" s="3"/>
      <c r="G3" s="3"/>
    </row>
    <row r="4" spans="1:9" ht="21" x14ac:dyDescent="0.45">
      <c r="A4" s="51" t="s">
        <v>2</v>
      </c>
      <c r="B4" s="51"/>
      <c r="C4" s="51"/>
      <c r="D4" s="51"/>
      <c r="E4" s="51"/>
      <c r="F4" s="51"/>
      <c r="G4" s="51"/>
    </row>
    <row r="5" spans="1:9" x14ac:dyDescent="0.45">
      <c r="A5" s="1"/>
      <c r="B5" s="2"/>
      <c r="C5" s="3"/>
      <c r="D5" s="3"/>
      <c r="E5" s="3"/>
      <c r="F5" s="3"/>
      <c r="G5" s="3"/>
    </row>
    <row r="6" spans="1:9" ht="42.75" x14ac:dyDescent="0.45">
      <c r="A6" s="4" t="s">
        <v>3</v>
      </c>
      <c r="B6" s="5" t="s">
        <v>283</v>
      </c>
      <c r="C6" s="6" t="s">
        <v>4</v>
      </c>
      <c r="D6" s="6" t="s">
        <v>279</v>
      </c>
      <c r="E6" s="4" t="s">
        <v>5</v>
      </c>
      <c r="F6" s="4" t="s">
        <v>278</v>
      </c>
      <c r="G6" s="4" t="s">
        <v>6</v>
      </c>
      <c r="H6" s="48" t="s">
        <v>83</v>
      </c>
      <c r="I6" s="52" t="s">
        <v>282</v>
      </c>
    </row>
    <row r="7" spans="1:9" ht="24.95" customHeight="1" x14ac:dyDescent="0.45">
      <c r="A7" s="7">
        <v>1</v>
      </c>
      <c r="B7" s="8" t="s">
        <v>7</v>
      </c>
      <c r="C7" s="7" t="s">
        <v>8</v>
      </c>
      <c r="D7" s="7" t="s">
        <v>280</v>
      </c>
      <c r="E7" s="7">
        <v>9340023126</v>
      </c>
      <c r="F7" s="7" t="s">
        <v>9</v>
      </c>
      <c r="G7" s="9" t="s">
        <v>10</v>
      </c>
      <c r="H7" s="48"/>
      <c r="I7" s="54" t="s">
        <v>284</v>
      </c>
    </row>
    <row r="8" spans="1:9" ht="24.95" customHeight="1" x14ac:dyDescent="0.45">
      <c r="A8" s="7">
        <v>2</v>
      </c>
      <c r="B8" s="8" t="s">
        <v>11</v>
      </c>
      <c r="C8" s="7" t="s">
        <v>8</v>
      </c>
      <c r="D8" s="7" t="s">
        <v>280</v>
      </c>
      <c r="E8" s="7">
        <v>6263888147</v>
      </c>
      <c r="F8" s="7" t="s">
        <v>12</v>
      </c>
      <c r="G8" s="9" t="s">
        <v>10</v>
      </c>
      <c r="H8" s="48"/>
      <c r="I8" s="53"/>
    </row>
    <row r="9" spans="1:9" ht="24.95" customHeight="1" x14ac:dyDescent="0.45">
      <c r="A9" s="7">
        <v>3</v>
      </c>
      <c r="B9" s="8" t="s">
        <v>13</v>
      </c>
      <c r="C9" s="7" t="s">
        <v>8</v>
      </c>
      <c r="D9" s="7" t="s">
        <v>280</v>
      </c>
      <c r="E9" s="7">
        <v>9685166053</v>
      </c>
      <c r="F9" s="7" t="s">
        <v>14</v>
      </c>
      <c r="G9" s="9" t="s">
        <v>10</v>
      </c>
      <c r="H9" s="17" t="s">
        <v>281</v>
      </c>
      <c r="I9" s="54" t="s">
        <v>285</v>
      </c>
    </row>
    <row r="10" spans="1:9" ht="24.95" customHeight="1" x14ac:dyDescent="0.45">
      <c r="A10" s="7">
        <v>4</v>
      </c>
      <c r="B10" s="8" t="s">
        <v>15</v>
      </c>
      <c r="C10" s="7" t="s">
        <v>16</v>
      </c>
      <c r="D10" s="7" t="s">
        <v>280</v>
      </c>
      <c r="E10" s="7">
        <v>8267694412</v>
      </c>
      <c r="F10" s="7" t="s">
        <v>17</v>
      </c>
      <c r="G10" s="9" t="s">
        <v>18</v>
      </c>
      <c r="H10" s="39" t="s">
        <v>101</v>
      </c>
      <c r="I10" s="53"/>
    </row>
    <row r="11" spans="1:9" ht="24.95" customHeight="1" x14ac:dyDescent="0.45">
      <c r="A11" s="7">
        <v>5</v>
      </c>
      <c r="B11" s="8" t="s">
        <v>19</v>
      </c>
      <c r="C11" s="7" t="s">
        <v>8</v>
      </c>
      <c r="D11" s="7" t="s">
        <v>280</v>
      </c>
      <c r="E11" s="7">
        <v>9691086509</v>
      </c>
      <c r="F11" s="7" t="s">
        <v>20</v>
      </c>
      <c r="G11" s="9" t="s">
        <v>18</v>
      </c>
      <c r="H11" s="39"/>
      <c r="I11" s="53"/>
    </row>
    <row r="12" spans="1:9" ht="24.95" customHeight="1" x14ac:dyDescent="0.45">
      <c r="A12" s="7">
        <v>6</v>
      </c>
      <c r="B12" s="8" t="s">
        <v>21</v>
      </c>
      <c r="C12" s="7" t="s">
        <v>22</v>
      </c>
      <c r="D12" s="7" t="s">
        <v>280</v>
      </c>
      <c r="E12" s="7">
        <v>7489606445</v>
      </c>
      <c r="F12" s="7" t="s">
        <v>23</v>
      </c>
      <c r="G12" s="9" t="s">
        <v>24</v>
      </c>
      <c r="H12" s="39" t="s">
        <v>105</v>
      </c>
    </row>
    <row r="13" spans="1:9" ht="24.95" customHeight="1" x14ac:dyDescent="0.45">
      <c r="A13" s="7">
        <v>7</v>
      </c>
      <c r="B13" s="8" t="s">
        <v>25</v>
      </c>
      <c r="C13" s="7" t="s">
        <v>26</v>
      </c>
      <c r="D13" s="7" t="s">
        <v>280</v>
      </c>
      <c r="E13" s="7">
        <v>9644635895</v>
      </c>
      <c r="F13" s="7" t="s">
        <v>27</v>
      </c>
      <c r="G13" s="9" t="s">
        <v>24</v>
      </c>
      <c r="H13" s="39"/>
    </row>
    <row r="14" spans="1:9" ht="24.95" customHeight="1" x14ac:dyDescent="0.45">
      <c r="A14" s="7">
        <v>8</v>
      </c>
      <c r="B14" s="8" t="s">
        <v>28</v>
      </c>
      <c r="C14" s="7" t="s">
        <v>26</v>
      </c>
      <c r="D14" s="7" t="s">
        <v>280</v>
      </c>
      <c r="E14" s="7">
        <v>7693003875</v>
      </c>
      <c r="F14" s="7" t="s">
        <v>29</v>
      </c>
      <c r="G14" s="9" t="s">
        <v>24</v>
      </c>
      <c r="H14" s="39" t="s">
        <v>109</v>
      </c>
    </row>
    <row r="15" spans="1:9" ht="24.95" customHeight="1" x14ac:dyDescent="0.45">
      <c r="A15" s="7">
        <v>9</v>
      </c>
      <c r="B15" s="8" t="s">
        <v>30</v>
      </c>
      <c r="C15" s="7" t="s">
        <v>26</v>
      </c>
      <c r="D15" s="7" t="s">
        <v>280</v>
      </c>
      <c r="E15" s="7">
        <v>6261088118</v>
      </c>
      <c r="F15" s="7" t="s">
        <v>31</v>
      </c>
      <c r="G15" s="9" t="s">
        <v>32</v>
      </c>
      <c r="H15" s="39"/>
    </row>
    <row r="16" spans="1:9" ht="24.95" customHeight="1" x14ac:dyDescent="0.45">
      <c r="A16" s="7">
        <v>10</v>
      </c>
      <c r="B16" s="8" t="s">
        <v>33</v>
      </c>
      <c r="C16" s="7" t="s">
        <v>8</v>
      </c>
      <c r="D16" s="7" t="s">
        <v>280</v>
      </c>
      <c r="E16" s="7">
        <v>9399572640</v>
      </c>
      <c r="F16" s="7" t="s">
        <v>34</v>
      </c>
      <c r="G16" s="9" t="s">
        <v>32</v>
      </c>
      <c r="H16" s="39" t="s">
        <v>113</v>
      </c>
    </row>
    <row r="17" spans="1:8" ht="24.95" customHeight="1" x14ac:dyDescent="0.45">
      <c r="A17" s="7">
        <v>11</v>
      </c>
      <c r="B17" s="8" t="s">
        <v>35</v>
      </c>
      <c r="C17" s="7" t="s">
        <v>36</v>
      </c>
      <c r="D17" s="7" t="s">
        <v>280</v>
      </c>
      <c r="E17" s="7">
        <v>6261715294</v>
      </c>
      <c r="F17" s="7" t="s">
        <v>37</v>
      </c>
      <c r="G17" s="9" t="s">
        <v>32</v>
      </c>
      <c r="H17" s="39"/>
    </row>
    <row r="18" spans="1:8" ht="24.95" customHeight="1" x14ac:dyDescent="0.45">
      <c r="A18" s="7">
        <v>12</v>
      </c>
      <c r="B18" s="8" t="s">
        <v>38</v>
      </c>
      <c r="C18" s="7" t="s">
        <v>8</v>
      </c>
      <c r="D18" s="7" t="s">
        <v>280</v>
      </c>
      <c r="E18" s="7">
        <v>7489424292</v>
      </c>
      <c r="F18" s="7" t="s">
        <v>39</v>
      </c>
      <c r="G18" s="9" t="s">
        <v>40</v>
      </c>
      <c r="H18" s="39" t="s">
        <v>118</v>
      </c>
    </row>
    <row r="19" spans="1:8" ht="24.95" customHeight="1" x14ac:dyDescent="0.45">
      <c r="A19" s="7">
        <v>13</v>
      </c>
      <c r="B19" s="8" t="s">
        <v>41</v>
      </c>
      <c r="C19" s="7" t="s">
        <v>8</v>
      </c>
      <c r="D19" s="7" t="s">
        <v>280</v>
      </c>
      <c r="E19" s="7">
        <v>7354538408</v>
      </c>
      <c r="F19" s="7" t="s">
        <v>31</v>
      </c>
      <c r="G19" s="9" t="s">
        <v>40</v>
      </c>
      <c r="H19" s="39"/>
    </row>
    <row r="20" spans="1:8" ht="24.95" customHeight="1" x14ac:dyDescent="0.45">
      <c r="A20" s="7">
        <v>14</v>
      </c>
      <c r="B20" s="8" t="s">
        <v>42</v>
      </c>
      <c r="C20" s="7" t="s">
        <v>8</v>
      </c>
      <c r="D20" s="7" t="s">
        <v>280</v>
      </c>
      <c r="E20" s="7">
        <v>7828768328</v>
      </c>
      <c r="F20" s="7" t="s">
        <v>43</v>
      </c>
      <c r="G20" s="9" t="s">
        <v>40</v>
      </c>
      <c r="H20" s="39" t="s">
        <v>122</v>
      </c>
    </row>
    <row r="21" spans="1:8" ht="24.95" customHeight="1" x14ac:dyDescent="0.45">
      <c r="A21" s="7">
        <v>15</v>
      </c>
      <c r="B21" s="8" t="s">
        <v>44</v>
      </c>
      <c r="C21" s="7" t="s">
        <v>8</v>
      </c>
      <c r="D21" s="7" t="s">
        <v>280</v>
      </c>
      <c r="E21" s="7">
        <v>8269003441</v>
      </c>
      <c r="F21" s="7" t="s">
        <v>45</v>
      </c>
      <c r="G21" s="9" t="s">
        <v>46</v>
      </c>
      <c r="H21" s="39"/>
    </row>
    <row r="22" spans="1:8" ht="24.95" customHeight="1" x14ac:dyDescent="0.45">
      <c r="A22" s="7">
        <v>16</v>
      </c>
      <c r="B22" s="8" t="s">
        <v>47</v>
      </c>
      <c r="C22" s="7" t="s">
        <v>8</v>
      </c>
      <c r="D22" s="7" t="s">
        <v>280</v>
      </c>
      <c r="E22" s="7">
        <v>9617792034</v>
      </c>
      <c r="F22" s="7" t="s">
        <v>48</v>
      </c>
      <c r="G22" s="9" t="s">
        <v>46</v>
      </c>
      <c r="H22" s="39" t="s">
        <v>126</v>
      </c>
    </row>
    <row r="23" spans="1:8" ht="24.95" customHeight="1" x14ac:dyDescent="0.45">
      <c r="A23" s="7">
        <v>17</v>
      </c>
      <c r="B23" s="8" t="s">
        <v>49</v>
      </c>
      <c r="C23" s="7" t="s">
        <v>8</v>
      </c>
      <c r="D23" s="7" t="s">
        <v>280</v>
      </c>
      <c r="E23" s="7">
        <v>9424442801</v>
      </c>
      <c r="F23" s="7" t="s">
        <v>50</v>
      </c>
      <c r="G23" s="9" t="s">
        <v>51</v>
      </c>
      <c r="H23" s="39"/>
    </row>
    <row r="24" spans="1:8" ht="24.95" customHeight="1" x14ac:dyDescent="0.45">
      <c r="A24" s="7">
        <v>18</v>
      </c>
      <c r="B24" s="8" t="s">
        <v>52</v>
      </c>
      <c r="C24" s="7" t="s">
        <v>8</v>
      </c>
      <c r="D24" s="7" t="s">
        <v>280</v>
      </c>
      <c r="E24" s="7">
        <v>6260038152</v>
      </c>
      <c r="F24" s="7" t="s">
        <v>53</v>
      </c>
      <c r="G24" s="9" t="s">
        <v>51</v>
      </c>
      <c r="H24" s="39" t="s">
        <v>130</v>
      </c>
    </row>
    <row r="25" spans="1:8" ht="24.95" customHeight="1" x14ac:dyDescent="0.45">
      <c r="A25" s="7">
        <v>19</v>
      </c>
      <c r="B25" s="8" t="s">
        <v>54</v>
      </c>
      <c r="C25" s="7" t="s">
        <v>8</v>
      </c>
      <c r="D25" s="7" t="s">
        <v>280</v>
      </c>
      <c r="E25" s="7">
        <v>9754563607</v>
      </c>
      <c r="F25" s="7" t="s">
        <v>55</v>
      </c>
      <c r="G25" s="9" t="s">
        <v>56</v>
      </c>
      <c r="H25" s="39"/>
    </row>
    <row r="26" spans="1:8" ht="24.95" customHeight="1" x14ac:dyDescent="0.45">
      <c r="A26" s="7">
        <v>20</v>
      </c>
      <c r="B26" s="8" t="s">
        <v>57</v>
      </c>
      <c r="C26" s="7" t="s">
        <v>8</v>
      </c>
      <c r="D26" s="7" t="s">
        <v>280</v>
      </c>
      <c r="E26" s="7">
        <v>9691831140</v>
      </c>
      <c r="F26" s="7" t="s">
        <v>58</v>
      </c>
      <c r="G26" s="9" t="s">
        <v>56</v>
      </c>
      <c r="H26" s="39" t="s">
        <v>135</v>
      </c>
    </row>
    <row r="27" spans="1:8" ht="24.95" customHeight="1" x14ac:dyDescent="0.45">
      <c r="A27" s="7">
        <v>21</v>
      </c>
      <c r="B27" s="8" t="s">
        <v>59</v>
      </c>
      <c r="C27" s="7" t="s">
        <v>8</v>
      </c>
      <c r="D27" s="7" t="s">
        <v>280</v>
      </c>
      <c r="E27" s="7">
        <v>9754892944</v>
      </c>
      <c r="F27" s="7" t="s">
        <v>60</v>
      </c>
      <c r="G27" s="7" t="s">
        <v>56</v>
      </c>
      <c r="H27" s="39"/>
    </row>
    <row r="28" spans="1:8" ht="24.95" customHeight="1" x14ac:dyDescent="0.45">
      <c r="A28" s="7">
        <v>22</v>
      </c>
      <c r="B28" s="8" t="s">
        <v>61</v>
      </c>
      <c r="C28" s="7" t="s">
        <v>8</v>
      </c>
      <c r="D28" s="7" t="s">
        <v>280</v>
      </c>
      <c r="E28" s="7">
        <v>9406785993</v>
      </c>
      <c r="F28" s="7" t="s">
        <v>62</v>
      </c>
      <c r="G28" s="7" t="s">
        <v>63</v>
      </c>
      <c r="H28" s="39" t="s">
        <v>139</v>
      </c>
    </row>
    <row r="29" spans="1:8" ht="24.95" customHeight="1" x14ac:dyDescent="0.45">
      <c r="A29" s="7">
        <v>23</v>
      </c>
      <c r="B29" s="8" t="s">
        <v>64</v>
      </c>
      <c r="C29" s="7" t="s">
        <v>16</v>
      </c>
      <c r="D29" s="7" t="s">
        <v>280</v>
      </c>
      <c r="E29" s="7">
        <v>6268993444</v>
      </c>
      <c r="F29" s="7" t="s">
        <v>65</v>
      </c>
      <c r="G29" s="7" t="s">
        <v>63</v>
      </c>
      <c r="H29" s="39"/>
    </row>
    <row r="30" spans="1:8" ht="24.95" customHeight="1" x14ac:dyDescent="0.45">
      <c r="A30" s="7">
        <v>24</v>
      </c>
      <c r="B30" s="8" t="s">
        <v>66</v>
      </c>
      <c r="C30" s="7" t="s">
        <v>8</v>
      </c>
      <c r="D30" s="7" t="s">
        <v>280</v>
      </c>
      <c r="E30" s="7">
        <v>6261307313</v>
      </c>
      <c r="F30" s="7" t="s">
        <v>67</v>
      </c>
      <c r="G30" s="7" t="s">
        <v>63</v>
      </c>
      <c r="H30" s="39" t="s">
        <v>143</v>
      </c>
    </row>
    <row r="31" spans="1:8" ht="24.95" customHeight="1" x14ac:dyDescent="0.45">
      <c r="A31" s="7">
        <v>25</v>
      </c>
      <c r="B31" s="10" t="s">
        <v>68</v>
      </c>
      <c r="C31" s="7" t="s">
        <v>8</v>
      </c>
      <c r="D31" s="7" t="s">
        <v>280</v>
      </c>
      <c r="E31" s="7">
        <v>9301007307</v>
      </c>
      <c r="F31" s="7" t="s">
        <v>69</v>
      </c>
      <c r="G31" s="7" t="s">
        <v>70</v>
      </c>
      <c r="H31" s="39"/>
    </row>
    <row r="32" spans="1:8" ht="24.95" customHeight="1" x14ac:dyDescent="0.45">
      <c r="A32" s="7">
        <v>26</v>
      </c>
      <c r="B32" s="10" t="s">
        <v>71</v>
      </c>
      <c r="C32" s="7" t="s">
        <v>8</v>
      </c>
      <c r="D32" s="7" t="s">
        <v>280</v>
      </c>
      <c r="E32" s="7">
        <v>7999376669</v>
      </c>
      <c r="F32" s="7" t="s">
        <v>72</v>
      </c>
      <c r="G32" s="7" t="s">
        <v>70</v>
      </c>
      <c r="H32" s="39" t="s">
        <v>147</v>
      </c>
    </row>
    <row r="33" spans="1:8" ht="24.95" customHeight="1" x14ac:dyDescent="0.45">
      <c r="A33" s="7">
        <v>27</v>
      </c>
      <c r="B33" s="10" t="s">
        <v>73</v>
      </c>
      <c r="C33" s="7" t="s">
        <v>8</v>
      </c>
      <c r="D33" s="7" t="s">
        <v>280</v>
      </c>
      <c r="E33" s="7">
        <v>7000656583</v>
      </c>
      <c r="F33" s="7" t="s">
        <v>74</v>
      </c>
      <c r="G33" s="7" t="s">
        <v>75</v>
      </c>
      <c r="H33" s="39"/>
    </row>
    <row r="34" spans="1:8" ht="24.95" customHeight="1" x14ac:dyDescent="0.45">
      <c r="A34" s="7">
        <v>28</v>
      </c>
      <c r="B34" s="10" t="s">
        <v>76</v>
      </c>
      <c r="C34" s="7" t="s">
        <v>8</v>
      </c>
      <c r="D34" s="7" t="s">
        <v>280</v>
      </c>
      <c r="E34" s="7">
        <v>8770273665</v>
      </c>
      <c r="F34" s="7" t="s">
        <v>77</v>
      </c>
      <c r="G34" s="7" t="s">
        <v>75</v>
      </c>
      <c r="H34" s="39" t="s">
        <v>152</v>
      </c>
    </row>
    <row r="35" spans="1:8" x14ac:dyDescent="0.45">
      <c r="A35" s="1"/>
      <c r="B35" s="2" t="s">
        <v>281</v>
      </c>
      <c r="C35" s="2" t="s">
        <v>281</v>
      </c>
      <c r="D35" s="2" t="s">
        <v>281</v>
      </c>
      <c r="E35" s="2" t="s">
        <v>281</v>
      </c>
      <c r="F35" s="2" t="s">
        <v>281</v>
      </c>
      <c r="G35" s="2" t="s">
        <v>281</v>
      </c>
      <c r="H35" s="39"/>
    </row>
    <row r="36" spans="1:8" x14ac:dyDescent="0.45">
      <c r="A36" s="1"/>
      <c r="B36" s="2"/>
      <c r="C36" s="11"/>
      <c r="D36" s="11"/>
      <c r="E36" s="11"/>
      <c r="F36" s="3"/>
      <c r="G36" s="12"/>
      <c r="H36" s="39" t="s">
        <v>156</v>
      </c>
    </row>
    <row r="37" spans="1:8" x14ac:dyDescent="0.45">
      <c r="A37" s="1"/>
      <c r="B37" s="2"/>
      <c r="C37" s="11"/>
      <c r="D37" s="11"/>
      <c r="E37" s="11"/>
      <c r="F37" s="3"/>
      <c r="G37" s="12"/>
      <c r="H37" s="39"/>
    </row>
    <row r="38" spans="1:8" x14ac:dyDescent="0.45">
      <c r="A38" s="3"/>
      <c r="B38" s="3"/>
      <c r="C38" s="3"/>
      <c r="D38" s="3"/>
      <c r="E38" s="49"/>
      <c r="F38" s="49"/>
      <c r="G38" s="3"/>
      <c r="H38" s="39" t="s">
        <v>159</v>
      </c>
    </row>
    <row r="39" spans="1:8" x14ac:dyDescent="0.45">
      <c r="A39" s="3"/>
      <c r="B39" s="3"/>
      <c r="C39" s="3"/>
      <c r="D39" s="3"/>
      <c r="E39" s="49"/>
      <c r="F39" s="49"/>
      <c r="G39" s="3"/>
      <c r="H39" s="39"/>
    </row>
    <row r="40" spans="1:8" x14ac:dyDescent="0.45">
      <c r="A40" s="3"/>
      <c r="B40" s="3"/>
      <c r="C40" s="3"/>
      <c r="D40" s="3"/>
      <c r="E40" s="49"/>
      <c r="F40" s="49"/>
      <c r="G40" s="3"/>
      <c r="H40" s="39" t="s">
        <v>163</v>
      </c>
    </row>
    <row r="41" spans="1:8" x14ac:dyDescent="0.45">
      <c r="H41" s="39"/>
    </row>
    <row r="42" spans="1:8" x14ac:dyDescent="0.45">
      <c r="H42" s="39" t="s">
        <v>168</v>
      </c>
    </row>
    <row r="43" spans="1:8" x14ac:dyDescent="0.45">
      <c r="H43" s="39"/>
    </row>
    <row r="44" spans="1:8" x14ac:dyDescent="0.45">
      <c r="H44" s="39" t="s">
        <v>172</v>
      </c>
    </row>
    <row r="45" spans="1:8" x14ac:dyDescent="0.45">
      <c r="H45" s="39"/>
    </row>
    <row r="46" spans="1:8" x14ac:dyDescent="0.45">
      <c r="H46" s="39" t="s">
        <v>176</v>
      </c>
    </row>
    <row r="47" spans="1:8" x14ac:dyDescent="0.45">
      <c r="H47" s="39"/>
    </row>
    <row r="48" spans="1:8" x14ac:dyDescent="0.45">
      <c r="H48" s="39" t="s">
        <v>180</v>
      </c>
    </row>
    <row r="49" spans="8:8" x14ac:dyDescent="0.45">
      <c r="H49" s="39"/>
    </row>
    <row r="50" spans="8:8" x14ac:dyDescent="0.45">
      <c r="H50" s="39" t="s">
        <v>185</v>
      </c>
    </row>
    <row r="51" spans="8:8" x14ac:dyDescent="0.45">
      <c r="H51" s="39"/>
    </row>
    <row r="52" spans="8:8" x14ac:dyDescent="0.45">
      <c r="H52" s="39" t="s">
        <v>189</v>
      </c>
    </row>
    <row r="53" spans="8:8" x14ac:dyDescent="0.45">
      <c r="H53" s="39"/>
    </row>
    <row r="54" spans="8:8" x14ac:dyDescent="0.45">
      <c r="H54" s="39" t="s">
        <v>193</v>
      </c>
    </row>
    <row r="55" spans="8:8" x14ac:dyDescent="0.45">
      <c r="H55" s="39"/>
    </row>
    <row r="56" spans="8:8" x14ac:dyDescent="0.45">
      <c r="H56" s="39" t="s">
        <v>197</v>
      </c>
    </row>
    <row r="57" spans="8:8" x14ac:dyDescent="0.45">
      <c r="H57" s="39"/>
    </row>
    <row r="58" spans="8:8" x14ac:dyDescent="0.45">
      <c r="H58" s="39" t="s">
        <v>202</v>
      </c>
    </row>
    <row r="59" spans="8:8" x14ac:dyDescent="0.45">
      <c r="H59" s="39"/>
    </row>
    <row r="60" spans="8:8" x14ac:dyDescent="0.45">
      <c r="H60" s="39" t="s">
        <v>206</v>
      </c>
    </row>
    <row r="61" spans="8:8" x14ac:dyDescent="0.45">
      <c r="H61" s="39"/>
    </row>
    <row r="62" spans="8:8" x14ac:dyDescent="0.45">
      <c r="H62" s="39" t="s">
        <v>210</v>
      </c>
    </row>
    <row r="63" spans="8:8" x14ac:dyDescent="0.45">
      <c r="H63" s="39"/>
    </row>
    <row r="64" spans="8:8" x14ac:dyDescent="0.45">
      <c r="H64" s="39" t="s">
        <v>214</v>
      </c>
    </row>
    <row r="65" spans="8:8" x14ac:dyDescent="0.45">
      <c r="H65" s="39"/>
    </row>
    <row r="66" spans="8:8" x14ac:dyDescent="0.45">
      <c r="H66" s="39" t="s">
        <v>219</v>
      </c>
    </row>
    <row r="67" spans="8:8" x14ac:dyDescent="0.45">
      <c r="H67" s="39"/>
    </row>
    <row r="68" spans="8:8" x14ac:dyDescent="0.45">
      <c r="H68" s="39" t="s">
        <v>223</v>
      </c>
    </row>
    <row r="69" spans="8:8" x14ac:dyDescent="0.45">
      <c r="H69" s="39"/>
    </row>
    <row r="70" spans="8:8" x14ac:dyDescent="0.45">
      <c r="H70" s="39" t="s">
        <v>227</v>
      </c>
    </row>
    <row r="71" spans="8:8" x14ac:dyDescent="0.45">
      <c r="H71" s="39"/>
    </row>
    <row r="72" spans="8:8" x14ac:dyDescent="0.45">
      <c r="H72" s="39" t="s">
        <v>231</v>
      </c>
    </row>
    <row r="73" spans="8:8" x14ac:dyDescent="0.45">
      <c r="H73" s="39"/>
    </row>
    <row r="74" spans="8:8" x14ac:dyDescent="0.45">
      <c r="H74" s="39" t="s">
        <v>236</v>
      </c>
    </row>
    <row r="75" spans="8:8" x14ac:dyDescent="0.45">
      <c r="H75" s="39"/>
    </row>
    <row r="76" spans="8:8" x14ac:dyDescent="0.45">
      <c r="H76" s="39" t="s">
        <v>240</v>
      </c>
    </row>
    <row r="77" spans="8:8" x14ac:dyDescent="0.45">
      <c r="H77" s="39"/>
    </row>
    <row r="78" spans="8:8" x14ac:dyDescent="0.45">
      <c r="H78" s="39" t="s">
        <v>244</v>
      </c>
    </row>
    <row r="79" spans="8:8" x14ac:dyDescent="0.45">
      <c r="H79" s="39"/>
    </row>
    <row r="80" spans="8:8" x14ac:dyDescent="0.45">
      <c r="H80" s="39" t="s">
        <v>249</v>
      </c>
    </row>
    <row r="81" spans="8:8" x14ac:dyDescent="0.45">
      <c r="H81" s="39"/>
    </row>
    <row r="82" spans="8:8" x14ac:dyDescent="0.45">
      <c r="H82" s="39" t="s">
        <v>253</v>
      </c>
    </row>
    <row r="83" spans="8:8" x14ac:dyDescent="0.45">
      <c r="H83" s="39"/>
    </row>
    <row r="84" spans="8:8" x14ac:dyDescent="0.45">
      <c r="H84" s="39" t="s">
        <v>257</v>
      </c>
    </row>
    <row r="85" spans="8:8" x14ac:dyDescent="0.45">
      <c r="H85" s="39"/>
    </row>
    <row r="86" spans="8:8" x14ac:dyDescent="0.45">
      <c r="H86" s="39" t="s">
        <v>262</v>
      </c>
    </row>
    <row r="87" spans="8:8" x14ac:dyDescent="0.45">
      <c r="H87" s="39"/>
    </row>
    <row r="88" spans="8:8" x14ac:dyDescent="0.45">
      <c r="H88" s="39" t="s">
        <v>266</v>
      </c>
    </row>
    <row r="89" spans="8:8" x14ac:dyDescent="0.45">
      <c r="H89" s="39"/>
    </row>
    <row r="90" spans="8:8" x14ac:dyDescent="0.45">
      <c r="H90" s="39" t="s">
        <v>270</v>
      </c>
    </row>
    <row r="91" spans="8:8" x14ac:dyDescent="0.45">
      <c r="H91" s="39"/>
    </row>
    <row r="92" spans="8:8" x14ac:dyDescent="0.45">
      <c r="H92" s="39" t="s">
        <v>274</v>
      </c>
    </row>
    <row r="93" spans="8:8" x14ac:dyDescent="0.45">
      <c r="H93" s="39"/>
    </row>
  </sheetData>
  <mergeCells count="49">
    <mergeCell ref="H88:H89"/>
    <mergeCell ref="H90:H91"/>
    <mergeCell ref="H92:H93"/>
    <mergeCell ref="H78:H79"/>
    <mergeCell ref="H80:H81"/>
    <mergeCell ref="H82:H83"/>
    <mergeCell ref="H84:H85"/>
    <mergeCell ref="H86:H87"/>
    <mergeCell ref="H68:H69"/>
    <mergeCell ref="H70:H71"/>
    <mergeCell ref="H72:H73"/>
    <mergeCell ref="H74:H75"/>
    <mergeCell ref="H76:H77"/>
    <mergeCell ref="H58:H59"/>
    <mergeCell ref="H60:H61"/>
    <mergeCell ref="H62:H63"/>
    <mergeCell ref="H64:H65"/>
    <mergeCell ref="H66:H67"/>
    <mergeCell ref="H48:H49"/>
    <mergeCell ref="H50:H51"/>
    <mergeCell ref="H52:H53"/>
    <mergeCell ref="H54:H55"/>
    <mergeCell ref="H56:H57"/>
    <mergeCell ref="H38:H39"/>
    <mergeCell ref="H40:H41"/>
    <mergeCell ref="H42:H43"/>
    <mergeCell ref="H44:H45"/>
    <mergeCell ref="H46:H47"/>
    <mergeCell ref="H28:H29"/>
    <mergeCell ref="H30:H31"/>
    <mergeCell ref="H32:H33"/>
    <mergeCell ref="H34:H35"/>
    <mergeCell ref="H36:H37"/>
    <mergeCell ref="H18:H19"/>
    <mergeCell ref="H20:H21"/>
    <mergeCell ref="H22:H23"/>
    <mergeCell ref="H24:H25"/>
    <mergeCell ref="H26:H27"/>
    <mergeCell ref="H6:H8"/>
    <mergeCell ref="H10:H11"/>
    <mergeCell ref="H12:H13"/>
    <mergeCell ref="H14:H15"/>
    <mergeCell ref="H16:H17"/>
    <mergeCell ref="E39:F39"/>
    <mergeCell ref="E40:F40"/>
    <mergeCell ref="A1:G1"/>
    <mergeCell ref="A2:G2"/>
    <mergeCell ref="A4:G4"/>
    <mergeCell ref="E38:F38"/>
  </mergeCells>
  <conditionalFormatting sqref="B7:B9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A4E7-C724-4858-8C0E-BA8FAB8FF1F0}">
  <sheetPr>
    <pageSetUpPr fitToPage="1"/>
  </sheetPr>
  <dimension ref="A1:AD92"/>
  <sheetViews>
    <sheetView topLeftCell="A44" zoomScale="91" zoomScaleNormal="91" workbookViewId="0">
      <selection activeCell="T10" sqref="T10"/>
    </sheetView>
  </sheetViews>
  <sheetFormatPr defaultRowHeight="14.25" x14ac:dyDescent="0.45"/>
  <cols>
    <col min="1" max="1" width="19.3984375" bestFit="1" customWidth="1"/>
    <col min="2" max="2" width="18.1328125" customWidth="1"/>
    <col min="3" max="3" width="15.265625" bestFit="1" customWidth="1"/>
    <col min="4" max="4" width="7.265625" bestFit="1" customWidth="1"/>
    <col min="5" max="5" width="17.1328125" customWidth="1"/>
    <col min="6" max="6" width="21.1328125" customWidth="1"/>
    <col min="7" max="7" width="5.265625" hidden="1" customWidth="1"/>
    <col min="8" max="9" width="4.86328125" hidden="1" customWidth="1"/>
    <col min="10" max="10" width="5.265625" hidden="1" customWidth="1"/>
    <col min="11" max="11" width="7" style="32" hidden="1" customWidth="1"/>
    <col min="12" max="12" width="5.265625" hidden="1" customWidth="1"/>
    <col min="13" max="14" width="4.86328125" hidden="1" customWidth="1"/>
    <col min="15" max="15" width="5.86328125" hidden="1" customWidth="1"/>
    <col min="16" max="16" width="6" style="32" hidden="1" customWidth="1"/>
    <col min="17" max="17" width="16.73046875" customWidth="1"/>
    <col min="18" max="18" width="20.265625" style="31" customWidth="1"/>
    <col min="19" max="19" width="17.73046875" style="3" customWidth="1"/>
    <col min="20" max="20" width="18.73046875" customWidth="1"/>
    <col min="21" max="21" width="5.265625" style="3" hidden="1" customWidth="1"/>
    <col min="22" max="22" width="5.1328125" style="3" hidden="1" customWidth="1"/>
    <col min="23" max="23" width="5.3984375" style="3" hidden="1" customWidth="1"/>
    <col min="24" max="24" width="5.86328125" style="3" hidden="1" customWidth="1"/>
    <col min="25" max="25" width="6.1328125" style="3" hidden="1" customWidth="1"/>
    <col min="26" max="26" width="5.86328125" style="3" hidden="1" customWidth="1"/>
    <col min="27" max="27" width="5.1328125" style="3" hidden="1" customWidth="1"/>
    <col min="28" max="28" width="5" style="3" hidden="1" customWidth="1"/>
    <col min="29" max="29" width="5.86328125" style="3" hidden="1" customWidth="1"/>
    <col min="30" max="30" width="6.1328125" style="3" hidden="1" customWidth="1"/>
  </cols>
  <sheetData>
    <row r="1" spans="1:30" ht="33" customHeight="1" x14ac:dyDescent="0.45">
      <c r="A1" s="47" t="s">
        <v>78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</row>
    <row r="2" spans="1:30" ht="24" customHeight="1" x14ac:dyDescent="0.45">
      <c r="A2" s="48" t="s">
        <v>79</v>
      </c>
      <c r="B2" s="48" t="s">
        <v>80</v>
      </c>
      <c r="C2" s="48" t="s">
        <v>81</v>
      </c>
      <c r="D2" s="48" t="s">
        <v>82</v>
      </c>
      <c r="E2" s="48" t="s">
        <v>83</v>
      </c>
      <c r="F2" s="48" t="s">
        <v>84</v>
      </c>
      <c r="G2" s="48" t="s">
        <v>85</v>
      </c>
      <c r="H2" s="48"/>
      <c r="I2" s="48"/>
      <c r="J2" s="48"/>
      <c r="K2" s="48"/>
      <c r="L2" s="48"/>
      <c r="M2" s="48"/>
      <c r="N2" s="48"/>
      <c r="O2" s="48"/>
      <c r="P2" s="48"/>
      <c r="Q2" s="48" t="s">
        <v>86</v>
      </c>
      <c r="R2" s="48" t="s">
        <v>87</v>
      </c>
      <c r="S2" s="48"/>
      <c r="T2" s="48"/>
      <c r="U2" s="42" t="s">
        <v>88</v>
      </c>
      <c r="V2" s="42"/>
      <c r="W2" s="42"/>
      <c r="X2" s="42"/>
      <c r="Y2" s="42"/>
      <c r="Z2" s="42"/>
      <c r="AA2" s="42"/>
      <c r="AB2" s="42"/>
      <c r="AC2" s="42"/>
      <c r="AD2" s="42"/>
    </row>
    <row r="3" spans="1:30" ht="42" customHeight="1" x14ac:dyDescent="0.45">
      <c r="A3" s="48"/>
      <c r="B3" s="48"/>
      <c r="C3" s="48"/>
      <c r="D3" s="48"/>
      <c r="E3" s="48"/>
      <c r="F3" s="48"/>
      <c r="G3" s="42" t="s">
        <v>89</v>
      </c>
      <c r="H3" s="42"/>
      <c r="I3" s="42"/>
      <c r="J3" s="42"/>
      <c r="K3" s="42"/>
      <c r="L3" s="43" t="s">
        <v>90</v>
      </c>
      <c r="M3" s="43"/>
      <c r="N3" s="43"/>
      <c r="O3" s="43"/>
      <c r="P3" s="43"/>
      <c r="Q3" s="48"/>
      <c r="R3" s="13" t="s">
        <v>91</v>
      </c>
      <c r="S3" s="13" t="s">
        <v>92</v>
      </c>
      <c r="T3" s="13" t="s">
        <v>93</v>
      </c>
      <c r="U3" s="42" t="s">
        <v>89</v>
      </c>
      <c r="V3" s="42"/>
      <c r="W3" s="42"/>
      <c r="X3" s="42"/>
      <c r="Y3" s="42"/>
      <c r="Z3" s="43" t="s">
        <v>90</v>
      </c>
      <c r="AA3" s="43"/>
      <c r="AB3" s="43"/>
      <c r="AC3" s="43"/>
      <c r="AD3" s="43"/>
    </row>
    <row r="4" spans="1:30" x14ac:dyDescent="0.45">
      <c r="A4" s="48"/>
      <c r="B4" s="48"/>
      <c r="C4" s="48"/>
      <c r="D4" s="48"/>
      <c r="E4" s="48"/>
      <c r="F4" s="48"/>
      <c r="G4" s="14" t="s">
        <v>94</v>
      </c>
      <c r="H4" s="14" t="s">
        <v>95</v>
      </c>
      <c r="I4" s="14" t="s">
        <v>96</v>
      </c>
      <c r="J4" s="14" t="s">
        <v>97</v>
      </c>
      <c r="K4" s="15" t="s">
        <v>98</v>
      </c>
      <c r="L4" s="14" t="s">
        <v>94</v>
      </c>
      <c r="M4" s="14" t="s">
        <v>95</v>
      </c>
      <c r="N4" s="14" t="s">
        <v>96</v>
      </c>
      <c r="O4" s="14" t="s">
        <v>97</v>
      </c>
      <c r="P4" s="15" t="s">
        <v>98</v>
      </c>
      <c r="Q4" s="48"/>
      <c r="R4" s="13"/>
      <c r="S4" s="13"/>
      <c r="T4" s="13"/>
      <c r="U4" s="14" t="s">
        <v>94</v>
      </c>
      <c r="V4" s="14" t="s">
        <v>95</v>
      </c>
      <c r="W4" s="14" t="s">
        <v>96</v>
      </c>
      <c r="X4" s="14" t="s">
        <v>97</v>
      </c>
      <c r="Y4" s="14" t="s">
        <v>98</v>
      </c>
      <c r="Z4" s="14" t="s">
        <v>94</v>
      </c>
      <c r="AA4" s="14" t="s">
        <v>95</v>
      </c>
      <c r="AB4" s="14" t="s">
        <v>96</v>
      </c>
      <c r="AC4" s="14" t="s">
        <v>97</v>
      </c>
      <c r="AD4" s="14" t="s">
        <v>98</v>
      </c>
    </row>
    <row r="5" spans="1:30" s="19" customFormat="1" ht="24.95" customHeight="1" x14ac:dyDescent="0.45">
      <c r="A5" s="16">
        <v>1</v>
      </c>
      <c r="B5" s="16">
        <v>2</v>
      </c>
      <c r="C5" s="16">
        <v>3</v>
      </c>
      <c r="D5" s="16">
        <v>4</v>
      </c>
      <c r="E5" s="17">
        <v>5</v>
      </c>
      <c r="F5" s="17">
        <v>6</v>
      </c>
      <c r="G5" s="44">
        <v>7</v>
      </c>
      <c r="H5" s="45"/>
      <c r="I5" s="45"/>
      <c r="J5" s="45"/>
      <c r="K5" s="46"/>
      <c r="L5" s="44">
        <v>8</v>
      </c>
      <c r="M5" s="45"/>
      <c r="N5" s="45"/>
      <c r="O5" s="45"/>
      <c r="P5" s="46"/>
      <c r="Q5" s="16">
        <v>9</v>
      </c>
      <c r="R5" s="18">
        <v>10</v>
      </c>
      <c r="S5" s="16">
        <v>11</v>
      </c>
      <c r="T5" s="16">
        <v>12</v>
      </c>
      <c r="U5" s="44">
        <v>13</v>
      </c>
      <c r="V5" s="45"/>
      <c r="W5" s="45"/>
      <c r="X5" s="45"/>
      <c r="Y5" s="46"/>
      <c r="Z5" s="44">
        <v>14</v>
      </c>
      <c r="AA5" s="45"/>
      <c r="AB5" s="45"/>
      <c r="AC5" s="45"/>
      <c r="AD5" s="46"/>
    </row>
    <row r="6" spans="1:30" s="25" customFormat="1" ht="24.95" customHeight="1" x14ac:dyDescent="0.45">
      <c r="A6" s="20" t="s">
        <v>99</v>
      </c>
      <c r="B6" s="20" t="s">
        <v>100</v>
      </c>
      <c r="C6" s="20" t="s">
        <v>100</v>
      </c>
      <c r="D6" s="37">
        <v>1</v>
      </c>
      <c r="E6" s="39" t="s">
        <v>101</v>
      </c>
      <c r="F6" s="39" t="s">
        <v>102</v>
      </c>
      <c r="G6" s="40">
        <v>43</v>
      </c>
      <c r="H6" s="33">
        <v>0</v>
      </c>
      <c r="I6" s="33">
        <v>21</v>
      </c>
      <c r="J6" s="33">
        <v>28</v>
      </c>
      <c r="K6" s="35">
        <f>SUM(G6:J6)</f>
        <v>92</v>
      </c>
      <c r="L6" s="33">
        <v>9</v>
      </c>
      <c r="M6" s="33">
        <v>0</v>
      </c>
      <c r="N6" s="33">
        <v>10</v>
      </c>
      <c r="O6" s="33">
        <v>14</v>
      </c>
      <c r="P6" s="35">
        <f>SUM(L6:O6)</f>
        <v>33</v>
      </c>
      <c r="Q6" s="33">
        <v>125</v>
      </c>
      <c r="R6" s="21" t="s">
        <v>103</v>
      </c>
      <c r="S6" s="22">
        <v>9755281059</v>
      </c>
      <c r="T6" s="23">
        <v>987664856070</v>
      </c>
      <c r="U6" s="24">
        <v>0</v>
      </c>
      <c r="V6" s="24">
        <v>0</v>
      </c>
      <c r="W6" s="24">
        <v>0</v>
      </c>
      <c r="X6" s="24">
        <v>0</v>
      </c>
      <c r="Y6" s="24">
        <f>SUM(U6:X6)</f>
        <v>0</v>
      </c>
      <c r="Z6" s="24">
        <v>1</v>
      </c>
      <c r="AA6" s="24">
        <v>0</v>
      </c>
      <c r="AB6" s="24">
        <v>0</v>
      </c>
      <c r="AC6" s="24">
        <v>0</v>
      </c>
      <c r="AD6" s="24">
        <f>SUM(Z6:AC6)</f>
        <v>1</v>
      </c>
    </row>
    <row r="7" spans="1:30" s="25" customFormat="1" ht="24.95" customHeight="1" x14ac:dyDescent="0.45">
      <c r="A7" s="20" t="s">
        <v>99</v>
      </c>
      <c r="B7" s="20" t="s">
        <v>100</v>
      </c>
      <c r="C7" s="20" t="s">
        <v>100</v>
      </c>
      <c r="D7" s="38"/>
      <c r="E7" s="39"/>
      <c r="F7" s="39"/>
      <c r="G7" s="41"/>
      <c r="H7" s="34"/>
      <c r="I7" s="34"/>
      <c r="J7" s="34"/>
      <c r="K7" s="36"/>
      <c r="L7" s="34"/>
      <c r="M7" s="34"/>
      <c r="N7" s="34"/>
      <c r="O7" s="34"/>
      <c r="P7" s="36"/>
      <c r="Q7" s="34"/>
      <c r="R7" s="21" t="s">
        <v>104</v>
      </c>
      <c r="S7" s="22">
        <v>8827016440</v>
      </c>
      <c r="T7" s="23">
        <v>767060688707</v>
      </c>
      <c r="U7" s="24">
        <v>0</v>
      </c>
      <c r="V7" s="24">
        <v>0</v>
      </c>
      <c r="W7" s="24">
        <v>0</v>
      </c>
      <c r="X7" s="24">
        <v>0</v>
      </c>
      <c r="Y7" s="24">
        <f t="shared" ref="Y7:Y70" si="0">SUM(U7:X7)</f>
        <v>0</v>
      </c>
      <c r="Z7" s="24">
        <v>0</v>
      </c>
      <c r="AA7" s="24">
        <v>0</v>
      </c>
      <c r="AB7" s="24">
        <v>1</v>
      </c>
      <c r="AC7" s="24">
        <v>0</v>
      </c>
      <c r="AD7" s="24">
        <f t="shared" ref="AD7:AD70" si="1">SUM(Z7:AC7)</f>
        <v>1</v>
      </c>
    </row>
    <row r="8" spans="1:30" s="25" customFormat="1" ht="24.95" customHeight="1" x14ac:dyDescent="0.45">
      <c r="A8" s="20" t="s">
        <v>99</v>
      </c>
      <c r="B8" s="20" t="s">
        <v>100</v>
      </c>
      <c r="C8" s="20" t="s">
        <v>100</v>
      </c>
      <c r="D8" s="37">
        <v>2</v>
      </c>
      <c r="E8" s="39" t="s">
        <v>105</v>
      </c>
      <c r="F8" s="39" t="s">
        <v>106</v>
      </c>
      <c r="G8" s="40">
        <v>67</v>
      </c>
      <c r="H8" s="33">
        <v>0</v>
      </c>
      <c r="I8" s="33">
        <v>13</v>
      </c>
      <c r="J8" s="33">
        <v>25</v>
      </c>
      <c r="K8" s="35">
        <f t="shared" ref="K8" si="2">SUM(G8:J8)</f>
        <v>105</v>
      </c>
      <c r="L8" s="33">
        <v>9</v>
      </c>
      <c r="M8" s="33">
        <v>0</v>
      </c>
      <c r="N8" s="33">
        <v>7</v>
      </c>
      <c r="O8" s="33">
        <v>4</v>
      </c>
      <c r="P8" s="35">
        <f t="shared" ref="P8" si="3">SUM(L8:O8)</f>
        <v>20</v>
      </c>
      <c r="Q8" s="33">
        <v>125</v>
      </c>
      <c r="R8" s="21" t="s">
        <v>107</v>
      </c>
      <c r="S8" s="22">
        <v>6261034627</v>
      </c>
      <c r="T8" s="23">
        <v>914725431924</v>
      </c>
      <c r="U8" s="24">
        <v>0</v>
      </c>
      <c r="V8" s="24">
        <v>0</v>
      </c>
      <c r="W8" s="24">
        <v>0</v>
      </c>
      <c r="X8" s="24">
        <v>0</v>
      </c>
      <c r="Y8" s="24">
        <f t="shared" si="0"/>
        <v>0</v>
      </c>
      <c r="Z8" s="24">
        <v>1</v>
      </c>
      <c r="AA8" s="24">
        <v>0</v>
      </c>
      <c r="AB8" s="24">
        <v>0</v>
      </c>
      <c r="AC8" s="24">
        <v>0</v>
      </c>
      <c r="AD8" s="24">
        <f t="shared" si="1"/>
        <v>1</v>
      </c>
    </row>
    <row r="9" spans="1:30" s="25" customFormat="1" ht="24.95" customHeight="1" x14ac:dyDescent="0.45">
      <c r="A9" s="20" t="s">
        <v>99</v>
      </c>
      <c r="B9" s="20" t="s">
        <v>100</v>
      </c>
      <c r="C9" s="20" t="s">
        <v>100</v>
      </c>
      <c r="D9" s="38"/>
      <c r="E9" s="39"/>
      <c r="F9" s="39"/>
      <c r="G9" s="41"/>
      <c r="H9" s="34"/>
      <c r="I9" s="34"/>
      <c r="J9" s="34"/>
      <c r="K9" s="36"/>
      <c r="L9" s="34"/>
      <c r="M9" s="34"/>
      <c r="N9" s="34"/>
      <c r="O9" s="34"/>
      <c r="P9" s="36"/>
      <c r="Q9" s="34"/>
      <c r="R9" s="21" t="s">
        <v>108</v>
      </c>
      <c r="S9" s="22">
        <v>6260964383</v>
      </c>
      <c r="T9" s="23">
        <v>201659806746</v>
      </c>
      <c r="U9" s="24">
        <v>0</v>
      </c>
      <c r="V9" s="24">
        <v>0</v>
      </c>
      <c r="W9" s="24">
        <v>0</v>
      </c>
      <c r="X9" s="24">
        <v>0</v>
      </c>
      <c r="Y9" s="24">
        <f t="shared" si="0"/>
        <v>0</v>
      </c>
      <c r="Z9" s="24">
        <v>1</v>
      </c>
      <c r="AA9" s="24">
        <v>0</v>
      </c>
      <c r="AB9" s="24">
        <v>0</v>
      </c>
      <c r="AC9" s="24">
        <v>0</v>
      </c>
      <c r="AD9" s="24">
        <f t="shared" si="1"/>
        <v>1</v>
      </c>
    </row>
    <row r="10" spans="1:30" s="25" customFormat="1" ht="24.95" customHeight="1" x14ac:dyDescent="0.45">
      <c r="A10" s="20" t="s">
        <v>99</v>
      </c>
      <c r="B10" s="20" t="s">
        <v>100</v>
      </c>
      <c r="C10" s="20" t="s">
        <v>100</v>
      </c>
      <c r="D10" s="37">
        <v>3</v>
      </c>
      <c r="E10" s="39" t="s">
        <v>109</v>
      </c>
      <c r="F10" s="39" t="s">
        <v>110</v>
      </c>
      <c r="G10" s="40">
        <v>104</v>
      </c>
      <c r="H10" s="33">
        <v>0</v>
      </c>
      <c r="I10" s="33">
        <v>2</v>
      </c>
      <c r="J10" s="33">
        <v>0</v>
      </c>
      <c r="K10" s="35">
        <f t="shared" ref="K10" si="4">SUM(G10:J10)</f>
        <v>106</v>
      </c>
      <c r="L10" s="33">
        <v>19</v>
      </c>
      <c r="M10" s="33">
        <v>0</v>
      </c>
      <c r="N10" s="33">
        <v>0</v>
      </c>
      <c r="O10" s="33">
        <v>0</v>
      </c>
      <c r="P10" s="35">
        <f t="shared" ref="P10" si="5">SUM(L10:O10)</f>
        <v>19</v>
      </c>
      <c r="Q10" s="33">
        <v>125</v>
      </c>
      <c r="R10" s="21" t="s">
        <v>111</v>
      </c>
      <c r="S10" s="22">
        <v>6232635013</v>
      </c>
      <c r="T10" s="23">
        <v>906065874543</v>
      </c>
      <c r="U10" s="24">
        <v>0</v>
      </c>
      <c r="V10" s="24">
        <v>0</v>
      </c>
      <c r="W10" s="24">
        <v>0</v>
      </c>
      <c r="X10" s="24">
        <v>0</v>
      </c>
      <c r="Y10" s="24">
        <f t="shared" si="0"/>
        <v>0</v>
      </c>
      <c r="Z10" s="24">
        <v>1</v>
      </c>
      <c r="AA10" s="24">
        <v>0</v>
      </c>
      <c r="AB10" s="24">
        <v>0</v>
      </c>
      <c r="AC10" s="24">
        <v>0</v>
      </c>
      <c r="AD10" s="24">
        <f t="shared" si="1"/>
        <v>1</v>
      </c>
    </row>
    <row r="11" spans="1:30" s="25" customFormat="1" ht="24.95" customHeight="1" x14ac:dyDescent="0.45">
      <c r="A11" s="20" t="s">
        <v>99</v>
      </c>
      <c r="B11" s="20" t="s">
        <v>100</v>
      </c>
      <c r="C11" s="20" t="s">
        <v>100</v>
      </c>
      <c r="D11" s="38"/>
      <c r="E11" s="39"/>
      <c r="F11" s="39"/>
      <c r="G11" s="41"/>
      <c r="H11" s="34"/>
      <c r="I11" s="34"/>
      <c r="J11" s="34"/>
      <c r="K11" s="36"/>
      <c r="L11" s="34"/>
      <c r="M11" s="34"/>
      <c r="N11" s="34"/>
      <c r="O11" s="34"/>
      <c r="P11" s="36"/>
      <c r="Q11" s="34"/>
      <c r="R11" s="21" t="s">
        <v>112</v>
      </c>
      <c r="S11" s="22">
        <v>9584249550</v>
      </c>
      <c r="T11" s="23">
        <v>362029999811</v>
      </c>
      <c r="U11" s="24">
        <v>0</v>
      </c>
      <c r="V11" s="24">
        <v>0</v>
      </c>
      <c r="W11" s="24">
        <v>0</v>
      </c>
      <c r="X11" s="24">
        <v>0</v>
      </c>
      <c r="Y11" s="24">
        <f t="shared" si="0"/>
        <v>0</v>
      </c>
      <c r="Z11" s="24">
        <v>1</v>
      </c>
      <c r="AA11" s="24">
        <v>0</v>
      </c>
      <c r="AB11" s="24">
        <v>0</v>
      </c>
      <c r="AC11" s="24">
        <v>0</v>
      </c>
      <c r="AD11" s="24">
        <f t="shared" si="1"/>
        <v>1</v>
      </c>
    </row>
    <row r="12" spans="1:30" s="25" customFormat="1" ht="24.95" customHeight="1" x14ac:dyDescent="0.45">
      <c r="A12" s="20" t="s">
        <v>99</v>
      </c>
      <c r="B12" s="20" t="s">
        <v>100</v>
      </c>
      <c r="C12" s="20" t="s">
        <v>100</v>
      </c>
      <c r="D12" s="37">
        <v>4</v>
      </c>
      <c r="E12" s="39" t="s">
        <v>113</v>
      </c>
      <c r="F12" s="39" t="s">
        <v>114</v>
      </c>
      <c r="G12" s="40">
        <v>71</v>
      </c>
      <c r="H12" s="33">
        <v>0</v>
      </c>
      <c r="I12" s="33">
        <v>23</v>
      </c>
      <c r="J12" s="33">
        <v>7</v>
      </c>
      <c r="K12" s="35">
        <f t="shared" ref="K12" si="6">SUM(G12:J12)</f>
        <v>101</v>
      </c>
      <c r="L12" s="33">
        <v>15</v>
      </c>
      <c r="M12" s="33">
        <v>0</v>
      </c>
      <c r="N12" s="33">
        <v>9</v>
      </c>
      <c r="O12" s="33">
        <v>0</v>
      </c>
      <c r="P12" s="35">
        <f t="shared" ref="P12" si="7">SUM(L12:O12)</f>
        <v>24</v>
      </c>
      <c r="Q12" s="33">
        <v>125</v>
      </c>
      <c r="R12" s="21" t="s">
        <v>115</v>
      </c>
      <c r="S12" s="22">
        <v>8815339192</v>
      </c>
      <c r="T12" s="23">
        <v>519893721740</v>
      </c>
      <c r="U12" s="24">
        <v>0</v>
      </c>
      <c r="V12" s="24">
        <v>0</v>
      </c>
      <c r="W12" s="24">
        <v>0</v>
      </c>
      <c r="X12" s="24">
        <v>0</v>
      </c>
      <c r="Y12" s="24">
        <f t="shared" si="0"/>
        <v>0</v>
      </c>
      <c r="Z12" s="24">
        <v>1</v>
      </c>
      <c r="AA12" s="24">
        <v>0</v>
      </c>
      <c r="AB12" s="24">
        <v>0</v>
      </c>
      <c r="AC12" s="24">
        <v>0</v>
      </c>
      <c r="AD12" s="24">
        <f t="shared" si="1"/>
        <v>1</v>
      </c>
    </row>
    <row r="13" spans="1:30" s="25" customFormat="1" ht="24.95" customHeight="1" x14ac:dyDescent="0.45">
      <c r="A13" s="20" t="s">
        <v>99</v>
      </c>
      <c r="B13" s="20" t="s">
        <v>100</v>
      </c>
      <c r="C13" s="20" t="s">
        <v>100</v>
      </c>
      <c r="D13" s="38"/>
      <c r="E13" s="39"/>
      <c r="F13" s="39"/>
      <c r="G13" s="41"/>
      <c r="H13" s="34"/>
      <c r="I13" s="34"/>
      <c r="J13" s="34"/>
      <c r="K13" s="36"/>
      <c r="L13" s="34"/>
      <c r="M13" s="34"/>
      <c r="N13" s="34"/>
      <c r="O13" s="34"/>
      <c r="P13" s="36"/>
      <c r="Q13" s="34"/>
      <c r="R13" s="21" t="s">
        <v>116</v>
      </c>
      <c r="S13" s="22">
        <v>6262359798</v>
      </c>
      <c r="T13" s="23">
        <v>588019834097</v>
      </c>
      <c r="U13" s="24">
        <v>0</v>
      </c>
      <c r="V13" s="24">
        <v>0</v>
      </c>
      <c r="W13" s="24">
        <v>0</v>
      </c>
      <c r="X13" s="24">
        <v>0</v>
      </c>
      <c r="Y13" s="24">
        <f t="shared" si="0"/>
        <v>0</v>
      </c>
      <c r="Z13" s="24">
        <v>0</v>
      </c>
      <c r="AA13" s="24">
        <v>0</v>
      </c>
      <c r="AB13" s="24">
        <v>1</v>
      </c>
      <c r="AC13" s="24">
        <v>0</v>
      </c>
      <c r="AD13" s="24">
        <f t="shared" si="1"/>
        <v>1</v>
      </c>
    </row>
    <row r="14" spans="1:30" s="25" customFormat="1" ht="24.95" customHeight="1" x14ac:dyDescent="0.45">
      <c r="A14" s="20" t="s">
        <v>99</v>
      </c>
      <c r="B14" s="20" t="s">
        <v>100</v>
      </c>
      <c r="C14" s="20" t="s">
        <v>117</v>
      </c>
      <c r="D14" s="37">
        <v>5</v>
      </c>
      <c r="E14" s="39" t="s">
        <v>118</v>
      </c>
      <c r="F14" s="39" t="s">
        <v>119</v>
      </c>
      <c r="G14" s="40">
        <v>67</v>
      </c>
      <c r="H14" s="33">
        <v>0</v>
      </c>
      <c r="I14" s="33">
        <v>20</v>
      </c>
      <c r="J14" s="33">
        <v>5</v>
      </c>
      <c r="K14" s="35">
        <f t="shared" ref="K14" si="8">SUM(G14:J14)</f>
        <v>92</v>
      </c>
      <c r="L14" s="33">
        <v>23</v>
      </c>
      <c r="M14" s="33">
        <v>0</v>
      </c>
      <c r="N14" s="33">
        <v>8</v>
      </c>
      <c r="O14" s="33">
        <v>2</v>
      </c>
      <c r="P14" s="35">
        <f t="shared" ref="P14" si="9">SUM(L14:O14)</f>
        <v>33</v>
      </c>
      <c r="Q14" s="33">
        <v>125</v>
      </c>
      <c r="R14" s="21" t="s">
        <v>120</v>
      </c>
      <c r="S14" s="22">
        <v>9669360079</v>
      </c>
      <c r="T14" s="23">
        <v>456445369144</v>
      </c>
      <c r="U14" s="24">
        <v>0</v>
      </c>
      <c r="V14" s="24">
        <v>0</v>
      </c>
      <c r="W14" s="24">
        <v>0</v>
      </c>
      <c r="X14" s="24">
        <v>0</v>
      </c>
      <c r="Y14" s="24">
        <f t="shared" si="0"/>
        <v>0</v>
      </c>
      <c r="Z14" s="24">
        <v>1</v>
      </c>
      <c r="AA14" s="24">
        <v>0</v>
      </c>
      <c r="AB14" s="24">
        <v>0</v>
      </c>
      <c r="AC14" s="24">
        <v>0</v>
      </c>
      <c r="AD14" s="24">
        <f t="shared" si="1"/>
        <v>1</v>
      </c>
    </row>
    <row r="15" spans="1:30" s="25" customFormat="1" ht="24.95" customHeight="1" x14ac:dyDescent="0.45">
      <c r="A15" s="20" t="s">
        <v>99</v>
      </c>
      <c r="B15" s="20" t="s">
        <v>100</v>
      </c>
      <c r="C15" s="20" t="s">
        <v>117</v>
      </c>
      <c r="D15" s="38"/>
      <c r="E15" s="39"/>
      <c r="F15" s="39"/>
      <c r="G15" s="41"/>
      <c r="H15" s="34"/>
      <c r="I15" s="34"/>
      <c r="J15" s="34"/>
      <c r="K15" s="36"/>
      <c r="L15" s="34"/>
      <c r="M15" s="34"/>
      <c r="N15" s="34"/>
      <c r="O15" s="34"/>
      <c r="P15" s="36"/>
      <c r="Q15" s="34"/>
      <c r="R15" s="21" t="s">
        <v>121</v>
      </c>
      <c r="S15" s="22">
        <v>9424960229</v>
      </c>
      <c r="T15" s="23">
        <v>361374893588</v>
      </c>
      <c r="U15" s="24">
        <v>0</v>
      </c>
      <c r="V15" s="24">
        <v>0</v>
      </c>
      <c r="W15" s="24">
        <v>0</v>
      </c>
      <c r="X15" s="24">
        <v>0</v>
      </c>
      <c r="Y15" s="24">
        <f t="shared" si="0"/>
        <v>0</v>
      </c>
      <c r="Z15" s="24">
        <v>1</v>
      </c>
      <c r="AA15" s="24">
        <v>0</v>
      </c>
      <c r="AB15" s="24">
        <v>0</v>
      </c>
      <c r="AC15" s="24">
        <v>0</v>
      </c>
      <c r="AD15" s="24">
        <f t="shared" si="1"/>
        <v>1</v>
      </c>
    </row>
    <row r="16" spans="1:30" s="25" customFormat="1" ht="24.95" customHeight="1" x14ac:dyDescent="0.45">
      <c r="A16" s="20" t="s">
        <v>99</v>
      </c>
      <c r="B16" s="20" t="s">
        <v>100</v>
      </c>
      <c r="C16" s="20" t="s">
        <v>117</v>
      </c>
      <c r="D16" s="37">
        <v>6</v>
      </c>
      <c r="E16" s="39" t="s">
        <v>122</v>
      </c>
      <c r="F16" s="39" t="s">
        <v>123</v>
      </c>
      <c r="G16" s="40">
        <v>110</v>
      </c>
      <c r="H16" s="33">
        <v>0</v>
      </c>
      <c r="I16" s="33">
        <v>1</v>
      </c>
      <c r="J16" s="33">
        <v>0</v>
      </c>
      <c r="K16" s="35">
        <f t="shared" ref="K16" si="10">SUM(G16:J16)</f>
        <v>111</v>
      </c>
      <c r="L16" s="33">
        <v>13</v>
      </c>
      <c r="M16" s="33">
        <v>0</v>
      </c>
      <c r="N16" s="33">
        <v>1</v>
      </c>
      <c r="O16" s="33">
        <v>0</v>
      </c>
      <c r="P16" s="35">
        <f t="shared" ref="P16" si="11">SUM(L16:O16)</f>
        <v>14</v>
      </c>
      <c r="Q16" s="33">
        <v>125</v>
      </c>
      <c r="R16" s="21" t="s">
        <v>124</v>
      </c>
      <c r="S16" s="22">
        <v>78979403708</v>
      </c>
      <c r="T16" s="23">
        <v>947534340798</v>
      </c>
      <c r="U16" s="24">
        <v>0</v>
      </c>
      <c r="V16" s="24">
        <v>0</v>
      </c>
      <c r="W16" s="24">
        <v>0</v>
      </c>
      <c r="X16" s="24">
        <v>0</v>
      </c>
      <c r="Y16" s="24">
        <f t="shared" si="0"/>
        <v>0</v>
      </c>
      <c r="Z16" s="24">
        <v>1</v>
      </c>
      <c r="AA16" s="24">
        <v>0</v>
      </c>
      <c r="AB16" s="24">
        <v>0</v>
      </c>
      <c r="AC16" s="24">
        <v>0</v>
      </c>
      <c r="AD16" s="24">
        <f t="shared" si="1"/>
        <v>1</v>
      </c>
    </row>
    <row r="17" spans="1:30" s="25" customFormat="1" ht="24.95" customHeight="1" x14ac:dyDescent="0.45">
      <c r="A17" s="20" t="s">
        <v>99</v>
      </c>
      <c r="B17" s="20" t="s">
        <v>100</v>
      </c>
      <c r="C17" s="20" t="s">
        <v>117</v>
      </c>
      <c r="D17" s="38"/>
      <c r="E17" s="39"/>
      <c r="F17" s="39"/>
      <c r="G17" s="41"/>
      <c r="H17" s="34"/>
      <c r="I17" s="34"/>
      <c r="J17" s="34"/>
      <c r="K17" s="36"/>
      <c r="L17" s="34"/>
      <c r="M17" s="34"/>
      <c r="N17" s="34"/>
      <c r="O17" s="34"/>
      <c r="P17" s="36"/>
      <c r="Q17" s="34"/>
      <c r="R17" s="21" t="s">
        <v>125</v>
      </c>
      <c r="S17" s="22">
        <v>8085088287</v>
      </c>
      <c r="T17" s="23">
        <v>874234545324</v>
      </c>
      <c r="U17" s="24">
        <v>0</v>
      </c>
      <c r="V17" s="24">
        <v>0</v>
      </c>
      <c r="W17" s="24">
        <v>0</v>
      </c>
      <c r="X17" s="24">
        <v>0</v>
      </c>
      <c r="Y17" s="24">
        <f t="shared" si="0"/>
        <v>0</v>
      </c>
      <c r="Z17" s="24">
        <v>1</v>
      </c>
      <c r="AA17" s="24">
        <v>0</v>
      </c>
      <c r="AB17" s="24">
        <v>0</v>
      </c>
      <c r="AC17" s="24">
        <v>0</v>
      </c>
      <c r="AD17" s="24">
        <f t="shared" si="1"/>
        <v>1</v>
      </c>
    </row>
    <row r="18" spans="1:30" s="25" customFormat="1" ht="24.95" customHeight="1" x14ac:dyDescent="0.45">
      <c r="A18" s="20" t="s">
        <v>99</v>
      </c>
      <c r="B18" s="20" t="s">
        <v>100</v>
      </c>
      <c r="C18" s="20" t="s">
        <v>117</v>
      </c>
      <c r="D18" s="37">
        <v>7</v>
      </c>
      <c r="E18" s="39" t="s">
        <v>126</v>
      </c>
      <c r="F18" s="39" t="s">
        <v>127</v>
      </c>
      <c r="G18" s="40">
        <v>59</v>
      </c>
      <c r="H18" s="33">
        <v>0</v>
      </c>
      <c r="I18" s="33">
        <v>21</v>
      </c>
      <c r="J18" s="33">
        <v>21</v>
      </c>
      <c r="K18" s="35">
        <f t="shared" ref="K18" si="12">SUM(G18:J18)</f>
        <v>101</v>
      </c>
      <c r="L18" s="33">
        <v>16</v>
      </c>
      <c r="M18" s="33">
        <v>0</v>
      </c>
      <c r="N18" s="33">
        <v>3</v>
      </c>
      <c r="O18" s="33">
        <v>5</v>
      </c>
      <c r="P18" s="35">
        <f t="shared" ref="P18" si="13">SUM(L18:O18)</f>
        <v>24</v>
      </c>
      <c r="Q18" s="33">
        <v>125</v>
      </c>
      <c r="R18" s="21" t="s">
        <v>128</v>
      </c>
      <c r="S18" s="22">
        <v>7828741290</v>
      </c>
      <c r="T18" s="23">
        <v>396208613710</v>
      </c>
      <c r="U18" s="24">
        <v>0</v>
      </c>
      <c r="V18" s="24">
        <v>0</v>
      </c>
      <c r="W18" s="24">
        <v>0</v>
      </c>
      <c r="X18" s="24">
        <v>0</v>
      </c>
      <c r="Y18" s="24">
        <f t="shared" si="0"/>
        <v>0</v>
      </c>
      <c r="Z18" s="24">
        <v>1</v>
      </c>
      <c r="AA18" s="24">
        <v>0</v>
      </c>
      <c r="AB18" s="24">
        <v>0</v>
      </c>
      <c r="AC18" s="24">
        <v>0</v>
      </c>
      <c r="AD18" s="24">
        <f t="shared" si="1"/>
        <v>1</v>
      </c>
    </row>
    <row r="19" spans="1:30" s="25" customFormat="1" ht="24.95" customHeight="1" x14ac:dyDescent="0.45">
      <c r="A19" s="20" t="s">
        <v>99</v>
      </c>
      <c r="B19" s="20" t="s">
        <v>100</v>
      </c>
      <c r="C19" s="20" t="s">
        <v>117</v>
      </c>
      <c r="D19" s="38"/>
      <c r="E19" s="39"/>
      <c r="F19" s="39"/>
      <c r="G19" s="41"/>
      <c r="H19" s="34"/>
      <c r="I19" s="34"/>
      <c r="J19" s="34"/>
      <c r="K19" s="36"/>
      <c r="L19" s="34"/>
      <c r="M19" s="34"/>
      <c r="N19" s="34"/>
      <c r="O19" s="34"/>
      <c r="P19" s="36"/>
      <c r="Q19" s="34"/>
      <c r="R19" s="21" t="s">
        <v>129</v>
      </c>
      <c r="S19" s="22">
        <v>7898512748</v>
      </c>
      <c r="T19" s="23">
        <v>789060837497</v>
      </c>
      <c r="U19" s="24">
        <v>0</v>
      </c>
      <c r="V19" s="24">
        <v>0</v>
      </c>
      <c r="W19" s="24">
        <v>0</v>
      </c>
      <c r="X19" s="24">
        <v>0</v>
      </c>
      <c r="Y19" s="24">
        <f t="shared" si="0"/>
        <v>0</v>
      </c>
      <c r="Z19" s="24">
        <v>1</v>
      </c>
      <c r="AA19" s="24">
        <v>0</v>
      </c>
      <c r="AB19" s="24">
        <v>0</v>
      </c>
      <c r="AC19" s="24">
        <v>0</v>
      </c>
      <c r="AD19" s="24">
        <f t="shared" si="1"/>
        <v>1</v>
      </c>
    </row>
    <row r="20" spans="1:30" s="25" customFormat="1" ht="24.95" customHeight="1" x14ac:dyDescent="0.45">
      <c r="A20" s="20" t="s">
        <v>99</v>
      </c>
      <c r="B20" s="20" t="s">
        <v>100</v>
      </c>
      <c r="C20" s="20" t="s">
        <v>117</v>
      </c>
      <c r="D20" s="37">
        <v>8</v>
      </c>
      <c r="E20" s="39" t="s">
        <v>130</v>
      </c>
      <c r="F20" s="39" t="s">
        <v>131</v>
      </c>
      <c r="G20" s="40">
        <v>82</v>
      </c>
      <c r="H20" s="33">
        <v>0</v>
      </c>
      <c r="I20" s="33">
        <v>3</v>
      </c>
      <c r="J20" s="33">
        <v>14</v>
      </c>
      <c r="K20" s="35">
        <f t="shared" ref="K20" si="14">SUM(G20:J20)</f>
        <v>99</v>
      </c>
      <c r="L20" s="33">
        <v>17</v>
      </c>
      <c r="M20" s="33">
        <v>0</v>
      </c>
      <c r="N20" s="33">
        <v>3</v>
      </c>
      <c r="O20" s="33">
        <v>6</v>
      </c>
      <c r="P20" s="35">
        <f t="shared" ref="P20" si="15">SUM(L20:O20)</f>
        <v>26</v>
      </c>
      <c r="Q20" s="33">
        <v>125</v>
      </c>
      <c r="R20" s="21" t="s">
        <v>132</v>
      </c>
      <c r="S20" s="22">
        <v>8103898920</v>
      </c>
      <c r="T20" s="23">
        <v>764008920019</v>
      </c>
      <c r="U20" s="24">
        <v>0</v>
      </c>
      <c r="V20" s="24">
        <v>0</v>
      </c>
      <c r="W20" s="24">
        <v>0</v>
      </c>
      <c r="X20" s="24">
        <v>0</v>
      </c>
      <c r="Y20" s="24">
        <f t="shared" si="0"/>
        <v>0</v>
      </c>
      <c r="Z20" s="24">
        <v>0</v>
      </c>
      <c r="AA20" s="24">
        <v>0</v>
      </c>
      <c r="AB20" s="24">
        <v>0</v>
      </c>
      <c r="AC20" s="24">
        <v>1</v>
      </c>
      <c r="AD20" s="24">
        <f t="shared" si="1"/>
        <v>1</v>
      </c>
    </row>
    <row r="21" spans="1:30" s="25" customFormat="1" ht="24.95" customHeight="1" x14ac:dyDescent="0.45">
      <c r="A21" s="20" t="s">
        <v>99</v>
      </c>
      <c r="B21" s="20" t="s">
        <v>100</v>
      </c>
      <c r="C21" s="20" t="s">
        <v>117</v>
      </c>
      <c r="D21" s="38"/>
      <c r="E21" s="39"/>
      <c r="F21" s="39"/>
      <c r="G21" s="41"/>
      <c r="H21" s="34"/>
      <c r="I21" s="34"/>
      <c r="J21" s="34"/>
      <c r="K21" s="36"/>
      <c r="L21" s="34"/>
      <c r="M21" s="34"/>
      <c r="N21" s="34"/>
      <c r="O21" s="34"/>
      <c r="P21" s="36"/>
      <c r="Q21" s="34"/>
      <c r="R21" s="21" t="s">
        <v>133</v>
      </c>
      <c r="S21" s="22">
        <v>7692856516</v>
      </c>
      <c r="T21" s="23">
        <v>245876844568</v>
      </c>
      <c r="U21" s="24">
        <v>0</v>
      </c>
      <c r="V21" s="24">
        <v>0</v>
      </c>
      <c r="W21" s="24">
        <v>0</v>
      </c>
      <c r="X21" s="24">
        <v>0</v>
      </c>
      <c r="Y21" s="24">
        <f t="shared" si="0"/>
        <v>0</v>
      </c>
      <c r="Z21" s="24">
        <v>1</v>
      </c>
      <c r="AA21" s="24">
        <v>0</v>
      </c>
      <c r="AB21" s="24">
        <v>0</v>
      </c>
      <c r="AC21" s="24">
        <v>0</v>
      </c>
      <c r="AD21" s="24">
        <f t="shared" si="1"/>
        <v>1</v>
      </c>
    </row>
    <row r="22" spans="1:30" s="25" customFormat="1" ht="24.95" customHeight="1" x14ac:dyDescent="0.45">
      <c r="A22" s="20" t="s">
        <v>99</v>
      </c>
      <c r="B22" s="20" t="s">
        <v>100</v>
      </c>
      <c r="C22" s="20" t="s">
        <v>134</v>
      </c>
      <c r="D22" s="37">
        <v>9</v>
      </c>
      <c r="E22" s="39" t="s">
        <v>135</v>
      </c>
      <c r="F22" s="39" t="s">
        <v>136</v>
      </c>
      <c r="G22" s="40">
        <v>72</v>
      </c>
      <c r="H22" s="33">
        <v>0</v>
      </c>
      <c r="I22" s="33">
        <v>18</v>
      </c>
      <c r="J22" s="33">
        <v>11</v>
      </c>
      <c r="K22" s="35">
        <f t="shared" ref="K22" si="16">SUM(G22:J22)</f>
        <v>101</v>
      </c>
      <c r="L22" s="33">
        <v>20</v>
      </c>
      <c r="M22" s="33">
        <v>0</v>
      </c>
      <c r="N22" s="33">
        <v>1</v>
      </c>
      <c r="O22" s="33">
        <v>3</v>
      </c>
      <c r="P22" s="35">
        <f t="shared" ref="P22" si="17">SUM(L22:O22)</f>
        <v>24</v>
      </c>
      <c r="Q22" s="33">
        <v>125</v>
      </c>
      <c r="R22" s="21" t="s">
        <v>137</v>
      </c>
      <c r="S22" s="22">
        <v>6263272705</v>
      </c>
      <c r="T22" s="23">
        <v>360032718194</v>
      </c>
      <c r="U22" s="24">
        <v>0</v>
      </c>
      <c r="V22" s="24">
        <v>0</v>
      </c>
      <c r="W22" s="24">
        <v>0</v>
      </c>
      <c r="X22" s="24">
        <v>0</v>
      </c>
      <c r="Y22" s="24">
        <f t="shared" si="0"/>
        <v>0</v>
      </c>
      <c r="Z22" s="24">
        <v>1</v>
      </c>
      <c r="AA22" s="24">
        <v>0</v>
      </c>
      <c r="AB22" s="24">
        <v>0</v>
      </c>
      <c r="AC22" s="24">
        <v>0</v>
      </c>
      <c r="AD22" s="24">
        <f t="shared" si="1"/>
        <v>1</v>
      </c>
    </row>
    <row r="23" spans="1:30" s="25" customFormat="1" ht="24.95" customHeight="1" x14ac:dyDescent="0.45">
      <c r="A23" s="20" t="s">
        <v>99</v>
      </c>
      <c r="B23" s="20" t="s">
        <v>100</v>
      </c>
      <c r="C23" s="20" t="s">
        <v>134</v>
      </c>
      <c r="D23" s="38"/>
      <c r="E23" s="39"/>
      <c r="F23" s="39"/>
      <c r="G23" s="41"/>
      <c r="H23" s="34"/>
      <c r="I23" s="34"/>
      <c r="J23" s="34"/>
      <c r="K23" s="36"/>
      <c r="L23" s="34"/>
      <c r="M23" s="34"/>
      <c r="N23" s="34"/>
      <c r="O23" s="34"/>
      <c r="P23" s="36"/>
      <c r="Q23" s="34"/>
      <c r="R23" s="21" t="s">
        <v>138</v>
      </c>
      <c r="S23" s="22">
        <v>7828470304</v>
      </c>
      <c r="T23" s="23">
        <v>236504683564</v>
      </c>
      <c r="U23" s="24">
        <v>0</v>
      </c>
      <c r="V23" s="24">
        <v>0</v>
      </c>
      <c r="W23" s="24">
        <v>0</v>
      </c>
      <c r="X23" s="24">
        <v>0</v>
      </c>
      <c r="Y23" s="24">
        <f t="shared" si="0"/>
        <v>0</v>
      </c>
      <c r="Z23" s="24">
        <v>1</v>
      </c>
      <c r="AA23" s="24">
        <v>0</v>
      </c>
      <c r="AB23" s="24">
        <v>0</v>
      </c>
      <c r="AC23" s="24">
        <v>0</v>
      </c>
      <c r="AD23" s="24">
        <f t="shared" si="1"/>
        <v>1</v>
      </c>
    </row>
    <row r="24" spans="1:30" s="25" customFormat="1" ht="24.95" customHeight="1" x14ac:dyDescent="0.45">
      <c r="A24" s="20" t="s">
        <v>99</v>
      </c>
      <c r="B24" s="20" t="s">
        <v>100</v>
      </c>
      <c r="C24" s="20" t="s">
        <v>134</v>
      </c>
      <c r="D24" s="37">
        <v>10</v>
      </c>
      <c r="E24" s="39" t="s">
        <v>139</v>
      </c>
      <c r="F24" s="39" t="s">
        <v>140</v>
      </c>
      <c r="G24" s="40">
        <v>105</v>
      </c>
      <c r="H24" s="33">
        <v>0</v>
      </c>
      <c r="I24" s="33">
        <v>11</v>
      </c>
      <c r="J24" s="33">
        <v>0</v>
      </c>
      <c r="K24" s="35">
        <f t="shared" ref="K24" si="18">SUM(G24:J24)</f>
        <v>116</v>
      </c>
      <c r="L24" s="33">
        <v>8</v>
      </c>
      <c r="M24" s="33">
        <v>0</v>
      </c>
      <c r="N24" s="33">
        <v>1</v>
      </c>
      <c r="O24" s="33">
        <v>0</v>
      </c>
      <c r="P24" s="35">
        <f t="shared" ref="P24" si="19">SUM(L24:O24)</f>
        <v>9</v>
      </c>
      <c r="Q24" s="33">
        <v>125</v>
      </c>
      <c r="R24" s="21" t="s">
        <v>141</v>
      </c>
      <c r="S24" s="22">
        <v>8358897677</v>
      </c>
      <c r="T24" s="23">
        <v>268949960618</v>
      </c>
      <c r="U24" s="24">
        <v>0</v>
      </c>
      <c r="V24" s="24">
        <v>0</v>
      </c>
      <c r="W24" s="24">
        <v>0</v>
      </c>
      <c r="X24" s="24">
        <v>0</v>
      </c>
      <c r="Y24" s="24">
        <f t="shared" si="0"/>
        <v>0</v>
      </c>
      <c r="Z24" s="24">
        <v>1</v>
      </c>
      <c r="AA24" s="24">
        <v>0</v>
      </c>
      <c r="AB24" s="24">
        <v>0</v>
      </c>
      <c r="AC24" s="24">
        <v>0</v>
      </c>
      <c r="AD24" s="24">
        <f t="shared" si="1"/>
        <v>1</v>
      </c>
    </row>
    <row r="25" spans="1:30" s="25" customFormat="1" ht="24.95" customHeight="1" x14ac:dyDescent="0.45">
      <c r="A25" s="20" t="s">
        <v>99</v>
      </c>
      <c r="B25" s="20" t="s">
        <v>100</v>
      </c>
      <c r="C25" s="20" t="s">
        <v>134</v>
      </c>
      <c r="D25" s="38"/>
      <c r="E25" s="39"/>
      <c r="F25" s="39"/>
      <c r="G25" s="41"/>
      <c r="H25" s="34"/>
      <c r="I25" s="34"/>
      <c r="J25" s="34"/>
      <c r="K25" s="36"/>
      <c r="L25" s="34"/>
      <c r="M25" s="34"/>
      <c r="N25" s="34"/>
      <c r="O25" s="34"/>
      <c r="P25" s="36"/>
      <c r="Q25" s="34"/>
      <c r="R25" s="21" t="s">
        <v>142</v>
      </c>
      <c r="S25" s="22">
        <v>6260923750</v>
      </c>
      <c r="T25" s="23">
        <v>605609631761</v>
      </c>
      <c r="U25" s="24">
        <v>0</v>
      </c>
      <c r="V25" s="24">
        <v>0</v>
      </c>
      <c r="W25" s="24">
        <v>0</v>
      </c>
      <c r="X25" s="24">
        <v>0</v>
      </c>
      <c r="Y25" s="24">
        <f t="shared" si="0"/>
        <v>0</v>
      </c>
      <c r="Z25" s="24">
        <v>1</v>
      </c>
      <c r="AA25" s="24">
        <v>0</v>
      </c>
      <c r="AB25" s="24">
        <v>0</v>
      </c>
      <c r="AC25" s="24">
        <v>0</v>
      </c>
      <c r="AD25" s="24">
        <f t="shared" si="1"/>
        <v>1</v>
      </c>
    </row>
    <row r="26" spans="1:30" s="25" customFormat="1" ht="24.95" customHeight="1" x14ac:dyDescent="0.45">
      <c r="A26" s="20" t="s">
        <v>99</v>
      </c>
      <c r="B26" s="20" t="s">
        <v>100</v>
      </c>
      <c r="C26" s="20" t="s">
        <v>134</v>
      </c>
      <c r="D26" s="37">
        <v>11</v>
      </c>
      <c r="E26" s="39" t="s">
        <v>143</v>
      </c>
      <c r="F26" s="39" t="s">
        <v>144</v>
      </c>
      <c r="G26" s="40">
        <v>106</v>
      </c>
      <c r="H26" s="33">
        <v>0</v>
      </c>
      <c r="I26" s="33">
        <v>6</v>
      </c>
      <c r="J26" s="33">
        <v>0</v>
      </c>
      <c r="K26" s="35">
        <f t="shared" ref="K26" si="20">SUM(G26:J26)</f>
        <v>112</v>
      </c>
      <c r="L26" s="33">
        <v>13</v>
      </c>
      <c r="M26" s="33">
        <v>0</v>
      </c>
      <c r="N26" s="33">
        <v>0</v>
      </c>
      <c r="O26" s="33">
        <v>0</v>
      </c>
      <c r="P26" s="35">
        <f t="shared" ref="P26" si="21">SUM(L26:O26)</f>
        <v>13</v>
      </c>
      <c r="Q26" s="33">
        <v>125</v>
      </c>
      <c r="R26" s="21" t="s">
        <v>145</v>
      </c>
      <c r="S26" s="22">
        <v>9589959416</v>
      </c>
      <c r="T26" s="23">
        <v>448115617321</v>
      </c>
      <c r="U26" s="24">
        <v>0</v>
      </c>
      <c r="V26" s="24">
        <v>0</v>
      </c>
      <c r="W26" s="24">
        <v>0</v>
      </c>
      <c r="X26" s="24">
        <v>0</v>
      </c>
      <c r="Y26" s="24">
        <f t="shared" si="0"/>
        <v>0</v>
      </c>
      <c r="Z26" s="24">
        <v>1</v>
      </c>
      <c r="AA26" s="24">
        <v>0</v>
      </c>
      <c r="AB26" s="24">
        <v>0</v>
      </c>
      <c r="AC26" s="24">
        <v>0</v>
      </c>
      <c r="AD26" s="24">
        <f t="shared" si="1"/>
        <v>1</v>
      </c>
    </row>
    <row r="27" spans="1:30" s="25" customFormat="1" ht="24.95" customHeight="1" x14ac:dyDescent="0.45">
      <c r="A27" s="20" t="s">
        <v>99</v>
      </c>
      <c r="B27" s="20" t="s">
        <v>100</v>
      </c>
      <c r="C27" s="20" t="s">
        <v>134</v>
      </c>
      <c r="D27" s="38"/>
      <c r="E27" s="39"/>
      <c r="F27" s="39"/>
      <c r="G27" s="41"/>
      <c r="H27" s="34"/>
      <c r="I27" s="34"/>
      <c r="J27" s="34"/>
      <c r="K27" s="36"/>
      <c r="L27" s="34"/>
      <c r="M27" s="34"/>
      <c r="N27" s="34"/>
      <c r="O27" s="34"/>
      <c r="P27" s="36"/>
      <c r="Q27" s="34"/>
      <c r="R27" s="21" t="s">
        <v>146</v>
      </c>
      <c r="S27" s="22">
        <v>6267227762</v>
      </c>
      <c r="T27" s="23">
        <v>212226488438</v>
      </c>
      <c r="U27" s="24">
        <v>0</v>
      </c>
      <c r="V27" s="24">
        <v>0</v>
      </c>
      <c r="W27" s="24">
        <v>0</v>
      </c>
      <c r="X27" s="24">
        <v>0</v>
      </c>
      <c r="Y27" s="24">
        <f t="shared" si="0"/>
        <v>0</v>
      </c>
      <c r="Z27" s="24">
        <v>1</v>
      </c>
      <c r="AA27" s="24">
        <v>0</v>
      </c>
      <c r="AB27" s="24">
        <v>0</v>
      </c>
      <c r="AC27" s="24">
        <v>0</v>
      </c>
      <c r="AD27" s="24">
        <f t="shared" si="1"/>
        <v>1</v>
      </c>
    </row>
    <row r="28" spans="1:30" s="25" customFormat="1" ht="24.95" customHeight="1" x14ac:dyDescent="0.45">
      <c r="A28" s="20" t="s">
        <v>99</v>
      </c>
      <c r="B28" s="20" t="s">
        <v>100</v>
      </c>
      <c r="C28" s="20" t="s">
        <v>134</v>
      </c>
      <c r="D28" s="37">
        <v>12</v>
      </c>
      <c r="E28" s="39" t="s">
        <v>147</v>
      </c>
      <c r="F28" s="39" t="s">
        <v>148</v>
      </c>
      <c r="G28" s="40">
        <v>98</v>
      </c>
      <c r="H28" s="33">
        <v>0</v>
      </c>
      <c r="I28" s="33">
        <v>11</v>
      </c>
      <c r="J28" s="33">
        <v>0</v>
      </c>
      <c r="K28" s="35">
        <f t="shared" ref="K28" si="22">SUM(G28:J28)</f>
        <v>109</v>
      </c>
      <c r="L28" s="33">
        <v>15</v>
      </c>
      <c r="M28" s="33">
        <v>0</v>
      </c>
      <c r="N28" s="33">
        <v>1</v>
      </c>
      <c r="O28" s="33">
        <v>0</v>
      </c>
      <c r="P28" s="35">
        <f t="shared" ref="P28" si="23">SUM(L28:O28)</f>
        <v>16</v>
      </c>
      <c r="Q28" s="33">
        <v>125</v>
      </c>
      <c r="R28" s="21" t="s">
        <v>149</v>
      </c>
      <c r="S28" s="22">
        <v>9302002199</v>
      </c>
      <c r="T28" s="23">
        <v>755002295067</v>
      </c>
      <c r="U28" s="24">
        <v>0</v>
      </c>
      <c r="V28" s="24">
        <v>0</v>
      </c>
      <c r="W28" s="24">
        <v>0</v>
      </c>
      <c r="X28" s="24">
        <v>0</v>
      </c>
      <c r="Y28" s="24">
        <f t="shared" si="0"/>
        <v>0</v>
      </c>
      <c r="Z28" s="24">
        <v>0</v>
      </c>
      <c r="AA28" s="24">
        <v>0</v>
      </c>
      <c r="AB28" s="24">
        <v>1</v>
      </c>
      <c r="AC28" s="24">
        <v>0</v>
      </c>
      <c r="AD28" s="24">
        <f t="shared" si="1"/>
        <v>1</v>
      </c>
    </row>
    <row r="29" spans="1:30" s="25" customFormat="1" ht="24.95" customHeight="1" x14ac:dyDescent="0.45">
      <c r="A29" s="20" t="s">
        <v>99</v>
      </c>
      <c r="B29" s="20" t="s">
        <v>100</v>
      </c>
      <c r="C29" s="20" t="s">
        <v>134</v>
      </c>
      <c r="D29" s="38"/>
      <c r="E29" s="39"/>
      <c r="F29" s="39"/>
      <c r="G29" s="41"/>
      <c r="H29" s="34"/>
      <c r="I29" s="34"/>
      <c r="J29" s="34"/>
      <c r="K29" s="36"/>
      <c r="L29" s="34"/>
      <c r="M29" s="34"/>
      <c r="N29" s="34"/>
      <c r="O29" s="34"/>
      <c r="P29" s="36"/>
      <c r="Q29" s="34"/>
      <c r="R29" s="21" t="s">
        <v>150</v>
      </c>
      <c r="S29" s="22">
        <v>6266277860</v>
      </c>
      <c r="T29" s="23">
        <v>855436802101</v>
      </c>
      <c r="U29" s="24">
        <v>0</v>
      </c>
      <c r="V29" s="24">
        <v>0</v>
      </c>
      <c r="W29" s="24">
        <v>0</v>
      </c>
      <c r="X29" s="24">
        <v>0</v>
      </c>
      <c r="Y29" s="24">
        <f t="shared" si="0"/>
        <v>0</v>
      </c>
      <c r="Z29" s="24">
        <v>1</v>
      </c>
      <c r="AA29" s="24">
        <v>0</v>
      </c>
      <c r="AB29" s="24">
        <v>0</v>
      </c>
      <c r="AC29" s="24">
        <v>0</v>
      </c>
      <c r="AD29" s="24">
        <f t="shared" si="1"/>
        <v>1</v>
      </c>
    </row>
    <row r="30" spans="1:30" s="25" customFormat="1" ht="24.95" customHeight="1" x14ac:dyDescent="0.45">
      <c r="A30" s="20" t="s">
        <v>99</v>
      </c>
      <c r="B30" s="20" t="s">
        <v>100</v>
      </c>
      <c r="C30" s="20" t="s">
        <v>151</v>
      </c>
      <c r="D30" s="37">
        <v>13</v>
      </c>
      <c r="E30" s="39" t="s">
        <v>152</v>
      </c>
      <c r="F30" s="39" t="s">
        <v>153</v>
      </c>
      <c r="G30" s="40">
        <v>58</v>
      </c>
      <c r="H30" s="33">
        <v>0</v>
      </c>
      <c r="I30" s="33">
        <v>23</v>
      </c>
      <c r="J30" s="33">
        <v>13</v>
      </c>
      <c r="K30" s="35">
        <f t="shared" ref="K30" si="24">SUM(G30:J30)</f>
        <v>94</v>
      </c>
      <c r="L30" s="33">
        <v>24</v>
      </c>
      <c r="M30" s="33">
        <v>0</v>
      </c>
      <c r="N30" s="33">
        <v>2</v>
      </c>
      <c r="O30" s="33">
        <v>5</v>
      </c>
      <c r="P30" s="35">
        <f t="shared" ref="P30" si="25">SUM(L30:O30)</f>
        <v>31</v>
      </c>
      <c r="Q30" s="33">
        <v>125</v>
      </c>
      <c r="R30" s="21" t="s">
        <v>154</v>
      </c>
      <c r="S30" s="26">
        <v>7970064121</v>
      </c>
      <c r="T30" s="23">
        <v>257024943348</v>
      </c>
      <c r="U30" s="24">
        <v>0</v>
      </c>
      <c r="V30" s="24">
        <v>0</v>
      </c>
      <c r="W30" s="24">
        <v>0</v>
      </c>
      <c r="X30" s="24">
        <v>0</v>
      </c>
      <c r="Y30" s="24">
        <f t="shared" si="0"/>
        <v>0</v>
      </c>
      <c r="Z30" s="24">
        <v>1</v>
      </c>
      <c r="AA30" s="24">
        <v>0</v>
      </c>
      <c r="AB30" s="24">
        <v>0</v>
      </c>
      <c r="AC30" s="24">
        <v>0</v>
      </c>
      <c r="AD30" s="24">
        <f t="shared" si="1"/>
        <v>1</v>
      </c>
    </row>
    <row r="31" spans="1:30" s="25" customFormat="1" ht="24.95" customHeight="1" x14ac:dyDescent="0.45">
      <c r="A31" s="20" t="s">
        <v>99</v>
      </c>
      <c r="B31" s="20" t="s">
        <v>100</v>
      </c>
      <c r="C31" s="20" t="s">
        <v>151</v>
      </c>
      <c r="D31" s="38"/>
      <c r="E31" s="39"/>
      <c r="F31" s="39"/>
      <c r="G31" s="41"/>
      <c r="H31" s="34"/>
      <c r="I31" s="34"/>
      <c r="J31" s="34"/>
      <c r="K31" s="36"/>
      <c r="L31" s="34"/>
      <c r="M31" s="34"/>
      <c r="N31" s="34"/>
      <c r="O31" s="34"/>
      <c r="P31" s="36"/>
      <c r="Q31" s="34"/>
      <c r="R31" s="21" t="s">
        <v>155</v>
      </c>
      <c r="S31" s="26">
        <v>7489687154</v>
      </c>
      <c r="T31" s="23">
        <v>885259167108</v>
      </c>
      <c r="U31" s="24">
        <v>0</v>
      </c>
      <c r="V31" s="24">
        <v>0</v>
      </c>
      <c r="W31" s="24">
        <v>0</v>
      </c>
      <c r="X31" s="24">
        <v>0</v>
      </c>
      <c r="Y31" s="24">
        <f t="shared" si="0"/>
        <v>0</v>
      </c>
      <c r="Z31" s="24">
        <v>1</v>
      </c>
      <c r="AA31" s="24">
        <v>0</v>
      </c>
      <c r="AB31" s="24">
        <v>0</v>
      </c>
      <c r="AC31" s="24">
        <v>0</v>
      </c>
      <c r="AD31" s="24">
        <f t="shared" si="1"/>
        <v>1</v>
      </c>
    </row>
    <row r="32" spans="1:30" s="25" customFormat="1" ht="24.95" customHeight="1" x14ac:dyDescent="0.45">
      <c r="A32" s="20" t="s">
        <v>99</v>
      </c>
      <c r="B32" s="20" t="s">
        <v>100</v>
      </c>
      <c r="C32" s="20" t="s">
        <v>151</v>
      </c>
      <c r="D32" s="37">
        <v>14</v>
      </c>
      <c r="E32" s="39" t="s">
        <v>156</v>
      </c>
      <c r="F32" s="39" t="s">
        <v>156</v>
      </c>
      <c r="G32" s="40">
        <v>60</v>
      </c>
      <c r="H32" s="33">
        <v>0</v>
      </c>
      <c r="I32" s="33">
        <v>37</v>
      </c>
      <c r="J32" s="33">
        <v>2</v>
      </c>
      <c r="K32" s="35">
        <f t="shared" ref="K32" si="26">SUM(G32:J32)</f>
        <v>99</v>
      </c>
      <c r="L32" s="33">
        <v>9</v>
      </c>
      <c r="M32" s="33">
        <v>0</v>
      </c>
      <c r="N32" s="33">
        <v>17</v>
      </c>
      <c r="O32" s="33">
        <v>0</v>
      </c>
      <c r="P32" s="35">
        <f t="shared" ref="P32" si="27">SUM(L32:O32)</f>
        <v>26</v>
      </c>
      <c r="Q32" s="33">
        <v>125</v>
      </c>
      <c r="R32" s="21" t="s">
        <v>157</v>
      </c>
      <c r="S32" s="26">
        <v>9407389727</v>
      </c>
      <c r="T32" s="23">
        <v>509966135444</v>
      </c>
      <c r="U32" s="24">
        <v>0</v>
      </c>
      <c r="V32" s="24">
        <v>0</v>
      </c>
      <c r="W32" s="24">
        <v>0</v>
      </c>
      <c r="X32" s="24">
        <v>0</v>
      </c>
      <c r="Y32" s="24">
        <f t="shared" si="0"/>
        <v>0</v>
      </c>
      <c r="Z32" s="24">
        <v>0</v>
      </c>
      <c r="AA32" s="24">
        <v>0</v>
      </c>
      <c r="AB32" s="24">
        <v>1</v>
      </c>
      <c r="AC32" s="24">
        <v>0</v>
      </c>
      <c r="AD32" s="24">
        <f t="shared" si="1"/>
        <v>1</v>
      </c>
    </row>
    <row r="33" spans="1:30" s="25" customFormat="1" ht="24.95" customHeight="1" x14ac:dyDescent="0.45">
      <c r="A33" s="20" t="s">
        <v>99</v>
      </c>
      <c r="B33" s="20" t="s">
        <v>100</v>
      </c>
      <c r="C33" s="20" t="s">
        <v>151</v>
      </c>
      <c r="D33" s="38"/>
      <c r="E33" s="39"/>
      <c r="F33" s="39"/>
      <c r="G33" s="41"/>
      <c r="H33" s="34"/>
      <c r="I33" s="34"/>
      <c r="J33" s="34"/>
      <c r="K33" s="36"/>
      <c r="L33" s="34"/>
      <c r="M33" s="34"/>
      <c r="N33" s="34"/>
      <c r="O33" s="34"/>
      <c r="P33" s="36"/>
      <c r="Q33" s="34"/>
      <c r="R33" s="21" t="s">
        <v>158</v>
      </c>
      <c r="S33" s="26">
        <v>9406860474</v>
      </c>
      <c r="T33" s="23">
        <v>721505713236</v>
      </c>
      <c r="U33" s="24">
        <v>0</v>
      </c>
      <c r="V33" s="24">
        <v>0</v>
      </c>
      <c r="W33" s="24">
        <v>0</v>
      </c>
      <c r="X33" s="24">
        <v>0</v>
      </c>
      <c r="Y33" s="24">
        <f t="shared" si="0"/>
        <v>0</v>
      </c>
      <c r="Z33" s="24">
        <v>1</v>
      </c>
      <c r="AA33" s="24">
        <v>0</v>
      </c>
      <c r="AB33" s="24">
        <v>0</v>
      </c>
      <c r="AC33" s="24">
        <v>0</v>
      </c>
      <c r="AD33" s="24">
        <f t="shared" si="1"/>
        <v>1</v>
      </c>
    </row>
    <row r="34" spans="1:30" s="25" customFormat="1" ht="24.95" customHeight="1" x14ac:dyDescent="0.45">
      <c r="A34" s="20" t="s">
        <v>99</v>
      </c>
      <c r="B34" s="20" t="s">
        <v>100</v>
      </c>
      <c r="C34" s="20" t="s">
        <v>151</v>
      </c>
      <c r="D34" s="37">
        <v>15</v>
      </c>
      <c r="E34" s="39" t="s">
        <v>159</v>
      </c>
      <c r="F34" s="39" t="s">
        <v>160</v>
      </c>
      <c r="G34" s="40">
        <v>24</v>
      </c>
      <c r="H34" s="33">
        <v>0</v>
      </c>
      <c r="I34" s="33">
        <v>43</v>
      </c>
      <c r="J34" s="33">
        <v>38</v>
      </c>
      <c r="K34" s="35">
        <f t="shared" ref="K34" si="28">SUM(G34:J34)</f>
        <v>105</v>
      </c>
      <c r="L34" s="33">
        <v>1</v>
      </c>
      <c r="M34" s="33">
        <v>0</v>
      </c>
      <c r="N34" s="33">
        <v>6</v>
      </c>
      <c r="O34" s="33">
        <v>13</v>
      </c>
      <c r="P34" s="35">
        <f t="shared" ref="P34" si="29">SUM(L34:O34)</f>
        <v>20</v>
      </c>
      <c r="Q34" s="33">
        <v>125</v>
      </c>
      <c r="R34" s="21" t="s">
        <v>161</v>
      </c>
      <c r="S34" s="26">
        <v>9407011623</v>
      </c>
      <c r="T34" s="23">
        <v>682465030146</v>
      </c>
      <c r="U34" s="24">
        <v>0</v>
      </c>
      <c r="V34" s="24">
        <v>0</v>
      </c>
      <c r="W34" s="24">
        <v>0</v>
      </c>
      <c r="X34" s="24">
        <v>0</v>
      </c>
      <c r="Y34" s="24">
        <f t="shared" si="0"/>
        <v>0</v>
      </c>
      <c r="Z34" s="24">
        <v>0</v>
      </c>
      <c r="AA34" s="24">
        <v>0</v>
      </c>
      <c r="AB34" s="24">
        <v>0</v>
      </c>
      <c r="AC34" s="24">
        <v>1</v>
      </c>
      <c r="AD34" s="24">
        <f t="shared" si="1"/>
        <v>1</v>
      </c>
    </row>
    <row r="35" spans="1:30" s="25" customFormat="1" ht="24.95" customHeight="1" x14ac:dyDescent="0.45">
      <c r="A35" s="20" t="s">
        <v>99</v>
      </c>
      <c r="B35" s="20" t="s">
        <v>100</v>
      </c>
      <c r="C35" s="20" t="s">
        <v>151</v>
      </c>
      <c r="D35" s="38"/>
      <c r="E35" s="39"/>
      <c r="F35" s="39"/>
      <c r="G35" s="41"/>
      <c r="H35" s="34"/>
      <c r="I35" s="34"/>
      <c r="J35" s="34"/>
      <c r="K35" s="36"/>
      <c r="L35" s="34"/>
      <c r="M35" s="34"/>
      <c r="N35" s="34"/>
      <c r="O35" s="34"/>
      <c r="P35" s="36"/>
      <c r="Q35" s="34"/>
      <c r="R35" s="21" t="s">
        <v>162</v>
      </c>
      <c r="S35" s="26">
        <v>7974992426</v>
      </c>
      <c r="T35" s="23">
        <v>941664532009</v>
      </c>
      <c r="U35" s="24">
        <v>0</v>
      </c>
      <c r="V35" s="24">
        <v>0</v>
      </c>
      <c r="W35" s="24">
        <v>0</v>
      </c>
      <c r="X35" s="24">
        <v>0</v>
      </c>
      <c r="Y35" s="24">
        <f t="shared" si="0"/>
        <v>0</v>
      </c>
      <c r="Z35" s="24">
        <v>0</v>
      </c>
      <c r="AA35" s="24">
        <v>0</v>
      </c>
      <c r="AB35" s="24">
        <v>1</v>
      </c>
      <c r="AC35" s="24">
        <v>0</v>
      </c>
      <c r="AD35" s="24">
        <f t="shared" si="1"/>
        <v>1</v>
      </c>
    </row>
    <row r="36" spans="1:30" s="25" customFormat="1" ht="24.95" customHeight="1" x14ac:dyDescent="0.45">
      <c r="A36" s="20" t="s">
        <v>99</v>
      </c>
      <c r="B36" s="20" t="s">
        <v>100</v>
      </c>
      <c r="C36" s="20" t="s">
        <v>151</v>
      </c>
      <c r="D36" s="37">
        <v>16</v>
      </c>
      <c r="E36" s="39" t="s">
        <v>163</v>
      </c>
      <c r="F36" s="39" t="s">
        <v>164</v>
      </c>
      <c r="G36" s="40">
        <v>53</v>
      </c>
      <c r="H36" s="33">
        <v>0</v>
      </c>
      <c r="I36" s="33">
        <v>30</v>
      </c>
      <c r="J36" s="33">
        <v>19</v>
      </c>
      <c r="K36" s="35">
        <f t="shared" ref="K36" si="30">SUM(G36:J36)</f>
        <v>102</v>
      </c>
      <c r="L36" s="33">
        <v>7</v>
      </c>
      <c r="M36" s="33">
        <v>0</v>
      </c>
      <c r="N36" s="33">
        <v>8</v>
      </c>
      <c r="O36" s="33">
        <v>8</v>
      </c>
      <c r="P36" s="35">
        <f t="shared" ref="P36" si="31">SUM(L36:O36)</f>
        <v>23</v>
      </c>
      <c r="Q36" s="33">
        <v>125</v>
      </c>
      <c r="R36" s="21" t="s">
        <v>165</v>
      </c>
      <c r="S36" s="26">
        <v>6268451527</v>
      </c>
      <c r="T36" s="23">
        <v>460775955612</v>
      </c>
      <c r="U36" s="24">
        <v>0</v>
      </c>
      <c r="V36" s="24">
        <v>0</v>
      </c>
      <c r="W36" s="24">
        <v>0</v>
      </c>
      <c r="X36" s="24">
        <v>0</v>
      </c>
      <c r="Y36" s="24">
        <f t="shared" si="0"/>
        <v>0</v>
      </c>
      <c r="Z36" s="24">
        <v>0</v>
      </c>
      <c r="AA36" s="24">
        <v>0</v>
      </c>
      <c r="AB36" s="24">
        <v>0</v>
      </c>
      <c r="AC36" s="24">
        <v>1</v>
      </c>
      <c r="AD36" s="24">
        <f t="shared" si="1"/>
        <v>1</v>
      </c>
    </row>
    <row r="37" spans="1:30" s="25" customFormat="1" ht="24.95" customHeight="1" x14ac:dyDescent="0.45">
      <c r="A37" s="20" t="s">
        <v>99</v>
      </c>
      <c r="B37" s="20" t="s">
        <v>100</v>
      </c>
      <c r="C37" s="20" t="s">
        <v>151</v>
      </c>
      <c r="D37" s="38"/>
      <c r="E37" s="39"/>
      <c r="F37" s="39"/>
      <c r="G37" s="41"/>
      <c r="H37" s="34"/>
      <c r="I37" s="34"/>
      <c r="J37" s="34"/>
      <c r="K37" s="36"/>
      <c r="L37" s="34"/>
      <c r="M37" s="34"/>
      <c r="N37" s="34"/>
      <c r="O37" s="34"/>
      <c r="P37" s="36"/>
      <c r="Q37" s="34"/>
      <c r="R37" s="21" t="s">
        <v>166</v>
      </c>
      <c r="S37" s="26">
        <v>9340888089</v>
      </c>
      <c r="T37" s="23">
        <v>423329319704</v>
      </c>
      <c r="U37" s="24">
        <v>0</v>
      </c>
      <c r="V37" s="24">
        <v>0</v>
      </c>
      <c r="W37" s="24">
        <v>0</v>
      </c>
      <c r="X37" s="24">
        <v>0</v>
      </c>
      <c r="Y37" s="24">
        <f t="shared" si="0"/>
        <v>0</v>
      </c>
      <c r="Z37" s="24">
        <v>0</v>
      </c>
      <c r="AA37" s="24">
        <v>0</v>
      </c>
      <c r="AB37" s="24">
        <v>1</v>
      </c>
      <c r="AC37" s="24">
        <v>0</v>
      </c>
      <c r="AD37" s="24">
        <f t="shared" si="1"/>
        <v>1</v>
      </c>
    </row>
    <row r="38" spans="1:30" s="25" customFormat="1" ht="24.95" customHeight="1" x14ac:dyDescent="0.45">
      <c r="A38" s="20" t="s">
        <v>99</v>
      </c>
      <c r="B38" s="20" t="s">
        <v>100</v>
      </c>
      <c r="C38" s="20" t="s">
        <v>167</v>
      </c>
      <c r="D38" s="37">
        <v>17</v>
      </c>
      <c r="E38" s="39" t="s">
        <v>168</v>
      </c>
      <c r="F38" s="39" t="s">
        <v>169</v>
      </c>
      <c r="G38" s="40">
        <v>74</v>
      </c>
      <c r="H38" s="33">
        <v>0</v>
      </c>
      <c r="I38" s="33">
        <v>20</v>
      </c>
      <c r="J38" s="33">
        <v>8</v>
      </c>
      <c r="K38" s="35">
        <f t="shared" ref="K38" si="32">SUM(G38:J38)</f>
        <v>102</v>
      </c>
      <c r="L38" s="33">
        <v>16</v>
      </c>
      <c r="M38" s="33">
        <v>0</v>
      </c>
      <c r="N38" s="33">
        <v>5</v>
      </c>
      <c r="O38" s="33">
        <v>2</v>
      </c>
      <c r="P38" s="35">
        <f t="shared" ref="P38" si="33">SUM(L38:O38)</f>
        <v>23</v>
      </c>
      <c r="Q38" s="33">
        <v>125</v>
      </c>
      <c r="R38" s="21" t="s">
        <v>170</v>
      </c>
      <c r="S38" s="22">
        <v>9685903571</v>
      </c>
      <c r="T38" s="23">
        <v>651083212817</v>
      </c>
      <c r="U38" s="24">
        <v>0</v>
      </c>
      <c r="V38" s="24">
        <v>0</v>
      </c>
      <c r="W38" s="24">
        <v>0</v>
      </c>
      <c r="X38" s="24">
        <v>0</v>
      </c>
      <c r="Y38" s="24">
        <f t="shared" si="0"/>
        <v>0</v>
      </c>
      <c r="Z38" s="24">
        <v>0</v>
      </c>
      <c r="AA38" s="24">
        <v>0</v>
      </c>
      <c r="AB38" s="24">
        <v>0</v>
      </c>
      <c r="AC38" s="24">
        <v>1</v>
      </c>
      <c r="AD38" s="24">
        <f t="shared" si="1"/>
        <v>1</v>
      </c>
    </row>
    <row r="39" spans="1:30" s="25" customFormat="1" ht="24.95" customHeight="1" x14ac:dyDescent="0.45">
      <c r="A39" s="20" t="s">
        <v>99</v>
      </c>
      <c r="B39" s="20" t="s">
        <v>100</v>
      </c>
      <c r="C39" s="20" t="s">
        <v>167</v>
      </c>
      <c r="D39" s="38"/>
      <c r="E39" s="39"/>
      <c r="F39" s="39"/>
      <c r="G39" s="41"/>
      <c r="H39" s="34"/>
      <c r="I39" s="34"/>
      <c r="J39" s="34"/>
      <c r="K39" s="36"/>
      <c r="L39" s="34"/>
      <c r="M39" s="34"/>
      <c r="N39" s="34"/>
      <c r="O39" s="34"/>
      <c r="P39" s="36"/>
      <c r="Q39" s="34"/>
      <c r="R39" s="21" t="s">
        <v>171</v>
      </c>
      <c r="S39" s="22">
        <v>8103218718</v>
      </c>
      <c r="T39" s="23">
        <v>445145445319</v>
      </c>
      <c r="U39" s="24">
        <v>0</v>
      </c>
      <c r="V39" s="24">
        <v>0</v>
      </c>
      <c r="W39" s="24">
        <v>0</v>
      </c>
      <c r="X39" s="24">
        <v>0</v>
      </c>
      <c r="Y39" s="24">
        <f t="shared" si="0"/>
        <v>0</v>
      </c>
      <c r="Z39" s="24">
        <v>0</v>
      </c>
      <c r="AA39" s="24">
        <v>0</v>
      </c>
      <c r="AB39" s="24">
        <v>0</v>
      </c>
      <c r="AC39" s="24">
        <v>1</v>
      </c>
      <c r="AD39" s="24">
        <f t="shared" si="1"/>
        <v>1</v>
      </c>
    </row>
    <row r="40" spans="1:30" s="25" customFormat="1" ht="24.95" customHeight="1" x14ac:dyDescent="0.45">
      <c r="A40" s="20" t="s">
        <v>99</v>
      </c>
      <c r="B40" s="20" t="s">
        <v>100</v>
      </c>
      <c r="C40" s="20" t="s">
        <v>167</v>
      </c>
      <c r="D40" s="37">
        <v>18</v>
      </c>
      <c r="E40" s="39" t="s">
        <v>172</v>
      </c>
      <c r="F40" s="39" t="s">
        <v>173</v>
      </c>
      <c r="G40" s="40">
        <v>22</v>
      </c>
      <c r="H40" s="33">
        <v>0</v>
      </c>
      <c r="I40" s="33">
        <v>33</v>
      </c>
      <c r="J40" s="33">
        <v>50</v>
      </c>
      <c r="K40" s="35">
        <f t="shared" ref="K40" si="34">SUM(G40:J40)</f>
        <v>105</v>
      </c>
      <c r="L40" s="33">
        <v>7</v>
      </c>
      <c r="M40" s="33">
        <v>0</v>
      </c>
      <c r="N40" s="33">
        <v>3</v>
      </c>
      <c r="O40" s="33">
        <v>10</v>
      </c>
      <c r="P40" s="35">
        <f t="shared" ref="P40" si="35">SUM(L40:O40)</f>
        <v>20</v>
      </c>
      <c r="Q40" s="33">
        <v>125</v>
      </c>
      <c r="R40" s="21" t="s">
        <v>174</v>
      </c>
      <c r="S40" s="22">
        <v>6263252313</v>
      </c>
      <c r="T40" s="23">
        <v>695510093831</v>
      </c>
      <c r="U40" s="24">
        <v>0</v>
      </c>
      <c r="V40" s="24">
        <v>0</v>
      </c>
      <c r="W40" s="24">
        <v>0</v>
      </c>
      <c r="X40" s="24">
        <v>0</v>
      </c>
      <c r="Y40" s="24">
        <f t="shared" si="0"/>
        <v>0</v>
      </c>
      <c r="Z40" s="24">
        <v>0</v>
      </c>
      <c r="AA40" s="24">
        <v>0</v>
      </c>
      <c r="AB40" s="24">
        <v>1</v>
      </c>
      <c r="AC40" s="24">
        <v>0</v>
      </c>
      <c r="AD40" s="24">
        <f t="shared" si="1"/>
        <v>1</v>
      </c>
    </row>
    <row r="41" spans="1:30" s="25" customFormat="1" ht="24.95" customHeight="1" x14ac:dyDescent="0.45">
      <c r="A41" s="20" t="s">
        <v>99</v>
      </c>
      <c r="B41" s="20" t="s">
        <v>100</v>
      </c>
      <c r="C41" s="20" t="s">
        <v>167</v>
      </c>
      <c r="D41" s="38"/>
      <c r="E41" s="39"/>
      <c r="F41" s="39"/>
      <c r="G41" s="41"/>
      <c r="H41" s="34"/>
      <c r="I41" s="34"/>
      <c r="J41" s="34"/>
      <c r="K41" s="36"/>
      <c r="L41" s="34"/>
      <c r="M41" s="34"/>
      <c r="N41" s="34"/>
      <c r="O41" s="34"/>
      <c r="P41" s="36"/>
      <c r="Q41" s="34"/>
      <c r="R41" s="21" t="s">
        <v>175</v>
      </c>
      <c r="S41" s="22">
        <v>6260636119</v>
      </c>
      <c r="T41" s="23">
        <v>859053391087</v>
      </c>
      <c r="U41" s="24">
        <v>0</v>
      </c>
      <c r="V41" s="24">
        <v>0</v>
      </c>
      <c r="W41" s="24">
        <v>0</v>
      </c>
      <c r="X41" s="24">
        <v>0</v>
      </c>
      <c r="Y41" s="24">
        <f t="shared" si="0"/>
        <v>0</v>
      </c>
      <c r="Z41" s="24">
        <v>0</v>
      </c>
      <c r="AA41" s="24">
        <v>0</v>
      </c>
      <c r="AB41" s="24">
        <v>1</v>
      </c>
      <c r="AC41" s="24">
        <v>0</v>
      </c>
      <c r="AD41" s="24">
        <f t="shared" si="1"/>
        <v>1</v>
      </c>
    </row>
    <row r="42" spans="1:30" s="25" customFormat="1" ht="24.95" customHeight="1" x14ac:dyDescent="0.45">
      <c r="A42" s="20" t="s">
        <v>99</v>
      </c>
      <c r="B42" s="20" t="s">
        <v>100</v>
      </c>
      <c r="C42" s="20" t="s">
        <v>167</v>
      </c>
      <c r="D42" s="37">
        <v>19</v>
      </c>
      <c r="E42" s="39" t="s">
        <v>176</v>
      </c>
      <c r="F42" s="39" t="s">
        <v>177</v>
      </c>
      <c r="G42" s="40">
        <v>55</v>
      </c>
      <c r="H42" s="33">
        <v>0</v>
      </c>
      <c r="I42" s="33">
        <v>17</v>
      </c>
      <c r="J42" s="33">
        <v>21</v>
      </c>
      <c r="K42" s="35">
        <f t="shared" ref="K42" si="36">SUM(G42:J42)</f>
        <v>93</v>
      </c>
      <c r="L42" s="33">
        <v>24</v>
      </c>
      <c r="M42" s="33">
        <v>0</v>
      </c>
      <c r="N42" s="33">
        <v>3</v>
      </c>
      <c r="O42" s="33">
        <v>5</v>
      </c>
      <c r="P42" s="35">
        <f t="shared" ref="P42" si="37">SUM(L42:O42)</f>
        <v>32</v>
      </c>
      <c r="Q42" s="33">
        <v>125</v>
      </c>
      <c r="R42" s="21" t="s">
        <v>178</v>
      </c>
      <c r="S42" s="22">
        <v>7987007252</v>
      </c>
      <c r="T42" s="23">
        <v>830408457276</v>
      </c>
      <c r="U42" s="24">
        <v>0</v>
      </c>
      <c r="V42" s="24">
        <v>0</v>
      </c>
      <c r="W42" s="24">
        <v>0</v>
      </c>
      <c r="X42" s="24">
        <v>0</v>
      </c>
      <c r="Y42" s="24">
        <f t="shared" si="0"/>
        <v>0</v>
      </c>
      <c r="Z42" s="24">
        <v>0</v>
      </c>
      <c r="AA42" s="24">
        <v>0</v>
      </c>
      <c r="AB42" s="24">
        <v>1</v>
      </c>
      <c r="AC42" s="24">
        <v>0</v>
      </c>
      <c r="AD42" s="24">
        <f t="shared" si="1"/>
        <v>1</v>
      </c>
    </row>
    <row r="43" spans="1:30" s="25" customFormat="1" ht="24.95" customHeight="1" x14ac:dyDescent="0.45">
      <c r="A43" s="20" t="s">
        <v>99</v>
      </c>
      <c r="B43" s="20" t="s">
        <v>100</v>
      </c>
      <c r="C43" s="20" t="s">
        <v>167</v>
      </c>
      <c r="D43" s="38"/>
      <c r="E43" s="39"/>
      <c r="F43" s="39"/>
      <c r="G43" s="41"/>
      <c r="H43" s="34"/>
      <c r="I43" s="34"/>
      <c r="J43" s="34"/>
      <c r="K43" s="36"/>
      <c r="L43" s="34"/>
      <c r="M43" s="34"/>
      <c r="N43" s="34"/>
      <c r="O43" s="34"/>
      <c r="P43" s="36"/>
      <c r="Q43" s="34"/>
      <c r="R43" s="21" t="s">
        <v>179</v>
      </c>
      <c r="S43" s="22">
        <v>7089932787</v>
      </c>
      <c r="T43" s="23">
        <v>339323694555</v>
      </c>
      <c r="U43" s="24">
        <v>0</v>
      </c>
      <c r="V43" s="24">
        <v>0</v>
      </c>
      <c r="W43" s="24">
        <v>0</v>
      </c>
      <c r="X43" s="24">
        <v>0</v>
      </c>
      <c r="Y43" s="24">
        <f t="shared" si="0"/>
        <v>0</v>
      </c>
      <c r="Z43" s="24">
        <v>1</v>
      </c>
      <c r="AA43" s="24">
        <v>0</v>
      </c>
      <c r="AB43" s="24">
        <v>0</v>
      </c>
      <c r="AC43" s="24">
        <v>0</v>
      </c>
      <c r="AD43" s="24">
        <f t="shared" si="1"/>
        <v>1</v>
      </c>
    </row>
    <row r="44" spans="1:30" s="25" customFormat="1" ht="24.95" customHeight="1" x14ac:dyDescent="0.45">
      <c r="A44" s="20" t="s">
        <v>99</v>
      </c>
      <c r="B44" s="20" t="s">
        <v>100</v>
      </c>
      <c r="C44" s="20" t="s">
        <v>167</v>
      </c>
      <c r="D44" s="37">
        <v>20</v>
      </c>
      <c r="E44" s="39" t="s">
        <v>180</v>
      </c>
      <c r="F44" s="39" t="s">
        <v>181</v>
      </c>
      <c r="G44" s="40">
        <v>72</v>
      </c>
      <c r="H44" s="33">
        <v>0</v>
      </c>
      <c r="I44" s="33">
        <v>17</v>
      </c>
      <c r="J44" s="33">
        <v>4</v>
      </c>
      <c r="K44" s="35">
        <f t="shared" ref="K44" si="38">SUM(G44:J44)</f>
        <v>93</v>
      </c>
      <c r="L44" s="33">
        <v>28</v>
      </c>
      <c r="M44" s="33">
        <v>0</v>
      </c>
      <c r="N44" s="33">
        <v>4</v>
      </c>
      <c r="O44" s="33">
        <v>0</v>
      </c>
      <c r="P44" s="35">
        <f t="shared" ref="P44" si="39">SUM(L44:O44)</f>
        <v>32</v>
      </c>
      <c r="Q44" s="33">
        <v>125</v>
      </c>
      <c r="R44" s="21" t="s">
        <v>182</v>
      </c>
      <c r="S44" s="22">
        <v>8323825609</v>
      </c>
      <c r="T44" s="23">
        <v>691171042081</v>
      </c>
      <c r="U44" s="24">
        <v>0</v>
      </c>
      <c r="V44" s="24">
        <v>0</v>
      </c>
      <c r="W44" s="24">
        <v>0</v>
      </c>
      <c r="X44" s="24">
        <v>0</v>
      </c>
      <c r="Y44" s="24">
        <f t="shared" si="0"/>
        <v>0</v>
      </c>
      <c r="Z44" s="24">
        <v>0</v>
      </c>
      <c r="AA44" s="24">
        <v>0</v>
      </c>
      <c r="AB44" s="24">
        <v>1</v>
      </c>
      <c r="AC44" s="24">
        <v>0</v>
      </c>
      <c r="AD44" s="24">
        <f t="shared" si="1"/>
        <v>1</v>
      </c>
    </row>
    <row r="45" spans="1:30" s="25" customFormat="1" ht="24.95" customHeight="1" x14ac:dyDescent="0.45">
      <c r="A45" s="20" t="s">
        <v>99</v>
      </c>
      <c r="B45" s="20" t="s">
        <v>100</v>
      </c>
      <c r="C45" s="20" t="s">
        <v>167</v>
      </c>
      <c r="D45" s="38"/>
      <c r="E45" s="39"/>
      <c r="F45" s="39"/>
      <c r="G45" s="41"/>
      <c r="H45" s="34"/>
      <c r="I45" s="34"/>
      <c r="J45" s="34"/>
      <c r="K45" s="36"/>
      <c r="L45" s="34"/>
      <c r="M45" s="34"/>
      <c r="N45" s="34"/>
      <c r="O45" s="34"/>
      <c r="P45" s="36"/>
      <c r="Q45" s="34"/>
      <c r="R45" s="27" t="s">
        <v>183</v>
      </c>
      <c r="S45" s="22">
        <v>7049208773</v>
      </c>
      <c r="T45" s="28">
        <v>992758120305</v>
      </c>
      <c r="U45" s="24">
        <v>0</v>
      </c>
      <c r="V45" s="24">
        <v>0</v>
      </c>
      <c r="W45" s="24">
        <v>0</v>
      </c>
      <c r="X45" s="24">
        <v>0</v>
      </c>
      <c r="Y45" s="24">
        <f t="shared" si="0"/>
        <v>0</v>
      </c>
      <c r="Z45" s="24">
        <v>0</v>
      </c>
      <c r="AA45" s="24">
        <v>0</v>
      </c>
      <c r="AB45" s="24">
        <v>0</v>
      </c>
      <c r="AC45" s="24">
        <v>1</v>
      </c>
      <c r="AD45" s="24">
        <f t="shared" si="1"/>
        <v>1</v>
      </c>
    </row>
    <row r="46" spans="1:30" s="25" customFormat="1" ht="24.95" customHeight="1" x14ac:dyDescent="0.45">
      <c r="A46" s="20" t="s">
        <v>99</v>
      </c>
      <c r="B46" s="20" t="s">
        <v>100</v>
      </c>
      <c r="C46" s="20" t="s">
        <v>184</v>
      </c>
      <c r="D46" s="37">
        <v>21</v>
      </c>
      <c r="E46" s="39" t="s">
        <v>185</v>
      </c>
      <c r="F46" s="39" t="s">
        <v>186</v>
      </c>
      <c r="G46" s="40">
        <v>71</v>
      </c>
      <c r="H46" s="33">
        <v>0</v>
      </c>
      <c r="I46" s="33">
        <v>1</v>
      </c>
      <c r="J46" s="33">
        <v>38</v>
      </c>
      <c r="K46" s="35">
        <f t="shared" ref="K46" si="40">SUM(G46:J46)</f>
        <v>110</v>
      </c>
      <c r="L46" s="33">
        <v>9</v>
      </c>
      <c r="M46" s="33">
        <v>0</v>
      </c>
      <c r="N46" s="33">
        <v>0</v>
      </c>
      <c r="O46" s="33">
        <v>6</v>
      </c>
      <c r="P46" s="35">
        <f t="shared" ref="P46" si="41">SUM(L46:O46)</f>
        <v>15</v>
      </c>
      <c r="Q46" s="33">
        <v>125</v>
      </c>
      <c r="R46" s="21" t="s">
        <v>187</v>
      </c>
      <c r="S46" s="22">
        <v>9754946630</v>
      </c>
      <c r="T46" s="23">
        <v>799866227679</v>
      </c>
      <c r="U46" s="24">
        <v>0</v>
      </c>
      <c r="V46" s="24">
        <v>0</v>
      </c>
      <c r="W46" s="24">
        <v>0</v>
      </c>
      <c r="X46" s="24">
        <v>0</v>
      </c>
      <c r="Y46" s="24">
        <f t="shared" si="0"/>
        <v>0</v>
      </c>
      <c r="Z46" s="24">
        <v>0</v>
      </c>
      <c r="AA46" s="24">
        <v>0</v>
      </c>
      <c r="AB46" s="24">
        <v>0</v>
      </c>
      <c r="AC46" s="24">
        <v>1</v>
      </c>
      <c r="AD46" s="24">
        <f t="shared" si="1"/>
        <v>1</v>
      </c>
    </row>
    <row r="47" spans="1:30" s="25" customFormat="1" ht="24.95" customHeight="1" x14ac:dyDescent="0.45">
      <c r="A47" s="20" t="s">
        <v>99</v>
      </c>
      <c r="B47" s="20" t="s">
        <v>100</v>
      </c>
      <c r="C47" s="20" t="s">
        <v>184</v>
      </c>
      <c r="D47" s="38"/>
      <c r="E47" s="39"/>
      <c r="F47" s="39"/>
      <c r="G47" s="41"/>
      <c r="H47" s="34"/>
      <c r="I47" s="34"/>
      <c r="J47" s="34"/>
      <c r="K47" s="36"/>
      <c r="L47" s="34"/>
      <c r="M47" s="34"/>
      <c r="N47" s="34"/>
      <c r="O47" s="34"/>
      <c r="P47" s="36"/>
      <c r="Q47" s="34"/>
      <c r="R47" s="21" t="s">
        <v>188</v>
      </c>
      <c r="S47" s="22">
        <v>9527579660</v>
      </c>
      <c r="T47" s="23">
        <v>955852568951</v>
      </c>
      <c r="U47" s="24">
        <v>0</v>
      </c>
      <c r="V47" s="24">
        <v>0</v>
      </c>
      <c r="W47" s="24">
        <v>0</v>
      </c>
      <c r="X47" s="24">
        <v>0</v>
      </c>
      <c r="Y47" s="24">
        <f t="shared" si="0"/>
        <v>0</v>
      </c>
      <c r="Z47" s="24">
        <v>1</v>
      </c>
      <c r="AA47" s="24">
        <v>0</v>
      </c>
      <c r="AB47" s="24">
        <v>0</v>
      </c>
      <c r="AC47" s="24">
        <v>0</v>
      </c>
      <c r="AD47" s="24">
        <f t="shared" si="1"/>
        <v>1</v>
      </c>
    </row>
    <row r="48" spans="1:30" s="25" customFormat="1" ht="24.95" customHeight="1" x14ac:dyDescent="0.45">
      <c r="A48" s="20" t="s">
        <v>99</v>
      </c>
      <c r="B48" s="20" t="s">
        <v>100</v>
      </c>
      <c r="C48" s="20" t="s">
        <v>184</v>
      </c>
      <c r="D48" s="37">
        <v>22</v>
      </c>
      <c r="E48" s="39" t="s">
        <v>189</v>
      </c>
      <c r="F48" s="39" t="s">
        <v>190</v>
      </c>
      <c r="G48" s="40">
        <v>100</v>
      </c>
      <c r="H48" s="33">
        <v>0</v>
      </c>
      <c r="I48" s="33">
        <v>4</v>
      </c>
      <c r="J48" s="33">
        <v>0</v>
      </c>
      <c r="K48" s="35">
        <f t="shared" ref="K48" si="42">SUM(G48:J48)</f>
        <v>104</v>
      </c>
      <c r="L48" s="33">
        <v>19</v>
      </c>
      <c r="M48" s="33">
        <v>0</v>
      </c>
      <c r="N48" s="33">
        <v>2</v>
      </c>
      <c r="O48" s="33">
        <v>0</v>
      </c>
      <c r="P48" s="35">
        <f t="shared" ref="P48" si="43">SUM(L48:O48)</f>
        <v>21</v>
      </c>
      <c r="Q48" s="33">
        <v>125</v>
      </c>
      <c r="R48" s="21" t="s">
        <v>191</v>
      </c>
      <c r="S48" s="22">
        <v>9098535679</v>
      </c>
      <c r="T48" s="23">
        <v>320305510200</v>
      </c>
      <c r="U48" s="24">
        <v>0</v>
      </c>
      <c r="V48" s="24">
        <v>0</v>
      </c>
      <c r="W48" s="24">
        <v>0</v>
      </c>
      <c r="X48" s="24">
        <v>0</v>
      </c>
      <c r="Y48" s="24">
        <f t="shared" si="0"/>
        <v>0</v>
      </c>
      <c r="Z48" s="24">
        <v>1</v>
      </c>
      <c r="AA48" s="24">
        <v>0</v>
      </c>
      <c r="AB48" s="24">
        <v>0</v>
      </c>
      <c r="AC48" s="24">
        <v>0</v>
      </c>
      <c r="AD48" s="24">
        <f t="shared" si="1"/>
        <v>1</v>
      </c>
    </row>
    <row r="49" spans="1:30" s="25" customFormat="1" ht="24.95" customHeight="1" x14ac:dyDescent="0.45">
      <c r="A49" s="20" t="s">
        <v>99</v>
      </c>
      <c r="B49" s="20" t="s">
        <v>100</v>
      </c>
      <c r="C49" s="20" t="s">
        <v>184</v>
      </c>
      <c r="D49" s="38"/>
      <c r="E49" s="39"/>
      <c r="F49" s="39"/>
      <c r="G49" s="41"/>
      <c r="H49" s="34"/>
      <c r="I49" s="34"/>
      <c r="J49" s="34"/>
      <c r="K49" s="36"/>
      <c r="L49" s="34"/>
      <c r="M49" s="34"/>
      <c r="N49" s="34"/>
      <c r="O49" s="34"/>
      <c r="P49" s="36"/>
      <c r="Q49" s="34"/>
      <c r="R49" s="21" t="s">
        <v>192</v>
      </c>
      <c r="S49" s="22">
        <v>6263220377</v>
      </c>
      <c r="T49" s="23">
        <v>559731755253</v>
      </c>
      <c r="U49" s="24">
        <v>0</v>
      </c>
      <c r="V49" s="24">
        <v>0</v>
      </c>
      <c r="W49" s="24">
        <v>0</v>
      </c>
      <c r="X49" s="24">
        <v>0</v>
      </c>
      <c r="Y49" s="24">
        <f t="shared" si="0"/>
        <v>0</v>
      </c>
      <c r="Z49" s="24">
        <v>1</v>
      </c>
      <c r="AA49" s="24">
        <v>0</v>
      </c>
      <c r="AB49" s="24">
        <v>0</v>
      </c>
      <c r="AC49" s="24">
        <v>0</v>
      </c>
      <c r="AD49" s="24">
        <f t="shared" si="1"/>
        <v>1</v>
      </c>
    </row>
    <row r="50" spans="1:30" s="25" customFormat="1" ht="24.95" customHeight="1" x14ac:dyDescent="0.45">
      <c r="A50" s="20" t="s">
        <v>99</v>
      </c>
      <c r="B50" s="20" t="s">
        <v>100</v>
      </c>
      <c r="C50" s="20" t="s">
        <v>184</v>
      </c>
      <c r="D50" s="37">
        <v>23</v>
      </c>
      <c r="E50" s="39" t="s">
        <v>193</v>
      </c>
      <c r="F50" s="39" t="s">
        <v>194</v>
      </c>
      <c r="G50" s="40">
        <v>64</v>
      </c>
      <c r="H50" s="33">
        <v>0</v>
      </c>
      <c r="I50" s="33">
        <v>26</v>
      </c>
      <c r="J50" s="33">
        <v>16</v>
      </c>
      <c r="K50" s="35">
        <f t="shared" ref="K50" si="44">SUM(G50:J50)</f>
        <v>106</v>
      </c>
      <c r="L50" s="33">
        <v>8</v>
      </c>
      <c r="M50" s="33">
        <v>0</v>
      </c>
      <c r="N50" s="33">
        <v>5</v>
      </c>
      <c r="O50" s="33">
        <v>6</v>
      </c>
      <c r="P50" s="35">
        <f t="shared" ref="P50" si="45">SUM(L50:O50)</f>
        <v>19</v>
      </c>
      <c r="Q50" s="33">
        <v>125</v>
      </c>
      <c r="R50" s="21" t="s">
        <v>195</v>
      </c>
      <c r="S50" s="22">
        <v>6269524047</v>
      </c>
      <c r="T50" s="23">
        <v>377100574406</v>
      </c>
      <c r="U50" s="24">
        <v>0</v>
      </c>
      <c r="V50" s="24">
        <v>0</v>
      </c>
      <c r="W50" s="24">
        <v>0</v>
      </c>
      <c r="X50" s="24">
        <v>0</v>
      </c>
      <c r="Y50" s="24">
        <f t="shared" si="0"/>
        <v>0</v>
      </c>
      <c r="Z50" s="24">
        <v>1</v>
      </c>
      <c r="AA50" s="24">
        <v>0</v>
      </c>
      <c r="AB50" s="24">
        <v>0</v>
      </c>
      <c r="AC50" s="24">
        <v>0</v>
      </c>
      <c r="AD50" s="24">
        <f t="shared" si="1"/>
        <v>1</v>
      </c>
    </row>
    <row r="51" spans="1:30" s="25" customFormat="1" ht="24.95" customHeight="1" x14ac:dyDescent="0.45">
      <c r="A51" s="20" t="s">
        <v>99</v>
      </c>
      <c r="B51" s="20" t="s">
        <v>100</v>
      </c>
      <c r="C51" s="20" t="s">
        <v>184</v>
      </c>
      <c r="D51" s="38"/>
      <c r="E51" s="39"/>
      <c r="F51" s="39"/>
      <c r="G51" s="41"/>
      <c r="H51" s="34"/>
      <c r="I51" s="34"/>
      <c r="J51" s="34"/>
      <c r="K51" s="36"/>
      <c r="L51" s="34"/>
      <c r="M51" s="34"/>
      <c r="N51" s="34"/>
      <c r="O51" s="34"/>
      <c r="P51" s="36"/>
      <c r="Q51" s="34"/>
      <c r="R51" s="21" t="s">
        <v>196</v>
      </c>
      <c r="S51" s="22">
        <v>8989232305</v>
      </c>
      <c r="T51" s="23">
        <v>794593115223</v>
      </c>
      <c r="U51" s="24">
        <v>0</v>
      </c>
      <c r="V51" s="24">
        <v>0</v>
      </c>
      <c r="W51" s="24">
        <v>0</v>
      </c>
      <c r="X51" s="24">
        <v>0</v>
      </c>
      <c r="Y51" s="24">
        <f t="shared" si="0"/>
        <v>0</v>
      </c>
      <c r="Z51" s="24">
        <v>0</v>
      </c>
      <c r="AA51" s="24">
        <v>0</v>
      </c>
      <c r="AB51" s="24">
        <v>1</v>
      </c>
      <c r="AC51" s="24">
        <v>0</v>
      </c>
      <c r="AD51" s="24">
        <f t="shared" si="1"/>
        <v>1</v>
      </c>
    </row>
    <row r="52" spans="1:30" s="25" customFormat="1" ht="24.95" customHeight="1" x14ac:dyDescent="0.45">
      <c r="A52" s="20" t="s">
        <v>99</v>
      </c>
      <c r="B52" s="20" t="s">
        <v>100</v>
      </c>
      <c r="C52" s="20" t="s">
        <v>184</v>
      </c>
      <c r="D52" s="37">
        <v>24</v>
      </c>
      <c r="E52" s="39" t="s">
        <v>197</v>
      </c>
      <c r="F52" s="39" t="s">
        <v>198</v>
      </c>
      <c r="G52" s="40">
        <v>27</v>
      </c>
      <c r="H52" s="33">
        <v>0</v>
      </c>
      <c r="I52" s="33">
        <v>54</v>
      </c>
      <c r="J52" s="33">
        <v>16</v>
      </c>
      <c r="K52" s="35">
        <f t="shared" ref="K52" si="46">SUM(G52:J52)</f>
        <v>97</v>
      </c>
      <c r="L52" s="33">
        <v>9</v>
      </c>
      <c r="M52" s="33">
        <v>0</v>
      </c>
      <c r="N52" s="33">
        <v>16</v>
      </c>
      <c r="O52" s="33">
        <v>3</v>
      </c>
      <c r="P52" s="35">
        <f t="shared" ref="P52" si="47">SUM(L52:O52)</f>
        <v>28</v>
      </c>
      <c r="Q52" s="33">
        <v>125</v>
      </c>
      <c r="R52" s="21" t="s">
        <v>199</v>
      </c>
      <c r="S52" s="22">
        <v>7000361066</v>
      </c>
      <c r="T52" s="23">
        <v>470883951625</v>
      </c>
      <c r="U52" s="24">
        <v>0</v>
      </c>
      <c r="V52" s="24">
        <v>0</v>
      </c>
      <c r="W52" s="24">
        <v>0</v>
      </c>
      <c r="X52" s="24">
        <v>0</v>
      </c>
      <c r="Y52" s="24">
        <f t="shared" si="0"/>
        <v>0</v>
      </c>
      <c r="Z52" s="24">
        <v>0</v>
      </c>
      <c r="AA52" s="24">
        <v>0</v>
      </c>
      <c r="AB52" s="24">
        <v>1</v>
      </c>
      <c r="AC52" s="24">
        <v>0</v>
      </c>
      <c r="AD52" s="24">
        <f t="shared" si="1"/>
        <v>1</v>
      </c>
    </row>
    <row r="53" spans="1:30" s="25" customFormat="1" ht="24.95" customHeight="1" x14ac:dyDescent="0.45">
      <c r="A53" s="20" t="s">
        <v>99</v>
      </c>
      <c r="B53" s="20" t="s">
        <v>100</v>
      </c>
      <c r="C53" s="20" t="s">
        <v>184</v>
      </c>
      <c r="D53" s="38"/>
      <c r="E53" s="39"/>
      <c r="F53" s="39"/>
      <c r="G53" s="41"/>
      <c r="H53" s="34"/>
      <c r="I53" s="34"/>
      <c r="J53" s="34"/>
      <c r="K53" s="36"/>
      <c r="L53" s="34"/>
      <c r="M53" s="34"/>
      <c r="N53" s="34"/>
      <c r="O53" s="34"/>
      <c r="P53" s="36"/>
      <c r="Q53" s="34"/>
      <c r="R53" s="21" t="s">
        <v>200</v>
      </c>
      <c r="S53" s="22">
        <v>8839035267</v>
      </c>
      <c r="T53" s="23">
        <v>331552559985</v>
      </c>
      <c r="U53" s="24">
        <v>0</v>
      </c>
      <c r="V53" s="24">
        <v>0</v>
      </c>
      <c r="W53" s="24">
        <v>0</v>
      </c>
      <c r="X53" s="24">
        <v>0</v>
      </c>
      <c r="Y53" s="24">
        <f t="shared" si="0"/>
        <v>0</v>
      </c>
      <c r="Z53" s="24">
        <v>0</v>
      </c>
      <c r="AA53" s="24">
        <v>0</v>
      </c>
      <c r="AB53" s="24">
        <v>0</v>
      </c>
      <c r="AC53" s="24">
        <v>1</v>
      </c>
      <c r="AD53" s="24">
        <f t="shared" si="1"/>
        <v>1</v>
      </c>
    </row>
    <row r="54" spans="1:30" s="25" customFormat="1" ht="24.95" customHeight="1" x14ac:dyDescent="0.45">
      <c r="A54" s="20" t="s">
        <v>99</v>
      </c>
      <c r="B54" s="20" t="s">
        <v>100</v>
      </c>
      <c r="C54" s="20" t="s">
        <v>201</v>
      </c>
      <c r="D54" s="37">
        <v>25</v>
      </c>
      <c r="E54" s="39" t="s">
        <v>202</v>
      </c>
      <c r="F54" s="39" t="s">
        <v>203</v>
      </c>
      <c r="G54" s="40">
        <v>40</v>
      </c>
      <c r="H54" s="33">
        <v>0</v>
      </c>
      <c r="I54" s="33">
        <v>0</v>
      </c>
      <c r="J54" s="33">
        <v>62</v>
      </c>
      <c r="K54" s="35">
        <f t="shared" ref="K54" si="48">SUM(G54:J54)</f>
        <v>102</v>
      </c>
      <c r="L54" s="33">
        <v>10</v>
      </c>
      <c r="M54" s="33">
        <v>0</v>
      </c>
      <c r="N54" s="33">
        <v>0</v>
      </c>
      <c r="O54" s="33">
        <v>13</v>
      </c>
      <c r="P54" s="35">
        <f t="shared" ref="P54" si="49">SUM(L54:O54)</f>
        <v>23</v>
      </c>
      <c r="Q54" s="33">
        <v>125</v>
      </c>
      <c r="R54" s="21" t="s">
        <v>204</v>
      </c>
      <c r="S54" s="22">
        <v>9302845829</v>
      </c>
      <c r="T54" s="23">
        <v>417531002471</v>
      </c>
      <c r="U54" s="24">
        <v>0</v>
      </c>
      <c r="V54" s="24">
        <v>0</v>
      </c>
      <c r="W54" s="24">
        <v>0</v>
      </c>
      <c r="X54" s="24">
        <v>0</v>
      </c>
      <c r="Y54" s="24">
        <f t="shared" si="0"/>
        <v>0</v>
      </c>
      <c r="Z54" s="24">
        <v>1</v>
      </c>
      <c r="AA54" s="24">
        <v>0</v>
      </c>
      <c r="AB54" s="24">
        <v>0</v>
      </c>
      <c r="AC54" s="24">
        <v>0</v>
      </c>
      <c r="AD54" s="24">
        <f t="shared" si="1"/>
        <v>1</v>
      </c>
    </row>
    <row r="55" spans="1:30" s="25" customFormat="1" ht="24.95" customHeight="1" x14ac:dyDescent="0.45">
      <c r="A55" s="20" t="s">
        <v>99</v>
      </c>
      <c r="B55" s="20" t="s">
        <v>100</v>
      </c>
      <c r="C55" s="20" t="s">
        <v>201</v>
      </c>
      <c r="D55" s="38"/>
      <c r="E55" s="39"/>
      <c r="F55" s="39"/>
      <c r="G55" s="41"/>
      <c r="H55" s="34"/>
      <c r="I55" s="34"/>
      <c r="J55" s="34"/>
      <c r="K55" s="36"/>
      <c r="L55" s="34"/>
      <c r="M55" s="34"/>
      <c r="N55" s="34"/>
      <c r="O55" s="34"/>
      <c r="P55" s="36"/>
      <c r="Q55" s="34"/>
      <c r="R55" s="21" t="s">
        <v>205</v>
      </c>
      <c r="S55" s="22">
        <v>8817834968</v>
      </c>
      <c r="T55" s="23">
        <v>310564645080</v>
      </c>
      <c r="U55" s="24">
        <v>0</v>
      </c>
      <c r="V55" s="24">
        <v>0</v>
      </c>
      <c r="W55" s="24">
        <v>0</v>
      </c>
      <c r="X55" s="24">
        <v>0</v>
      </c>
      <c r="Y55" s="24">
        <f t="shared" si="0"/>
        <v>0</v>
      </c>
      <c r="Z55" s="24">
        <v>1</v>
      </c>
      <c r="AA55" s="24">
        <v>0</v>
      </c>
      <c r="AB55" s="24">
        <v>0</v>
      </c>
      <c r="AC55" s="24">
        <v>0</v>
      </c>
      <c r="AD55" s="24">
        <f t="shared" si="1"/>
        <v>1</v>
      </c>
    </row>
    <row r="56" spans="1:30" s="25" customFormat="1" ht="24.95" customHeight="1" x14ac:dyDescent="0.45">
      <c r="A56" s="20" t="s">
        <v>99</v>
      </c>
      <c r="B56" s="20" t="s">
        <v>100</v>
      </c>
      <c r="C56" s="20" t="s">
        <v>201</v>
      </c>
      <c r="D56" s="37">
        <v>26</v>
      </c>
      <c r="E56" s="39" t="s">
        <v>206</v>
      </c>
      <c r="F56" s="39" t="s">
        <v>207</v>
      </c>
      <c r="G56" s="40">
        <v>56</v>
      </c>
      <c r="H56" s="33">
        <v>0</v>
      </c>
      <c r="I56" s="33">
        <v>8</v>
      </c>
      <c r="J56" s="33">
        <v>44</v>
      </c>
      <c r="K56" s="35">
        <f t="shared" ref="K56" si="50">SUM(G56:J56)</f>
        <v>108</v>
      </c>
      <c r="L56" s="33">
        <v>10</v>
      </c>
      <c r="M56" s="33">
        <v>0</v>
      </c>
      <c r="N56" s="33">
        <v>2</v>
      </c>
      <c r="O56" s="33">
        <v>5</v>
      </c>
      <c r="P56" s="35">
        <f t="shared" ref="P56" si="51">SUM(L56:O56)</f>
        <v>17</v>
      </c>
      <c r="Q56" s="33">
        <v>125</v>
      </c>
      <c r="R56" s="21" t="s">
        <v>208</v>
      </c>
      <c r="S56" s="22">
        <v>7089626046</v>
      </c>
      <c r="T56" s="23">
        <v>409427988992</v>
      </c>
      <c r="U56" s="24">
        <v>0</v>
      </c>
      <c r="V56" s="24">
        <v>0</v>
      </c>
      <c r="W56" s="24">
        <v>0</v>
      </c>
      <c r="X56" s="24">
        <v>0</v>
      </c>
      <c r="Y56" s="24">
        <f t="shared" si="0"/>
        <v>0</v>
      </c>
      <c r="Z56" s="24">
        <v>1</v>
      </c>
      <c r="AA56" s="24">
        <v>0</v>
      </c>
      <c r="AB56" s="24">
        <v>0</v>
      </c>
      <c r="AC56" s="24">
        <v>0</v>
      </c>
      <c r="AD56" s="24">
        <f t="shared" si="1"/>
        <v>1</v>
      </c>
    </row>
    <row r="57" spans="1:30" s="25" customFormat="1" ht="24.95" customHeight="1" x14ac:dyDescent="0.45">
      <c r="A57" s="20" t="s">
        <v>99</v>
      </c>
      <c r="B57" s="20" t="s">
        <v>100</v>
      </c>
      <c r="C57" s="20" t="s">
        <v>201</v>
      </c>
      <c r="D57" s="38"/>
      <c r="E57" s="39"/>
      <c r="F57" s="39"/>
      <c r="G57" s="41"/>
      <c r="H57" s="34"/>
      <c r="I57" s="34"/>
      <c r="J57" s="34"/>
      <c r="K57" s="36"/>
      <c r="L57" s="34"/>
      <c r="M57" s="34"/>
      <c r="N57" s="34"/>
      <c r="O57" s="34"/>
      <c r="P57" s="36"/>
      <c r="Q57" s="34"/>
      <c r="R57" s="21" t="s">
        <v>209</v>
      </c>
      <c r="S57" s="22">
        <v>8815750396</v>
      </c>
      <c r="T57" s="23">
        <v>941668505901</v>
      </c>
      <c r="U57" s="24">
        <v>0</v>
      </c>
      <c r="V57" s="24">
        <v>0</v>
      </c>
      <c r="W57" s="24">
        <v>0</v>
      </c>
      <c r="X57" s="24">
        <v>0</v>
      </c>
      <c r="Y57" s="24">
        <f t="shared" si="0"/>
        <v>0</v>
      </c>
      <c r="Z57" s="24">
        <v>1</v>
      </c>
      <c r="AA57" s="24">
        <v>0</v>
      </c>
      <c r="AB57" s="24">
        <v>0</v>
      </c>
      <c r="AC57" s="24">
        <v>0</v>
      </c>
      <c r="AD57" s="24">
        <f t="shared" si="1"/>
        <v>1</v>
      </c>
    </row>
    <row r="58" spans="1:30" s="25" customFormat="1" ht="24.95" customHeight="1" x14ac:dyDescent="0.45">
      <c r="A58" s="20" t="s">
        <v>99</v>
      </c>
      <c r="B58" s="20" t="s">
        <v>100</v>
      </c>
      <c r="C58" s="20" t="s">
        <v>201</v>
      </c>
      <c r="D58" s="37">
        <v>27</v>
      </c>
      <c r="E58" s="39" t="s">
        <v>210</v>
      </c>
      <c r="F58" s="39" t="s">
        <v>211</v>
      </c>
      <c r="G58" s="40">
        <v>49</v>
      </c>
      <c r="H58" s="33">
        <v>0</v>
      </c>
      <c r="I58" s="33">
        <v>1</v>
      </c>
      <c r="J58" s="33">
        <v>63</v>
      </c>
      <c r="K58" s="35">
        <f t="shared" ref="K58" si="52">SUM(G58:J58)</f>
        <v>113</v>
      </c>
      <c r="L58" s="33">
        <v>6</v>
      </c>
      <c r="M58" s="33">
        <v>0</v>
      </c>
      <c r="N58" s="33">
        <v>2</v>
      </c>
      <c r="O58" s="33">
        <v>4</v>
      </c>
      <c r="P58" s="35">
        <f t="shared" ref="P58" si="53">SUM(L58:O58)</f>
        <v>12</v>
      </c>
      <c r="Q58" s="33">
        <v>125</v>
      </c>
      <c r="R58" s="21" t="s">
        <v>212</v>
      </c>
      <c r="S58" s="22">
        <v>8966979482</v>
      </c>
      <c r="T58" s="23">
        <v>904824332995</v>
      </c>
      <c r="U58" s="24">
        <v>0</v>
      </c>
      <c r="V58" s="24">
        <v>0</v>
      </c>
      <c r="W58" s="24">
        <v>0</v>
      </c>
      <c r="X58" s="24">
        <v>0</v>
      </c>
      <c r="Y58" s="24">
        <f t="shared" si="0"/>
        <v>0</v>
      </c>
      <c r="Z58" s="24">
        <v>1</v>
      </c>
      <c r="AA58" s="24">
        <v>0</v>
      </c>
      <c r="AB58" s="24">
        <v>0</v>
      </c>
      <c r="AC58" s="24">
        <v>0</v>
      </c>
      <c r="AD58" s="24">
        <f t="shared" si="1"/>
        <v>1</v>
      </c>
    </row>
    <row r="59" spans="1:30" s="25" customFormat="1" ht="24.95" customHeight="1" x14ac:dyDescent="0.45">
      <c r="A59" s="20" t="s">
        <v>99</v>
      </c>
      <c r="B59" s="20" t="s">
        <v>100</v>
      </c>
      <c r="C59" s="20" t="s">
        <v>201</v>
      </c>
      <c r="D59" s="38"/>
      <c r="E59" s="39"/>
      <c r="F59" s="39"/>
      <c r="G59" s="41"/>
      <c r="H59" s="34"/>
      <c r="I59" s="34"/>
      <c r="J59" s="34"/>
      <c r="K59" s="36"/>
      <c r="L59" s="34"/>
      <c r="M59" s="34"/>
      <c r="N59" s="34"/>
      <c r="O59" s="34"/>
      <c r="P59" s="36"/>
      <c r="Q59" s="34"/>
      <c r="R59" s="21" t="s">
        <v>213</v>
      </c>
      <c r="S59" s="22">
        <v>7440728113</v>
      </c>
      <c r="T59" s="23">
        <v>679145347767</v>
      </c>
      <c r="U59" s="24">
        <v>0</v>
      </c>
      <c r="V59" s="24">
        <v>0</v>
      </c>
      <c r="W59" s="24">
        <v>0</v>
      </c>
      <c r="X59" s="24">
        <v>0</v>
      </c>
      <c r="Y59" s="24">
        <f t="shared" si="0"/>
        <v>0</v>
      </c>
      <c r="Z59" s="24">
        <v>1</v>
      </c>
      <c r="AA59" s="24">
        <v>0</v>
      </c>
      <c r="AB59" s="24">
        <v>0</v>
      </c>
      <c r="AC59" s="24">
        <v>0</v>
      </c>
      <c r="AD59" s="24">
        <f t="shared" si="1"/>
        <v>1</v>
      </c>
    </row>
    <row r="60" spans="1:30" s="25" customFormat="1" ht="24.95" customHeight="1" x14ac:dyDescent="0.45">
      <c r="A60" s="20" t="s">
        <v>99</v>
      </c>
      <c r="B60" s="20" t="s">
        <v>100</v>
      </c>
      <c r="C60" s="20" t="s">
        <v>201</v>
      </c>
      <c r="D60" s="37">
        <v>28</v>
      </c>
      <c r="E60" s="39" t="s">
        <v>214</v>
      </c>
      <c r="F60" s="39" t="s">
        <v>215</v>
      </c>
      <c r="G60" s="40">
        <v>60</v>
      </c>
      <c r="H60" s="33">
        <v>0</v>
      </c>
      <c r="I60" s="33">
        <v>0</v>
      </c>
      <c r="J60" s="33">
        <v>54</v>
      </c>
      <c r="K60" s="35">
        <f t="shared" ref="K60" si="54">SUM(G60:J60)</f>
        <v>114</v>
      </c>
      <c r="L60" s="33">
        <v>5</v>
      </c>
      <c r="M60" s="33">
        <v>0</v>
      </c>
      <c r="N60" s="33">
        <v>0</v>
      </c>
      <c r="O60" s="33">
        <v>6</v>
      </c>
      <c r="P60" s="35">
        <f t="shared" ref="P60" si="55">SUM(L60:O60)</f>
        <v>11</v>
      </c>
      <c r="Q60" s="33">
        <v>125</v>
      </c>
      <c r="R60" s="21" t="s">
        <v>216</v>
      </c>
      <c r="S60" s="22">
        <v>8989069681</v>
      </c>
      <c r="T60" s="23">
        <v>371926526169</v>
      </c>
      <c r="U60" s="24">
        <v>0</v>
      </c>
      <c r="V60" s="24">
        <v>0</v>
      </c>
      <c r="W60" s="24">
        <v>0</v>
      </c>
      <c r="X60" s="24">
        <v>0</v>
      </c>
      <c r="Y60" s="24">
        <f t="shared" si="0"/>
        <v>0</v>
      </c>
      <c r="Z60" s="24">
        <v>1</v>
      </c>
      <c r="AA60" s="24">
        <v>0</v>
      </c>
      <c r="AB60" s="24">
        <v>0</v>
      </c>
      <c r="AC60" s="24">
        <v>0</v>
      </c>
      <c r="AD60" s="24">
        <f t="shared" si="1"/>
        <v>1</v>
      </c>
    </row>
    <row r="61" spans="1:30" s="25" customFormat="1" ht="24.95" customHeight="1" x14ac:dyDescent="0.45">
      <c r="A61" s="20" t="s">
        <v>99</v>
      </c>
      <c r="B61" s="20" t="s">
        <v>100</v>
      </c>
      <c r="C61" s="20" t="s">
        <v>201</v>
      </c>
      <c r="D61" s="38"/>
      <c r="E61" s="39"/>
      <c r="F61" s="39"/>
      <c r="G61" s="41"/>
      <c r="H61" s="34"/>
      <c r="I61" s="34"/>
      <c r="J61" s="34"/>
      <c r="K61" s="36"/>
      <c r="L61" s="34"/>
      <c r="M61" s="34"/>
      <c r="N61" s="34"/>
      <c r="O61" s="34"/>
      <c r="P61" s="36"/>
      <c r="Q61" s="34"/>
      <c r="R61" s="21" t="s">
        <v>217</v>
      </c>
      <c r="S61" s="22">
        <v>8839244345</v>
      </c>
      <c r="T61" s="23">
        <v>349216089542</v>
      </c>
      <c r="U61" s="24">
        <v>0</v>
      </c>
      <c r="V61" s="24">
        <v>0</v>
      </c>
      <c r="W61" s="24">
        <v>0</v>
      </c>
      <c r="X61" s="24">
        <v>0</v>
      </c>
      <c r="Y61" s="24">
        <f t="shared" si="0"/>
        <v>0</v>
      </c>
      <c r="Z61" s="24">
        <v>1</v>
      </c>
      <c r="AA61" s="24">
        <v>0</v>
      </c>
      <c r="AB61" s="24">
        <v>0</v>
      </c>
      <c r="AC61" s="24">
        <v>0</v>
      </c>
      <c r="AD61" s="24">
        <f t="shared" si="1"/>
        <v>1</v>
      </c>
    </row>
    <row r="62" spans="1:30" s="25" customFormat="1" ht="24.95" customHeight="1" x14ac:dyDescent="0.45">
      <c r="A62" s="20" t="s">
        <v>99</v>
      </c>
      <c r="B62" s="20" t="s">
        <v>100</v>
      </c>
      <c r="C62" s="20" t="s">
        <v>218</v>
      </c>
      <c r="D62" s="37">
        <v>29</v>
      </c>
      <c r="E62" s="39" t="s">
        <v>219</v>
      </c>
      <c r="F62" s="39" t="s">
        <v>220</v>
      </c>
      <c r="G62" s="40">
        <v>54</v>
      </c>
      <c r="H62" s="33">
        <v>0</v>
      </c>
      <c r="I62" s="33">
        <v>3</v>
      </c>
      <c r="J62" s="33">
        <v>50</v>
      </c>
      <c r="K62" s="35">
        <f t="shared" ref="K62" si="56">SUM(G62:J62)</f>
        <v>107</v>
      </c>
      <c r="L62" s="33">
        <v>6</v>
      </c>
      <c r="M62" s="33">
        <v>0</v>
      </c>
      <c r="N62" s="33">
        <v>1</v>
      </c>
      <c r="O62" s="33">
        <v>11</v>
      </c>
      <c r="P62" s="35">
        <f t="shared" ref="P62" si="57">SUM(L62:O62)</f>
        <v>18</v>
      </c>
      <c r="Q62" s="33">
        <v>125</v>
      </c>
      <c r="R62" s="21" t="s">
        <v>221</v>
      </c>
      <c r="S62" s="22">
        <v>9770426883</v>
      </c>
      <c r="T62" s="23">
        <v>943444849679</v>
      </c>
      <c r="U62" s="24">
        <v>0</v>
      </c>
      <c r="V62" s="24">
        <v>0</v>
      </c>
      <c r="W62" s="24">
        <v>0</v>
      </c>
      <c r="X62" s="24">
        <v>0</v>
      </c>
      <c r="Y62" s="24">
        <f t="shared" si="0"/>
        <v>0</v>
      </c>
      <c r="Z62" s="24">
        <v>0</v>
      </c>
      <c r="AA62" s="24">
        <v>0</v>
      </c>
      <c r="AB62" s="24">
        <v>0</v>
      </c>
      <c r="AC62" s="24">
        <v>1</v>
      </c>
      <c r="AD62" s="24">
        <f t="shared" si="1"/>
        <v>1</v>
      </c>
    </row>
    <row r="63" spans="1:30" s="25" customFormat="1" ht="24.95" customHeight="1" x14ac:dyDescent="0.45">
      <c r="A63" s="20" t="s">
        <v>99</v>
      </c>
      <c r="B63" s="20" t="s">
        <v>100</v>
      </c>
      <c r="C63" s="20" t="s">
        <v>218</v>
      </c>
      <c r="D63" s="38"/>
      <c r="E63" s="39"/>
      <c r="F63" s="39"/>
      <c r="G63" s="41"/>
      <c r="H63" s="34"/>
      <c r="I63" s="34"/>
      <c r="J63" s="34"/>
      <c r="K63" s="36"/>
      <c r="L63" s="34"/>
      <c r="M63" s="34"/>
      <c r="N63" s="34"/>
      <c r="O63" s="34"/>
      <c r="P63" s="36"/>
      <c r="Q63" s="34"/>
      <c r="R63" s="21" t="s">
        <v>222</v>
      </c>
      <c r="S63" s="22">
        <v>8312198413</v>
      </c>
      <c r="T63" s="23">
        <v>396061136993</v>
      </c>
      <c r="U63" s="24">
        <v>0</v>
      </c>
      <c r="V63" s="24">
        <v>0</v>
      </c>
      <c r="W63" s="24">
        <v>0</v>
      </c>
      <c r="X63" s="24">
        <v>0</v>
      </c>
      <c r="Y63" s="24">
        <f t="shared" si="0"/>
        <v>0</v>
      </c>
      <c r="Z63" s="24">
        <v>0</v>
      </c>
      <c r="AA63" s="24">
        <v>0</v>
      </c>
      <c r="AB63" s="24">
        <v>1</v>
      </c>
      <c r="AC63" s="24">
        <v>0</v>
      </c>
      <c r="AD63" s="24">
        <f t="shared" si="1"/>
        <v>1</v>
      </c>
    </row>
    <row r="64" spans="1:30" s="25" customFormat="1" ht="24.95" customHeight="1" x14ac:dyDescent="0.45">
      <c r="A64" s="20" t="s">
        <v>99</v>
      </c>
      <c r="B64" s="20" t="s">
        <v>100</v>
      </c>
      <c r="C64" s="20" t="s">
        <v>218</v>
      </c>
      <c r="D64" s="37">
        <v>30</v>
      </c>
      <c r="E64" s="39" t="s">
        <v>223</v>
      </c>
      <c r="F64" s="39" t="s">
        <v>224</v>
      </c>
      <c r="G64" s="40">
        <v>51</v>
      </c>
      <c r="H64" s="33">
        <v>0</v>
      </c>
      <c r="I64" s="33">
        <v>4</v>
      </c>
      <c r="J64" s="33">
        <v>35</v>
      </c>
      <c r="K64" s="35">
        <f t="shared" ref="K64" si="58">SUM(G64:J64)</f>
        <v>90</v>
      </c>
      <c r="L64" s="33">
        <v>22</v>
      </c>
      <c r="M64" s="33">
        <v>0</v>
      </c>
      <c r="N64" s="33">
        <v>0</v>
      </c>
      <c r="O64" s="33">
        <v>13</v>
      </c>
      <c r="P64" s="35">
        <f t="shared" ref="P64" si="59">SUM(L64:O64)</f>
        <v>35</v>
      </c>
      <c r="Q64" s="33">
        <v>125</v>
      </c>
      <c r="R64" s="21" t="s">
        <v>225</v>
      </c>
      <c r="S64" s="22">
        <v>6264565231</v>
      </c>
      <c r="T64" s="23">
        <v>422847131218</v>
      </c>
      <c r="U64" s="24">
        <v>0</v>
      </c>
      <c r="V64" s="24">
        <v>0</v>
      </c>
      <c r="W64" s="24">
        <v>0</v>
      </c>
      <c r="X64" s="24">
        <v>0</v>
      </c>
      <c r="Y64" s="24">
        <f t="shared" si="0"/>
        <v>0</v>
      </c>
      <c r="Z64" s="24">
        <v>0</v>
      </c>
      <c r="AA64" s="24">
        <v>0</v>
      </c>
      <c r="AB64" s="24">
        <v>0</v>
      </c>
      <c r="AC64" s="24">
        <v>1</v>
      </c>
      <c r="AD64" s="24">
        <f t="shared" si="1"/>
        <v>1</v>
      </c>
    </row>
    <row r="65" spans="1:30" s="25" customFormat="1" ht="24.95" customHeight="1" x14ac:dyDescent="0.45">
      <c r="A65" s="20" t="s">
        <v>99</v>
      </c>
      <c r="B65" s="20" t="s">
        <v>100</v>
      </c>
      <c r="C65" s="20" t="s">
        <v>218</v>
      </c>
      <c r="D65" s="38"/>
      <c r="E65" s="39"/>
      <c r="F65" s="39"/>
      <c r="G65" s="41"/>
      <c r="H65" s="34"/>
      <c r="I65" s="34"/>
      <c r="J65" s="34"/>
      <c r="K65" s="36"/>
      <c r="L65" s="34"/>
      <c r="M65" s="34"/>
      <c r="N65" s="34"/>
      <c r="O65" s="34"/>
      <c r="P65" s="36"/>
      <c r="Q65" s="34"/>
      <c r="R65" s="21" t="s">
        <v>226</v>
      </c>
      <c r="S65" s="22">
        <v>9111387874</v>
      </c>
      <c r="T65" s="23">
        <v>588884280280</v>
      </c>
      <c r="U65" s="24">
        <v>0</v>
      </c>
      <c r="V65" s="24">
        <v>0</v>
      </c>
      <c r="W65" s="24">
        <v>0</v>
      </c>
      <c r="X65" s="24">
        <v>0</v>
      </c>
      <c r="Y65" s="24">
        <f t="shared" si="0"/>
        <v>0</v>
      </c>
      <c r="Z65" s="24">
        <v>0</v>
      </c>
      <c r="AA65" s="24">
        <v>0</v>
      </c>
      <c r="AB65" s="24">
        <v>0</v>
      </c>
      <c r="AC65" s="24">
        <v>1</v>
      </c>
      <c r="AD65" s="24">
        <f t="shared" si="1"/>
        <v>1</v>
      </c>
    </row>
    <row r="66" spans="1:30" s="25" customFormat="1" ht="24.95" customHeight="1" x14ac:dyDescent="0.45">
      <c r="A66" s="20" t="s">
        <v>99</v>
      </c>
      <c r="B66" s="20" t="s">
        <v>100</v>
      </c>
      <c r="C66" s="20" t="s">
        <v>218</v>
      </c>
      <c r="D66" s="37">
        <v>31</v>
      </c>
      <c r="E66" s="39" t="s">
        <v>227</v>
      </c>
      <c r="F66" s="39" t="s">
        <v>228</v>
      </c>
      <c r="G66" s="40">
        <v>53</v>
      </c>
      <c r="H66" s="33">
        <v>0</v>
      </c>
      <c r="I66" s="33">
        <v>0</v>
      </c>
      <c r="J66" s="33">
        <v>57</v>
      </c>
      <c r="K66" s="35">
        <f t="shared" ref="K66" si="60">SUM(G66:J66)</f>
        <v>110</v>
      </c>
      <c r="L66" s="33">
        <v>6</v>
      </c>
      <c r="M66" s="33">
        <v>0</v>
      </c>
      <c r="N66" s="33">
        <v>0</v>
      </c>
      <c r="O66" s="33">
        <v>9</v>
      </c>
      <c r="P66" s="35">
        <f t="shared" ref="P66" si="61">SUM(L66:O66)</f>
        <v>15</v>
      </c>
      <c r="Q66" s="33">
        <v>125</v>
      </c>
      <c r="R66" s="21" t="s">
        <v>229</v>
      </c>
      <c r="S66" s="22">
        <v>9343263865</v>
      </c>
      <c r="T66" s="23">
        <v>203650401530</v>
      </c>
      <c r="U66" s="24">
        <v>0</v>
      </c>
      <c r="V66" s="24">
        <v>0</v>
      </c>
      <c r="W66" s="24">
        <v>0</v>
      </c>
      <c r="X66" s="24">
        <v>0</v>
      </c>
      <c r="Y66" s="24">
        <f t="shared" si="0"/>
        <v>0</v>
      </c>
      <c r="Z66" s="24">
        <v>0</v>
      </c>
      <c r="AA66" s="24">
        <v>0</v>
      </c>
      <c r="AB66" s="24">
        <v>0</v>
      </c>
      <c r="AC66" s="24">
        <v>1</v>
      </c>
      <c r="AD66" s="24">
        <f t="shared" si="1"/>
        <v>1</v>
      </c>
    </row>
    <row r="67" spans="1:30" s="25" customFormat="1" ht="24.95" customHeight="1" x14ac:dyDescent="0.45">
      <c r="A67" s="20" t="s">
        <v>99</v>
      </c>
      <c r="B67" s="20" t="s">
        <v>100</v>
      </c>
      <c r="C67" s="20" t="s">
        <v>218</v>
      </c>
      <c r="D67" s="38"/>
      <c r="E67" s="39"/>
      <c r="F67" s="39"/>
      <c r="G67" s="41"/>
      <c r="H67" s="34"/>
      <c r="I67" s="34"/>
      <c r="J67" s="34"/>
      <c r="K67" s="36"/>
      <c r="L67" s="34"/>
      <c r="M67" s="34"/>
      <c r="N67" s="34"/>
      <c r="O67" s="34"/>
      <c r="P67" s="36"/>
      <c r="Q67" s="34"/>
      <c r="R67" s="21" t="s">
        <v>230</v>
      </c>
      <c r="S67" s="22">
        <v>8103292489</v>
      </c>
      <c r="T67" s="23">
        <v>838014288113</v>
      </c>
      <c r="U67" s="24">
        <v>0</v>
      </c>
      <c r="V67" s="24">
        <v>0</v>
      </c>
      <c r="W67" s="24">
        <v>0</v>
      </c>
      <c r="X67" s="24">
        <v>0</v>
      </c>
      <c r="Y67" s="24">
        <f t="shared" si="0"/>
        <v>0</v>
      </c>
      <c r="Z67" s="24">
        <v>0</v>
      </c>
      <c r="AA67" s="24">
        <v>0</v>
      </c>
      <c r="AB67" s="24">
        <v>0</v>
      </c>
      <c r="AC67" s="24">
        <v>1</v>
      </c>
      <c r="AD67" s="24">
        <f t="shared" si="1"/>
        <v>1</v>
      </c>
    </row>
    <row r="68" spans="1:30" s="25" customFormat="1" ht="24.95" customHeight="1" x14ac:dyDescent="0.45">
      <c r="A68" s="20" t="s">
        <v>99</v>
      </c>
      <c r="B68" s="20" t="s">
        <v>100</v>
      </c>
      <c r="C68" s="20" t="s">
        <v>218</v>
      </c>
      <c r="D68" s="37">
        <v>32</v>
      </c>
      <c r="E68" s="39" t="s">
        <v>231</v>
      </c>
      <c r="F68" s="39" t="s">
        <v>232</v>
      </c>
      <c r="G68" s="40">
        <v>51</v>
      </c>
      <c r="H68" s="33">
        <v>0</v>
      </c>
      <c r="I68" s="33">
        <v>3</v>
      </c>
      <c r="J68" s="33">
        <v>47</v>
      </c>
      <c r="K68" s="35">
        <f t="shared" ref="K68" si="62">SUM(G68:J68)</f>
        <v>101</v>
      </c>
      <c r="L68" s="33">
        <v>8</v>
      </c>
      <c r="M68" s="33">
        <v>0</v>
      </c>
      <c r="N68" s="33">
        <v>0</v>
      </c>
      <c r="O68" s="33">
        <v>16</v>
      </c>
      <c r="P68" s="35">
        <f t="shared" ref="P68" si="63">SUM(L68:O68)</f>
        <v>24</v>
      </c>
      <c r="Q68" s="33">
        <v>125</v>
      </c>
      <c r="R68" s="21" t="s">
        <v>233</v>
      </c>
      <c r="S68" s="22">
        <v>9303878257</v>
      </c>
      <c r="T68" s="23">
        <v>586818250810</v>
      </c>
      <c r="U68" s="24">
        <v>0</v>
      </c>
      <c r="V68" s="24">
        <v>0</v>
      </c>
      <c r="W68" s="24">
        <v>0</v>
      </c>
      <c r="X68" s="24">
        <v>0</v>
      </c>
      <c r="Y68" s="24">
        <f t="shared" si="0"/>
        <v>0</v>
      </c>
      <c r="Z68" s="24">
        <v>0</v>
      </c>
      <c r="AA68" s="24">
        <v>0</v>
      </c>
      <c r="AB68" s="24">
        <v>0</v>
      </c>
      <c r="AC68" s="24">
        <v>1</v>
      </c>
      <c r="AD68" s="24">
        <f t="shared" si="1"/>
        <v>1</v>
      </c>
    </row>
    <row r="69" spans="1:30" s="25" customFormat="1" ht="24.95" customHeight="1" x14ac:dyDescent="0.45">
      <c r="A69" s="20" t="s">
        <v>99</v>
      </c>
      <c r="B69" s="20" t="s">
        <v>100</v>
      </c>
      <c r="C69" s="20" t="s">
        <v>218</v>
      </c>
      <c r="D69" s="38"/>
      <c r="E69" s="39"/>
      <c r="F69" s="39"/>
      <c r="G69" s="41"/>
      <c r="H69" s="34"/>
      <c r="I69" s="34"/>
      <c r="J69" s="34"/>
      <c r="K69" s="36"/>
      <c r="L69" s="34"/>
      <c r="M69" s="34"/>
      <c r="N69" s="34"/>
      <c r="O69" s="34"/>
      <c r="P69" s="36"/>
      <c r="Q69" s="34"/>
      <c r="R69" s="21" t="s">
        <v>234</v>
      </c>
      <c r="S69" s="22">
        <v>9754892944</v>
      </c>
      <c r="T69" s="23">
        <v>684426263758</v>
      </c>
      <c r="U69" s="24">
        <v>0</v>
      </c>
      <c r="V69" s="24">
        <v>0</v>
      </c>
      <c r="W69" s="24">
        <v>0</v>
      </c>
      <c r="X69" s="24">
        <v>0</v>
      </c>
      <c r="Y69" s="24">
        <f t="shared" si="0"/>
        <v>0</v>
      </c>
      <c r="Z69" s="24">
        <v>0</v>
      </c>
      <c r="AA69" s="24">
        <v>0</v>
      </c>
      <c r="AB69" s="24">
        <v>0</v>
      </c>
      <c r="AC69" s="24">
        <v>1</v>
      </c>
      <c r="AD69" s="24">
        <f t="shared" si="1"/>
        <v>1</v>
      </c>
    </row>
    <row r="70" spans="1:30" s="25" customFormat="1" ht="24.95" customHeight="1" x14ac:dyDescent="0.45">
      <c r="A70" s="20" t="s">
        <v>99</v>
      </c>
      <c r="B70" s="20" t="s">
        <v>100</v>
      </c>
      <c r="C70" s="20" t="s">
        <v>235</v>
      </c>
      <c r="D70" s="37">
        <v>33</v>
      </c>
      <c r="E70" s="39" t="s">
        <v>236</v>
      </c>
      <c r="F70" s="39" t="s">
        <v>237</v>
      </c>
      <c r="G70" s="40">
        <v>80</v>
      </c>
      <c r="H70" s="33">
        <v>0</v>
      </c>
      <c r="I70" s="33">
        <v>13</v>
      </c>
      <c r="J70" s="33">
        <v>2</v>
      </c>
      <c r="K70" s="35">
        <f t="shared" ref="K70" si="64">SUM(G70:J70)</f>
        <v>95</v>
      </c>
      <c r="L70" s="33">
        <v>23</v>
      </c>
      <c r="M70" s="33">
        <v>0</v>
      </c>
      <c r="N70" s="33">
        <v>3</v>
      </c>
      <c r="O70" s="33">
        <v>4</v>
      </c>
      <c r="P70" s="35">
        <f t="shared" ref="P70" si="65">SUM(L70:O70)</f>
        <v>30</v>
      </c>
      <c r="Q70" s="33">
        <v>125</v>
      </c>
      <c r="R70" s="29" t="s">
        <v>238</v>
      </c>
      <c r="S70" s="22">
        <v>7697364809</v>
      </c>
      <c r="T70" s="23">
        <v>696368977936</v>
      </c>
      <c r="U70" s="24">
        <v>0</v>
      </c>
      <c r="V70" s="24">
        <v>0</v>
      </c>
      <c r="W70" s="24">
        <v>0</v>
      </c>
      <c r="X70" s="24">
        <v>0</v>
      </c>
      <c r="Y70" s="24">
        <f t="shared" si="0"/>
        <v>0</v>
      </c>
      <c r="Z70" s="24">
        <v>1</v>
      </c>
      <c r="AA70" s="24">
        <v>0</v>
      </c>
      <c r="AB70" s="24">
        <v>0</v>
      </c>
      <c r="AC70" s="24">
        <v>0</v>
      </c>
      <c r="AD70" s="24">
        <f t="shared" si="1"/>
        <v>1</v>
      </c>
    </row>
    <row r="71" spans="1:30" s="25" customFormat="1" ht="24.95" customHeight="1" x14ac:dyDescent="0.45">
      <c r="A71" s="20" t="s">
        <v>99</v>
      </c>
      <c r="B71" s="20" t="s">
        <v>100</v>
      </c>
      <c r="C71" s="20" t="s">
        <v>235</v>
      </c>
      <c r="D71" s="38"/>
      <c r="E71" s="39"/>
      <c r="F71" s="39"/>
      <c r="G71" s="41"/>
      <c r="H71" s="34"/>
      <c r="I71" s="34"/>
      <c r="J71" s="34"/>
      <c r="K71" s="36"/>
      <c r="L71" s="34"/>
      <c r="M71" s="34"/>
      <c r="N71" s="34"/>
      <c r="O71" s="34"/>
      <c r="P71" s="36"/>
      <c r="Q71" s="34"/>
      <c r="R71" s="29" t="s">
        <v>239</v>
      </c>
      <c r="S71" s="22">
        <v>6263652029</v>
      </c>
      <c r="T71" s="23">
        <v>924386103135</v>
      </c>
      <c r="U71" s="24">
        <v>0</v>
      </c>
      <c r="V71" s="24">
        <v>0</v>
      </c>
      <c r="W71" s="24">
        <v>0</v>
      </c>
      <c r="X71" s="24">
        <v>0</v>
      </c>
      <c r="Y71" s="24">
        <f t="shared" ref="Y71:Y89" si="66">SUM(U71:X71)</f>
        <v>0</v>
      </c>
      <c r="Z71" s="24">
        <v>0</v>
      </c>
      <c r="AA71" s="24">
        <v>0</v>
      </c>
      <c r="AB71" s="24">
        <v>0</v>
      </c>
      <c r="AC71" s="24">
        <v>1</v>
      </c>
      <c r="AD71" s="24">
        <f t="shared" ref="AD71:AD89" si="67">SUM(Z71:AC71)</f>
        <v>1</v>
      </c>
    </row>
    <row r="72" spans="1:30" s="25" customFormat="1" ht="24.95" customHeight="1" x14ac:dyDescent="0.45">
      <c r="A72" s="20" t="s">
        <v>99</v>
      </c>
      <c r="B72" s="20" t="s">
        <v>100</v>
      </c>
      <c r="C72" s="20" t="s">
        <v>235</v>
      </c>
      <c r="D72" s="37">
        <v>34</v>
      </c>
      <c r="E72" s="39" t="s">
        <v>240</v>
      </c>
      <c r="F72" s="39" t="s">
        <v>241</v>
      </c>
      <c r="G72" s="40">
        <v>21</v>
      </c>
      <c r="H72" s="33">
        <v>0</v>
      </c>
      <c r="I72" s="33">
        <v>42</v>
      </c>
      <c r="J72" s="33">
        <v>31</v>
      </c>
      <c r="K72" s="35">
        <f t="shared" ref="K72" si="68">SUM(G72:J72)</f>
        <v>94</v>
      </c>
      <c r="L72" s="33">
        <v>7</v>
      </c>
      <c r="M72" s="33">
        <v>0</v>
      </c>
      <c r="N72" s="33">
        <v>14</v>
      </c>
      <c r="O72" s="33">
        <v>10</v>
      </c>
      <c r="P72" s="35">
        <f t="shared" ref="P72" si="69">SUM(L72:O72)</f>
        <v>31</v>
      </c>
      <c r="Q72" s="33">
        <v>125</v>
      </c>
      <c r="R72" s="29" t="s">
        <v>242</v>
      </c>
      <c r="S72" s="22">
        <v>6268149515</v>
      </c>
      <c r="T72" s="23">
        <v>986294475686</v>
      </c>
      <c r="U72" s="24">
        <v>0</v>
      </c>
      <c r="V72" s="24">
        <v>0</v>
      </c>
      <c r="W72" s="24">
        <v>0</v>
      </c>
      <c r="X72" s="24">
        <v>0</v>
      </c>
      <c r="Y72" s="24">
        <f t="shared" si="66"/>
        <v>0</v>
      </c>
      <c r="Z72" s="24">
        <v>0</v>
      </c>
      <c r="AA72" s="24">
        <v>0</v>
      </c>
      <c r="AB72" s="24">
        <v>0</v>
      </c>
      <c r="AC72" s="24">
        <v>1</v>
      </c>
      <c r="AD72" s="24">
        <f t="shared" si="67"/>
        <v>1</v>
      </c>
    </row>
    <row r="73" spans="1:30" s="25" customFormat="1" ht="24.95" customHeight="1" x14ac:dyDescent="0.45">
      <c r="A73" s="20" t="s">
        <v>99</v>
      </c>
      <c r="B73" s="20" t="s">
        <v>100</v>
      </c>
      <c r="C73" s="20" t="s">
        <v>235</v>
      </c>
      <c r="D73" s="38"/>
      <c r="E73" s="39"/>
      <c r="F73" s="39"/>
      <c r="G73" s="41"/>
      <c r="H73" s="34"/>
      <c r="I73" s="34"/>
      <c r="J73" s="34"/>
      <c r="K73" s="36"/>
      <c r="L73" s="34"/>
      <c r="M73" s="34"/>
      <c r="N73" s="34"/>
      <c r="O73" s="34"/>
      <c r="P73" s="36"/>
      <c r="Q73" s="34"/>
      <c r="R73" s="29" t="s">
        <v>243</v>
      </c>
      <c r="S73" s="22">
        <v>8450828236</v>
      </c>
      <c r="T73" s="23">
        <v>708246942461</v>
      </c>
      <c r="U73" s="24">
        <v>0</v>
      </c>
      <c r="V73" s="24">
        <v>0</v>
      </c>
      <c r="W73" s="24">
        <v>0</v>
      </c>
      <c r="X73" s="24">
        <v>0</v>
      </c>
      <c r="Y73" s="24">
        <f t="shared" si="66"/>
        <v>0</v>
      </c>
      <c r="Z73" s="24">
        <v>1</v>
      </c>
      <c r="AA73" s="24">
        <v>0</v>
      </c>
      <c r="AB73" s="24">
        <v>0</v>
      </c>
      <c r="AC73" s="24">
        <v>0</v>
      </c>
      <c r="AD73" s="24">
        <f t="shared" si="67"/>
        <v>1</v>
      </c>
    </row>
    <row r="74" spans="1:30" s="25" customFormat="1" ht="24.95" customHeight="1" x14ac:dyDescent="0.45">
      <c r="A74" s="20" t="s">
        <v>99</v>
      </c>
      <c r="B74" s="20" t="s">
        <v>100</v>
      </c>
      <c r="C74" s="20" t="s">
        <v>235</v>
      </c>
      <c r="D74" s="37">
        <v>35</v>
      </c>
      <c r="E74" s="39" t="s">
        <v>244</v>
      </c>
      <c r="F74" s="39" t="s">
        <v>245</v>
      </c>
      <c r="G74" s="40">
        <v>42</v>
      </c>
      <c r="H74" s="33">
        <v>0</v>
      </c>
      <c r="I74" s="33">
        <v>30</v>
      </c>
      <c r="J74" s="33">
        <v>23</v>
      </c>
      <c r="K74" s="35">
        <f t="shared" ref="K74" si="70">SUM(G74:J74)</f>
        <v>95</v>
      </c>
      <c r="L74" s="33">
        <v>8</v>
      </c>
      <c r="M74" s="33">
        <v>0</v>
      </c>
      <c r="N74" s="33">
        <v>13</v>
      </c>
      <c r="O74" s="33">
        <v>9</v>
      </c>
      <c r="P74" s="35">
        <f t="shared" ref="P74" si="71">SUM(L74:O74)</f>
        <v>30</v>
      </c>
      <c r="Q74" s="33">
        <v>125</v>
      </c>
      <c r="R74" s="29" t="s">
        <v>246</v>
      </c>
      <c r="S74" s="22">
        <v>8305210318</v>
      </c>
      <c r="T74" s="23">
        <v>731378874635</v>
      </c>
      <c r="U74" s="24">
        <v>0</v>
      </c>
      <c r="V74" s="24">
        <v>0</v>
      </c>
      <c r="W74" s="24">
        <v>0</v>
      </c>
      <c r="X74" s="24">
        <v>0</v>
      </c>
      <c r="Y74" s="24">
        <f t="shared" si="66"/>
        <v>0</v>
      </c>
      <c r="Z74" s="24">
        <v>0</v>
      </c>
      <c r="AA74" s="24">
        <v>0</v>
      </c>
      <c r="AB74" s="24">
        <v>1</v>
      </c>
      <c r="AC74" s="24">
        <v>0</v>
      </c>
      <c r="AD74" s="24">
        <f t="shared" si="67"/>
        <v>1</v>
      </c>
    </row>
    <row r="75" spans="1:30" s="25" customFormat="1" ht="24.95" customHeight="1" x14ac:dyDescent="0.45">
      <c r="A75" s="20" t="s">
        <v>99</v>
      </c>
      <c r="B75" s="20" t="s">
        <v>100</v>
      </c>
      <c r="C75" s="20" t="s">
        <v>235</v>
      </c>
      <c r="D75" s="38"/>
      <c r="E75" s="39"/>
      <c r="F75" s="39"/>
      <c r="G75" s="41"/>
      <c r="H75" s="34"/>
      <c r="I75" s="34"/>
      <c r="J75" s="34"/>
      <c r="K75" s="36"/>
      <c r="L75" s="34"/>
      <c r="M75" s="34"/>
      <c r="N75" s="34"/>
      <c r="O75" s="34"/>
      <c r="P75" s="36"/>
      <c r="Q75" s="34"/>
      <c r="R75" s="29" t="s">
        <v>247</v>
      </c>
      <c r="S75" s="22">
        <v>9329529934</v>
      </c>
      <c r="T75" s="23">
        <v>352265558861</v>
      </c>
      <c r="U75" s="24">
        <v>0</v>
      </c>
      <c r="V75" s="24">
        <v>0</v>
      </c>
      <c r="W75" s="24">
        <v>0</v>
      </c>
      <c r="X75" s="24">
        <v>0</v>
      </c>
      <c r="Y75" s="24">
        <f t="shared" si="66"/>
        <v>0</v>
      </c>
      <c r="Z75" s="24">
        <v>0</v>
      </c>
      <c r="AA75" s="24">
        <v>0</v>
      </c>
      <c r="AB75" s="24">
        <v>0</v>
      </c>
      <c r="AC75" s="24">
        <v>1</v>
      </c>
      <c r="AD75" s="24">
        <f t="shared" si="67"/>
        <v>1</v>
      </c>
    </row>
    <row r="76" spans="1:30" s="25" customFormat="1" ht="24.95" customHeight="1" x14ac:dyDescent="0.45">
      <c r="A76" s="20" t="s">
        <v>99</v>
      </c>
      <c r="B76" s="20" t="s">
        <v>100</v>
      </c>
      <c r="C76" s="20" t="s">
        <v>248</v>
      </c>
      <c r="D76" s="37">
        <v>36</v>
      </c>
      <c r="E76" s="39" t="s">
        <v>249</v>
      </c>
      <c r="F76" s="39" t="s">
        <v>250</v>
      </c>
      <c r="G76" s="40">
        <v>0</v>
      </c>
      <c r="H76" s="33">
        <v>0</v>
      </c>
      <c r="I76" s="33">
        <v>0</v>
      </c>
      <c r="J76" s="33">
        <v>0</v>
      </c>
      <c r="K76" s="35">
        <f t="shared" ref="K76" si="72">SUM(G76:J76)</f>
        <v>0</v>
      </c>
      <c r="L76" s="33">
        <v>0</v>
      </c>
      <c r="M76" s="33">
        <v>0</v>
      </c>
      <c r="N76" s="33">
        <v>0</v>
      </c>
      <c r="O76" s="33">
        <v>0</v>
      </c>
      <c r="P76" s="35">
        <f t="shared" ref="P76" si="73">SUM(L76:O76)</f>
        <v>0</v>
      </c>
      <c r="Q76" s="33">
        <v>125</v>
      </c>
      <c r="R76" s="29" t="s">
        <v>251</v>
      </c>
      <c r="S76" s="22">
        <v>8224017501</v>
      </c>
      <c r="T76" s="23">
        <v>781452784501</v>
      </c>
      <c r="U76" s="24">
        <v>0</v>
      </c>
      <c r="V76" s="24">
        <v>0</v>
      </c>
      <c r="W76" s="24">
        <v>0</v>
      </c>
      <c r="X76" s="24">
        <v>0</v>
      </c>
      <c r="Y76" s="24">
        <f t="shared" si="66"/>
        <v>0</v>
      </c>
      <c r="Z76" s="24">
        <v>1</v>
      </c>
      <c r="AA76" s="24">
        <v>0</v>
      </c>
      <c r="AB76" s="24">
        <v>0</v>
      </c>
      <c r="AC76" s="24">
        <v>0</v>
      </c>
      <c r="AD76" s="24">
        <f t="shared" si="67"/>
        <v>1</v>
      </c>
    </row>
    <row r="77" spans="1:30" s="25" customFormat="1" ht="24.95" customHeight="1" x14ac:dyDescent="0.45">
      <c r="A77" s="20" t="s">
        <v>99</v>
      </c>
      <c r="B77" s="20" t="s">
        <v>100</v>
      </c>
      <c r="C77" s="20" t="s">
        <v>248</v>
      </c>
      <c r="D77" s="38"/>
      <c r="E77" s="39"/>
      <c r="F77" s="39"/>
      <c r="G77" s="41"/>
      <c r="H77" s="34"/>
      <c r="I77" s="34"/>
      <c r="J77" s="34"/>
      <c r="K77" s="36"/>
      <c r="L77" s="34"/>
      <c r="M77" s="34"/>
      <c r="N77" s="34"/>
      <c r="O77" s="34"/>
      <c r="P77" s="36"/>
      <c r="Q77" s="34"/>
      <c r="R77" s="29" t="s">
        <v>252</v>
      </c>
      <c r="S77" s="22">
        <v>7724023764</v>
      </c>
      <c r="T77" s="23">
        <v>257125914073</v>
      </c>
      <c r="U77" s="24">
        <v>0</v>
      </c>
      <c r="V77" s="24">
        <v>0</v>
      </c>
      <c r="W77" s="24">
        <v>0</v>
      </c>
      <c r="X77" s="24">
        <v>0</v>
      </c>
      <c r="Y77" s="24">
        <f t="shared" si="66"/>
        <v>0</v>
      </c>
      <c r="Z77" s="24">
        <v>1</v>
      </c>
      <c r="AA77" s="24">
        <v>0</v>
      </c>
      <c r="AB77" s="24">
        <v>0</v>
      </c>
      <c r="AC77" s="24">
        <v>0</v>
      </c>
      <c r="AD77" s="24">
        <f t="shared" si="67"/>
        <v>1</v>
      </c>
    </row>
    <row r="78" spans="1:30" s="25" customFormat="1" ht="24.95" customHeight="1" x14ac:dyDescent="0.45">
      <c r="A78" s="20" t="s">
        <v>99</v>
      </c>
      <c r="B78" s="20" t="s">
        <v>100</v>
      </c>
      <c r="C78" s="20" t="s">
        <v>248</v>
      </c>
      <c r="D78" s="37">
        <v>37</v>
      </c>
      <c r="E78" s="39" t="s">
        <v>253</v>
      </c>
      <c r="F78" s="39" t="s">
        <v>254</v>
      </c>
      <c r="G78" s="40">
        <v>0</v>
      </c>
      <c r="H78" s="33">
        <v>0</v>
      </c>
      <c r="I78" s="33">
        <v>0</v>
      </c>
      <c r="J78" s="33">
        <v>0</v>
      </c>
      <c r="K78" s="35">
        <f t="shared" ref="K78" si="74">SUM(G78:J78)</f>
        <v>0</v>
      </c>
      <c r="L78" s="33">
        <v>0</v>
      </c>
      <c r="M78" s="33">
        <v>0</v>
      </c>
      <c r="N78" s="33">
        <v>0</v>
      </c>
      <c r="O78" s="33">
        <v>0</v>
      </c>
      <c r="P78" s="35">
        <f t="shared" ref="P78" si="75">SUM(L78:O78)</f>
        <v>0</v>
      </c>
      <c r="Q78" s="33">
        <v>125</v>
      </c>
      <c r="R78" s="29" t="s">
        <v>255</v>
      </c>
      <c r="S78" s="22">
        <v>8815157122</v>
      </c>
      <c r="T78" s="23">
        <v>939901361995</v>
      </c>
      <c r="U78" s="24">
        <v>0</v>
      </c>
      <c r="V78" s="24">
        <v>0</v>
      </c>
      <c r="W78" s="24">
        <v>0</v>
      </c>
      <c r="X78" s="24">
        <v>0</v>
      </c>
      <c r="Y78" s="24">
        <f t="shared" si="66"/>
        <v>0</v>
      </c>
      <c r="Z78" s="24">
        <v>0</v>
      </c>
      <c r="AA78" s="24">
        <v>0</v>
      </c>
      <c r="AB78" s="24">
        <v>0</v>
      </c>
      <c r="AC78" s="24">
        <v>1</v>
      </c>
      <c r="AD78" s="24">
        <f t="shared" si="67"/>
        <v>1</v>
      </c>
    </row>
    <row r="79" spans="1:30" s="25" customFormat="1" ht="24.95" customHeight="1" x14ac:dyDescent="0.45">
      <c r="A79" s="20" t="s">
        <v>99</v>
      </c>
      <c r="B79" s="20" t="s">
        <v>100</v>
      </c>
      <c r="C79" s="20" t="s">
        <v>248</v>
      </c>
      <c r="D79" s="38"/>
      <c r="E79" s="39"/>
      <c r="F79" s="39"/>
      <c r="G79" s="41"/>
      <c r="H79" s="34"/>
      <c r="I79" s="34"/>
      <c r="J79" s="34"/>
      <c r="K79" s="36"/>
      <c r="L79" s="34"/>
      <c r="M79" s="34"/>
      <c r="N79" s="34"/>
      <c r="O79" s="34"/>
      <c r="P79" s="36"/>
      <c r="Q79" s="34"/>
      <c r="R79" s="29" t="s">
        <v>256</v>
      </c>
      <c r="S79" s="22">
        <v>8889958905</v>
      </c>
      <c r="T79" s="23">
        <v>308773684713</v>
      </c>
      <c r="U79" s="24">
        <v>0</v>
      </c>
      <c r="V79" s="24">
        <v>0</v>
      </c>
      <c r="W79" s="24">
        <v>0</v>
      </c>
      <c r="X79" s="24">
        <v>0</v>
      </c>
      <c r="Y79" s="24">
        <f t="shared" si="66"/>
        <v>0</v>
      </c>
      <c r="Z79" s="24">
        <v>1</v>
      </c>
      <c r="AA79" s="24">
        <v>0</v>
      </c>
      <c r="AB79" s="24">
        <v>0</v>
      </c>
      <c r="AC79" s="24">
        <v>0</v>
      </c>
      <c r="AD79" s="24">
        <f t="shared" si="67"/>
        <v>1</v>
      </c>
    </row>
    <row r="80" spans="1:30" s="25" customFormat="1" ht="24.95" customHeight="1" x14ac:dyDescent="0.45">
      <c r="A80" s="20" t="s">
        <v>99</v>
      </c>
      <c r="B80" s="20" t="s">
        <v>100</v>
      </c>
      <c r="C80" s="20" t="s">
        <v>248</v>
      </c>
      <c r="D80" s="37">
        <v>38</v>
      </c>
      <c r="E80" s="39" t="s">
        <v>257</v>
      </c>
      <c r="F80" s="39" t="s">
        <v>258</v>
      </c>
      <c r="G80" s="40">
        <v>173</v>
      </c>
      <c r="H80" s="33">
        <v>0</v>
      </c>
      <c r="I80" s="33">
        <v>39</v>
      </c>
      <c r="J80" s="33">
        <v>89</v>
      </c>
      <c r="K80" s="35">
        <f t="shared" ref="K80" si="76">SUM(G80:J80)</f>
        <v>301</v>
      </c>
      <c r="L80" s="33">
        <v>44</v>
      </c>
      <c r="M80" s="33">
        <v>0</v>
      </c>
      <c r="N80" s="33">
        <v>8</v>
      </c>
      <c r="O80" s="33">
        <v>22</v>
      </c>
      <c r="P80" s="35">
        <f t="shared" ref="P80" si="77">SUM(L80:O80)</f>
        <v>74</v>
      </c>
      <c r="Q80" s="33">
        <v>125</v>
      </c>
      <c r="R80" s="29" t="s">
        <v>259</v>
      </c>
      <c r="S80" s="22">
        <v>8829737582</v>
      </c>
      <c r="T80" s="23">
        <v>628008688486</v>
      </c>
      <c r="U80" s="24">
        <v>0</v>
      </c>
      <c r="V80" s="24">
        <v>0</v>
      </c>
      <c r="W80" s="24">
        <v>0</v>
      </c>
      <c r="X80" s="24">
        <v>0</v>
      </c>
      <c r="Y80" s="24">
        <f t="shared" si="66"/>
        <v>0</v>
      </c>
      <c r="Z80" s="24">
        <v>1</v>
      </c>
      <c r="AA80" s="24">
        <v>0</v>
      </c>
      <c r="AB80" s="24">
        <v>0</v>
      </c>
      <c r="AC80" s="24">
        <v>0</v>
      </c>
      <c r="AD80" s="24">
        <f t="shared" si="67"/>
        <v>1</v>
      </c>
    </row>
    <row r="81" spans="1:30" s="25" customFormat="1" ht="24.95" customHeight="1" x14ac:dyDescent="0.45">
      <c r="A81" s="20" t="s">
        <v>99</v>
      </c>
      <c r="B81" s="20" t="s">
        <v>100</v>
      </c>
      <c r="C81" s="20" t="s">
        <v>248</v>
      </c>
      <c r="D81" s="38"/>
      <c r="E81" s="39"/>
      <c r="F81" s="39"/>
      <c r="G81" s="41"/>
      <c r="H81" s="34"/>
      <c r="I81" s="34"/>
      <c r="J81" s="34"/>
      <c r="K81" s="36"/>
      <c r="L81" s="34"/>
      <c r="M81" s="34"/>
      <c r="N81" s="34"/>
      <c r="O81" s="34"/>
      <c r="P81" s="36"/>
      <c r="Q81" s="34"/>
      <c r="R81" s="29" t="s">
        <v>260</v>
      </c>
      <c r="S81" s="22">
        <v>7869708603</v>
      </c>
      <c r="T81" s="23">
        <v>950453202077</v>
      </c>
      <c r="U81" s="24">
        <v>0</v>
      </c>
      <c r="V81" s="24">
        <v>0</v>
      </c>
      <c r="W81" s="24">
        <v>0</v>
      </c>
      <c r="X81" s="24">
        <v>0</v>
      </c>
      <c r="Y81" s="24">
        <f t="shared" si="66"/>
        <v>0</v>
      </c>
      <c r="Z81" s="24">
        <v>1</v>
      </c>
      <c r="AA81" s="24">
        <v>0</v>
      </c>
      <c r="AB81" s="24">
        <v>0</v>
      </c>
      <c r="AC81" s="24">
        <v>0</v>
      </c>
      <c r="AD81" s="24">
        <f t="shared" si="67"/>
        <v>1</v>
      </c>
    </row>
    <row r="82" spans="1:30" s="25" customFormat="1" ht="24.95" customHeight="1" x14ac:dyDescent="0.45">
      <c r="A82" s="20" t="s">
        <v>99</v>
      </c>
      <c r="B82" s="20" t="s">
        <v>100</v>
      </c>
      <c r="C82" s="20" t="s">
        <v>261</v>
      </c>
      <c r="D82" s="37">
        <v>39</v>
      </c>
      <c r="E82" s="39" t="s">
        <v>262</v>
      </c>
      <c r="F82" s="39" t="s">
        <v>263</v>
      </c>
      <c r="G82" s="40">
        <v>59</v>
      </c>
      <c r="H82" s="33">
        <v>0</v>
      </c>
      <c r="I82" s="33">
        <v>7</v>
      </c>
      <c r="J82" s="33">
        <v>32</v>
      </c>
      <c r="K82" s="35">
        <f t="shared" ref="K82" si="78">SUM(G82:J82)</f>
        <v>98</v>
      </c>
      <c r="L82" s="33">
        <v>16</v>
      </c>
      <c r="M82" s="33">
        <v>0</v>
      </c>
      <c r="N82" s="33">
        <v>1</v>
      </c>
      <c r="O82" s="33">
        <v>10</v>
      </c>
      <c r="P82" s="35">
        <f t="shared" ref="P82" si="79">SUM(L82:O82)</f>
        <v>27</v>
      </c>
      <c r="Q82" s="33">
        <v>125</v>
      </c>
      <c r="R82" s="21" t="s">
        <v>264</v>
      </c>
      <c r="S82" s="22">
        <v>6261307353</v>
      </c>
      <c r="T82" s="23">
        <v>395531110257</v>
      </c>
      <c r="U82" s="24">
        <v>0</v>
      </c>
      <c r="V82" s="24">
        <v>0</v>
      </c>
      <c r="W82" s="24">
        <v>0</v>
      </c>
      <c r="X82" s="24">
        <v>0</v>
      </c>
      <c r="Y82" s="24">
        <f t="shared" si="66"/>
        <v>0</v>
      </c>
      <c r="Z82" s="24">
        <v>1</v>
      </c>
      <c r="AA82" s="24">
        <v>0</v>
      </c>
      <c r="AB82" s="24">
        <v>0</v>
      </c>
      <c r="AC82" s="24">
        <v>0</v>
      </c>
      <c r="AD82" s="24">
        <f t="shared" si="67"/>
        <v>1</v>
      </c>
    </row>
    <row r="83" spans="1:30" s="25" customFormat="1" ht="24.95" customHeight="1" x14ac:dyDescent="0.45">
      <c r="A83" s="20" t="s">
        <v>99</v>
      </c>
      <c r="B83" s="20" t="s">
        <v>100</v>
      </c>
      <c r="C83" s="20" t="s">
        <v>261</v>
      </c>
      <c r="D83" s="38"/>
      <c r="E83" s="39"/>
      <c r="F83" s="39"/>
      <c r="G83" s="41"/>
      <c r="H83" s="34"/>
      <c r="I83" s="34"/>
      <c r="J83" s="34"/>
      <c r="K83" s="36"/>
      <c r="L83" s="34"/>
      <c r="M83" s="34"/>
      <c r="N83" s="34"/>
      <c r="O83" s="34"/>
      <c r="P83" s="36"/>
      <c r="Q83" s="34"/>
      <c r="R83" s="21" t="s">
        <v>265</v>
      </c>
      <c r="S83" s="22">
        <v>7806053227</v>
      </c>
      <c r="T83" s="23">
        <v>755439095186</v>
      </c>
      <c r="U83" s="24">
        <v>0</v>
      </c>
      <c r="V83" s="24">
        <v>0</v>
      </c>
      <c r="W83" s="24">
        <v>0</v>
      </c>
      <c r="X83" s="24">
        <v>0</v>
      </c>
      <c r="Y83" s="24">
        <f t="shared" si="66"/>
        <v>0</v>
      </c>
      <c r="Z83" s="24">
        <v>0</v>
      </c>
      <c r="AA83" s="24">
        <v>0</v>
      </c>
      <c r="AB83" s="24">
        <v>0</v>
      </c>
      <c r="AC83" s="24">
        <v>1</v>
      </c>
      <c r="AD83" s="24">
        <f t="shared" si="67"/>
        <v>1</v>
      </c>
    </row>
    <row r="84" spans="1:30" s="25" customFormat="1" ht="24.95" customHeight="1" x14ac:dyDescent="0.45">
      <c r="A84" s="20" t="s">
        <v>99</v>
      </c>
      <c r="B84" s="20" t="s">
        <v>100</v>
      </c>
      <c r="C84" s="20" t="s">
        <v>261</v>
      </c>
      <c r="D84" s="37">
        <v>40</v>
      </c>
      <c r="E84" s="39" t="s">
        <v>266</v>
      </c>
      <c r="F84" s="39" t="s">
        <v>267</v>
      </c>
      <c r="G84" s="40">
        <v>13</v>
      </c>
      <c r="H84" s="33">
        <v>0</v>
      </c>
      <c r="I84" s="33">
        <v>20</v>
      </c>
      <c r="J84" s="33">
        <v>49</v>
      </c>
      <c r="K84" s="35">
        <f t="shared" ref="K84" si="80">SUM(G84:J84)</f>
        <v>82</v>
      </c>
      <c r="L84" s="33">
        <v>15</v>
      </c>
      <c r="M84" s="33">
        <v>0</v>
      </c>
      <c r="N84" s="33">
        <v>9</v>
      </c>
      <c r="O84" s="33">
        <v>19</v>
      </c>
      <c r="P84" s="35">
        <f t="shared" ref="P84" si="81">SUM(L84:O84)</f>
        <v>43</v>
      </c>
      <c r="Q84" s="33">
        <v>125</v>
      </c>
      <c r="R84" s="21" t="s">
        <v>268</v>
      </c>
      <c r="S84" s="22">
        <v>9753478085</v>
      </c>
      <c r="T84" s="23">
        <v>444861251832</v>
      </c>
      <c r="U84" s="24">
        <v>0</v>
      </c>
      <c r="V84" s="24">
        <v>0</v>
      </c>
      <c r="W84" s="24">
        <v>0</v>
      </c>
      <c r="X84" s="24">
        <v>0</v>
      </c>
      <c r="Y84" s="24">
        <f t="shared" si="66"/>
        <v>0</v>
      </c>
      <c r="Z84" s="24">
        <v>0</v>
      </c>
      <c r="AA84" s="24">
        <v>0</v>
      </c>
      <c r="AB84" s="24">
        <v>0</v>
      </c>
      <c r="AC84" s="24">
        <v>1</v>
      </c>
      <c r="AD84" s="24">
        <f t="shared" si="67"/>
        <v>1</v>
      </c>
    </row>
    <row r="85" spans="1:30" s="25" customFormat="1" ht="24.95" customHeight="1" x14ac:dyDescent="0.45">
      <c r="A85" s="20" t="s">
        <v>99</v>
      </c>
      <c r="B85" s="20" t="s">
        <v>100</v>
      </c>
      <c r="C85" s="20" t="s">
        <v>261</v>
      </c>
      <c r="D85" s="38"/>
      <c r="E85" s="39"/>
      <c r="F85" s="39"/>
      <c r="G85" s="41"/>
      <c r="H85" s="34"/>
      <c r="I85" s="34"/>
      <c r="J85" s="34"/>
      <c r="K85" s="36"/>
      <c r="L85" s="34"/>
      <c r="M85" s="34"/>
      <c r="N85" s="34"/>
      <c r="O85" s="34"/>
      <c r="P85" s="36"/>
      <c r="Q85" s="34"/>
      <c r="R85" s="21" t="s">
        <v>269</v>
      </c>
      <c r="S85" s="22">
        <v>7489768424</v>
      </c>
      <c r="T85" s="23">
        <v>928062349706</v>
      </c>
      <c r="U85" s="24">
        <v>0</v>
      </c>
      <c r="V85" s="24">
        <v>0</v>
      </c>
      <c r="W85" s="24">
        <v>0</v>
      </c>
      <c r="X85" s="24">
        <v>0</v>
      </c>
      <c r="Y85" s="24">
        <f t="shared" si="66"/>
        <v>0</v>
      </c>
      <c r="Z85" s="24">
        <v>1</v>
      </c>
      <c r="AA85" s="24">
        <v>0</v>
      </c>
      <c r="AB85" s="24">
        <v>0</v>
      </c>
      <c r="AC85" s="24">
        <v>0</v>
      </c>
      <c r="AD85" s="24">
        <f t="shared" si="67"/>
        <v>1</v>
      </c>
    </row>
    <row r="86" spans="1:30" s="25" customFormat="1" ht="24.95" customHeight="1" x14ac:dyDescent="0.45">
      <c r="A86" s="20" t="s">
        <v>99</v>
      </c>
      <c r="B86" s="20" t="s">
        <v>100</v>
      </c>
      <c r="C86" s="20" t="s">
        <v>261</v>
      </c>
      <c r="D86" s="37">
        <v>41</v>
      </c>
      <c r="E86" s="39" t="s">
        <v>270</v>
      </c>
      <c r="F86" s="39" t="s">
        <v>271</v>
      </c>
      <c r="G86" s="40">
        <v>56</v>
      </c>
      <c r="H86" s="33">
        <v>0</v>
      </c>
      <c r="I86" s="33">
        <v>5</v>
      </c>
      <c r="J86" s="33">
        <v>39</v>
      </c>
      <c r="K86" s="35">
        <f t="shared" ref="K86" si="82">SUM(G86:J86)</f>
        <v>100</v>
      </c>
      <c r="L86" s="33">
        <v>11</v>
      </c>
      <c r="M86" s="33">
        <v>0</v>
      </c>
      <c r="N86" s="33">
        <v>2</v>
      </c>
      <c r="O86" s="33">
        <v>12</v>
      </c>
      <c r="P86" s="35">
        <f t="shared" ref="P86" si="83">SUM(L86:O86)</f>
        <v>25</v>
      </c>
      <c r="Q86" s="33">
        <v>125</v>
      </c>
      <c r="R86" s="21" t="s">
        <v>272</v>
      </c>
      <c r="S86" s="22">
        <v>9111083701</v>
      </c>
      <c r="T86" s="23">
        <v>643086370981</v>
      </c>
      <c r="U86" s="24">
        <v>0</v>
      </c>
      <c r="V86" s="24">
        <v>0</v>
      </c>
      <c r="W86" s="24">
        <v>0</v>
      </c>
      <c r="X86" s="24">
        <v>0</v>
      </c>
      <c r="Y86" s="24">
        <f t="shared" si="66"/>
        <v>0</v>
      </c>
      <c r="Z86" s="24">
        <v>1</v>
      </c>
      <c r="AA86" s="24">
        <v>0</v>
      </c>
      <c r="AB86" s="24">
        <v>0</v>
      </c>
      <c r="AC86" s="24">
        <v>0</v>
      </c>
      <c r="AD86" s="24">
        <f t="shared" si="67"/>
        <v>1</v>
      </c>
    </row>
    <row r="87" spans="1:30" s="25" customFormat="1" ht="24.95" customHeight="1" x14ac:dyDescent="0.45">
      <c r="A87" s="20" t="s">
        <v>99</v>
      </c>
      <c r="B87" s="20" t="s">
        <v>100</v>
      </c>
      <c r="C87" s="20" t="s">
        <v>261</v>
      </c>
      <c r="D87" s="38"/>
      <c r="E87" s="39"/>
      <c r="F87" s="39"/>
      <c r="G87" s="41"/>
      <c r="H87" s="34"/>
      <c r="I87" s="34"/>
      <c r="J87" s="34"/>
      <c r="K87" s="36"/>
      <c r="L87" s="34"/>
      <c r="M87" s="34"/>
      <c r="N87" s="34"/>
      <c r="O87" s="34"/>
      <c r="P87" s="36"/>
      <c r="Q87" s="34"/>
      <c r="R87" s="21" t="s">
        <v>273</v>
      </c>
      <c r="S87" s="22">
        <v>7420510463</v>
      </c>
      <c r="T87" s="23">
        <v>209111521705</v>
      </c>
      <c r="U87" s="24">
        <v>0</v>
      </c>
      <c r="V87" s="24">
        <v>0</v>
      </c>
      <c r="W87" s="24">
        <v>0</v>
      </c>
      <c r="X87" s="24">
        <v>0</v>
      </c>
      <c r="Y87" s="24">
        <f t="shared" si="66"/>
        <v>0</v>
      </c>
      <c r="Z87" s="24">
        <v>1</v>
      </c>
      <c r="AA87" s="24">
        <v>0</v>
      </c>
      <c r="AB87" s="24">
        <v>0</v>
      </c>
      <c r="AC87" s="24">
        <v>0</v>
      </c>
      <c r="AD87" s="24">
        <f t="shared" si="67"/>
        <v>1</v>
      </c>
    </row>
    <row r="88" spans="1:30" s="25" customFormat="1" ht="24.95" customHeight="1" x14ac:dyDescent="0.45">
      <c r="A88" s="20" t="s">
        <v>99</v>
      </c>
      <c r="B88" s="20" t="s">
        <v>100</v>
      </c>
      <c r="C88" s="20" t="s">
        <v>261</v>
      </c>
      <c r="D88" s="37">
        <v>42</v>
      </c>
      <c r="E88" s="39" t="s">
        <v>274</v>
      </c>
      <c r="F88" s="39" t="s">
        <v>275</v>
      </c>
      <c r="G88" s="40">
        <v>16</v>
      </c>
      <c r="H88" s="33">
        <v>0</v>
      </c>
      <c r="I88" s="33">
        <v>12</v>
      </c>
      <c r="J88" s="33">
        <v>79</v>
      </c>
      <c r="K88" s="35">
        <f t="shared" ref="K88" si="84">SUM(G88:J88)</f>
        <v>107</v>
      </c>
      <c r="L88" s="33">
        <v>6</v>
      </c>
      <c r="M88" s="33">
        <v>0</v>
      </c>
      <c r="N88" s="33">
        <v>2</v>
      </c>
      <c r="O88" s="33">
        <v>10</v>
      </c>
      <c r="P88" s="35">
        <f t="shared" ref="P88" si="85">SUM(L88:O88)</f>
        <v>18</v>
      </c>
      <c r="Q88" s="33">
        <v>125</v>
      </c>
      <c r="R88" s="21" t="s">
        <v>276</v>
      </c>
      <c r="S88" s="22">
        <v>7691983369</v>
      </c>
      <c r="T88" s="23">
        <v>958312936718</v>
      </c>
      <c r="U88" s="24">
        <v>0</v>
      </c>
      <c r="V88" s="24">
        <v>0</v>
      </c>
      <c r="W88" s="24">
        <v>0</v>
      </c>
      <c r="X88" s="24">
        <v>0</v>
      </c>
      <c r="Y88" s="24">
        <f t="shared" si="66"/>
        <v>0</v>
      </c>
      <c r="Z88" s="24">
        <v>1</v>
      </c>
      <c r="AA88" s="24">
        <v>0</v>
      </c>
      <c r="AB88" s="24">
        <v>0</v>
      </c>
      <c r="AC88" s="24">
        <v>0</v>
      </c>
      <c r="AD88" s="24">
        <f t="shared" si="67"/>
        <v>1</v>
      </c>
    </row>
    <row r="89" spans="1:30" s="25" customFormat="1" ht="24.95" customHeight="1" x14ac:dyDescent="0.45">
      <c r="A89" s="20" t="s">
        <v>99</v>
      </c>
      <c r="B89" s="20" t="s">
        <v>100</v>
      </c>
      <c r="C89" s="20" t="s">
        <v>261</v>
      </c>
      <c r="D89" s="38"/>
      <c r="E89" s="39"/>
      <c r="F89" s="39"/>
      <c r="G89" s="41"/>
      <c r="H89" s="34"/>
      <c r="I89" s="34"/>
      <c r="J89" s="34"/>
      <c r="K89" s="36"/>
      <c r="L89" s="34"/>
      <c r="M89" s="34"/>
      <c r="N89" s="34"/>
      <c r="O89" s="34"/>
      <c r="P89" s="36"/>
      <c r="Q89" s="34"/>
      <c r="R89" s="21" t="s">
        <v>277</v>
      </c>
      <c r="S89" s="22">
        <v>7489017528</v>
      </c>
      <c r="T89" s="23">
        <v>470534955265</v>
      </c>
      <c r="U89" s="24">
        <v>0</v>
      </c>
      <c r="V89" s="24">
        <v>0</v>
      </c>
      <c r="W89" s="24">
        <v>0</v>
      </c>
      <c r="X89" s="24">
        <v>0</v>
      </c>
      <c r="Y89" s="24">
        <f t="shared" si="66"/>
        <v>0</v>
      </c>
      <c r="Z89" s="24">
        <v>0</v>
      </c>
      <c r="AA89" s="24">
        <v>0</v>
      </c>
      <c r="AB89" s="24">
        <v>0</v>
      </c>
      <c r="AC89" s="24">
        <v>1</v>
      </c>
      <c r="AD89" s="24">
        <f t="shared" si="67"/>
        <v>1</v>
      </c>
    </row>
    <row r="90" spans="1:30" x14ac:dyDescent="0.45">
      <c r="G90" s="30">
        <f>SUM(G6:G89)</f>
        <v>2538</v>
      </c>
      <c r="H90" s="30">
        <f t="shared" ref="H90:J90" si="86">SUM(H6:H89)</f>
        <v>0</v>
      </c>
      <c r="I90" s="30">
        <f>SUM(I6:I89)</f>
        <v>642</v>
      </c>
      <c r="J90" s="30">
        <f t="shared" si="86"/>
        <v>1092</v>
      </c>
      <c r="K90" s="30"/>
      <c r="L90" s="30">
        <f>SUM(L6:L89)</f>
        <v>541</v>
      </c>
      <c r="M90" s="30">
        <f t="shared" ref="M90:O90" si="87">SUM(M6:M89)</f>
        <v>0</v>
      </c>
      <c r="N90" s="30">
        <f t="shared" si="87"/>
        <v>172</v>
      </c>
      <c r="O90" s="30">
        <f t="shared" si="87"/>
        <v>265</v>
      </c>
      <c r="P90" s="30"/>
      <c r="Z90" s="3">
        <f>SUM(Z6:Z89)</f>
        <v>48</v>
      </c>
      <c r="AA90" s="3">
        <f t="shared" ref="AA90:AC90" si="88">SUM(AA6:AA89)</f>
        <v>0</v>
      </c>
      <c r="AB90" s="3">
        <f t="shared" si="88"/>
        <v>14</v>
      </c>
      <c r="AC90" s="3">
        <f t="shared" si="88"/>
        <v>22</v>
      </c>
    </row>
    <row r="92" spans="1:30" x14ac:dyDescent="0.45">
      <c r="G92">
        <f>G90+L90</f>
        <v>3079</v>
      </c>
      <c r="J92">
        <f>I90+N90</f>
        <v>814</v>
      </c>
      <c r="L92">
        <f>J90+O90</f>
        <v>1357</v>
      </c>
    </row>
  </sheetData>
  <autoFilter ref="Z1:Z92" xr:uid="{00000000-0001-0000-0200-000000000000}"/>
  <mergeCells count="607">
    <mergeCell ref="A1:AD1"/>
    <mergeCell ref="A2:A4"/>
    <mergeCell ref="B2:B4"/>
    <mergeCell ref="C2:C4"/>
    <mergeCell ref="D2:D4"/>
    <mergeCell ref="E2:E4"/>
    <mergeCell ref="F2:F4"/>
    <mergeCell ref="G2:P2"/>
    <mergeCell ref="Q2:Q4"/>
    <mergeCell ref="R2:T2"/>
    <mergeCell ref="F6:F7"/>
    <mergeCell ref="G6:G7"/>
    <mergeCell ref="H6:H7"/>
    <mergeCell ref="I6:I7"/>
    <mergeCell ref="U2:AD2"/>
    <mergeCell ref="G3:K3"/>
    <mergeCell ref="L3:P3"/>
    <mergeCell ref="U3:Y3"/>
    <mergeCell ref="Z3:AD3"/>
    <mergeCell ref="G5:K5"/>
    <mergeCell ref="L5:P5"/>
    <mergeCell ref="U5:Y5"/>
    <mergeCell ref="Z5:AD5"/>
    <mergeCell ref="L8:L9"/>
    <mergeCell ref="M8:M9"/>
    <mergeCell ref="N8:N9"/>
    <mergeCell ref="O8:O9"/>
    <mergeCell ref="P8:P9"/>
    <mergeCell ref="Q8:Q9"/>
    <mergeCell ref="P6:P7"/>
    <mergeCell ref="Q6:Q7"/>
    <mergeCell ref="D8:D9"/>
    <mergeCell ref="E8:E9"/>
    <mergeCell ref="F8:F9"/>
    <mergeCell ref="G8:G9"/>
    <mergeCell ref="H8:H9"/>
    <mergeCell ref="I8:I9"/>
    <mergeCell ref="J8:J9"/>
    <mergeCell ref="K8:K9"/>
    <mergeCell ref="J6:J7"/>
    <mergeCell ref="K6:K7"/>
    <mergeCell ref="L6:L7"/>
    <mergeCell ref="M6:M7"/>
    <mergeCell ref="N6:N7"/>
    <mergeCell ref="O6:O7"/>
    <mergeCell ref="D6:D7"/>
    <mergeCell ref="E6:E7"/>
    <mergeCell ref="Q12:Q13"/>
    <mergeCell ref="P10:P11"/>
    <mergeCell ref="Q10:Q11"/>
    <mergeCell ref="D12:D13"/>
    <mergeCell ref="E12:E13"/>
    <mergeCell ref="F12:F13"/>
    <mergeCell ref="G12:G13"/>
    <mergeCell ref="H12:H13"/>
    <mergeCell ref="I12:I13"/>
    <mergeCell ref="J12:J13"/>
    <mergeCell ref="K12:K13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F14:F15"/>
    <mergeCell ref="G14:G15"/>
    <mergeCell ref="H14:H15"/>
    <mergeCell ref="I14:I15"/>
    <mergeCell ref="L12:L13"/>
    <mergeCell ref="M12:M13"/>
    <mergeCell ref="N12:N13"/>
    <mergeCell ref="O12:O13"/>
    <mergeCell ref="P12:P13"/>
    <mergeCell ref="L16:L17"/>
    <mergeCell ref="M16:M17"/>
    <mergeCell ref="N16:N17"/>
    <mergeCell ref="O16:O17"/>
    <mergeCell ref="P16:P17"/>
    <mergeCell ref="Q16:Q17"/>
    <mergeCell ref="P14:P15"/>
    <mergeCell ref="Q14:Q15"/>
    <mergeCell ref="D16:D17"/>
    <mergeCell ref="E16:E17"/>
    <mergeCell ref="F16:F17"/>
    <mergeCell ref="G16:G17"/>
    <mergeCell ref="H16:H17"/>
    <mergeCell ref="I16:I17"/>
    <mergeCell ref="J16:J17"/>
    <mergeCell ref="K16:K17"/>
    <mergeCell ref="J14:J15"/>
    <mergeCell ref="K14:K15"/>
    <mergeCell ref="L14:L15"/>
    <mergeCell ref="M14:M15"/>
    <mergeCell ref="N14:N15"/>
    <mergeCell ref="O14:O15"/>
    <mergeCell ref="D14:D15"/>
    <mergeCell ref="E14:E15"/>
    <mergeCell ref="Q20:Q21"/>
    <mergeCell ref="P18:P19"/>
    <mergeCell ref="Q18:Q19"/>
    <mergeCell ref="D20:D21"/>
    <mergeCell ref="E20:E21"/>
    <mergeCell ref="F20:F21"/>
    <mergeCell ref="G20:G21"/>
    <mergeCell ref="H20:H21"/>
    <mergeCell ref="I20:I21"/>
    <mergeCell ref="J20:J21"/>
    <mergeCell ref="K20:K21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F22:F23"/>
    <mergeCell ref="G22:G23"/>
    <mergeCell ref="H22:H23"/>
    <mergeCell ref="I22:I23"/>
    <mergeCell ref="L20:L21"/>
    <mergeCell ref="M20:M21"/>
    <mergeCell ref="N20:N21"/>
    <mergeCell ref="O20:O21"/>
    <mergeCell ref="P20:P21"/>
    <mergeCell ref="L24:L25"/>
    <mergeCell ref="M24:M25"/>
    <mergeCell ref="N24:N25"/>
    <mergeCell ref="O24:O25"/>
    <mergeCell ref="P24:P25"/>
    <mergeCell ref="Q24:Q25"/>
    <mergeCell ref="P22:P23"/>
    <mergeCell ref="Q22:Q23"/>
    <mergeCell ref="D24:D25"/>
    <mergeCell ref="E24:E25"/>
    <mergeCell ref="F24:F25"/>
    <mergeCell ref="G24:G25"/>
    <mergeCell ref="H24:H25"/>
    <mergeCell ref="I24:I25"/>
    <mergeCell ref="J24:J25"/>
    <mergeCell ref="K24:K25"/>
    <mergeCell ref="J22:J23"/>
    <mergeCell ref="K22:K23"/>
    <mergeCell ref="L22:L23"/>
    <mergeCell ref="M22:M23"/>
    <mergeCell ref="N22:N23"/>
    <mergeCell ref="O22:O23"/>
    <mergeCell ref="D22:D23"/>
    <mergeCell ref="E22:E23"/>
    <mergeCell ref="Q28:Q29"/>
    <mergeCell ref="P26:P27"/>
    <mergeCell ref="Q26:Q27"/>
    <mergeCell ref="D28:D29"/>
    <mergeCell ref="E28:E29"/>
    <mergeCell ref="F28:F29"/>
    <mergeCell ref="G28:G29"/>
    <mergeCell ref="H28:H29"/>
    <mergeCell ref="I28:I29"/>
    <mergeCell ref="J28:J29"/>
    <mergeCell ref="K28:K29"/>
    <mergeCell ref="J26:J27"/>
    <mergeCell ref="K26:K27"/>
    <mergeCell ref="L26:L27"/>
    <mergeCell ref="M26:M27"/>
    <mergeCell ref="N26:N27"/>
    <mergeCell ref="O26:O27"/>
    <mergeCell ref="D26:D27"/>
    <mergeCell ref="E26:E27"/>
    <mergeCell ref="F26:F27"/>
    <mergeCell ref="G26:G27"/>
    <mergeCell ref="H26:H27"/>
    <mergeCell ref="I26:I27"/>
    <mergeCell ref="F30:F31"/>
    <mergeCell ref="G30:G31"/>
    <mergeCell ref="H30:H31"/>
    <mergeCell ref="I30:I31"/>
    <mergeCell ref="L28:L29"/>
    <mergeCell ref="M28:M29"/>
    <mergeCell ref="N28:N29"/>
    <mergeCell ref="O28:O29"/>
    <mergeCell ref="P28:P29"/>
    <mergeCell ref="L32:L33"/>
    <mergeCell ref="M32:M33"/>
    <mergeCell ref="N32:N33"/>
    <mergeCell ref="O32:O33"/>
    <mergeCell ref="P32:P33"/>
    <mergeCell ref="Q32:Q33"/>
    <mergeCell ref="P30:P31"/>
    <mergeCell ref="Q30:Q31"/>
    <mergeCell ref="D32:D33"/>
    <mergeCell ref="E32:E33"/>
    <mergeCell ref="F32:F33"/>
    <mergeCell ref="G32:G33"/>
    <mergeCell ref="H32:H33"/>
    <mergeCell ref="I32:I33"/>
    <mergeCell ref="J32:J33"/>
    <mergeCell ref="K32:K33"/>
    <mergeCell ref="J30:J31"/>
    <mergeCell ref="K30:K31"/>
    <mergeCell ref="L30:L31"/>
    <mergeCell ref="M30:M31"/>
    <mergeCell ref="N30:N31"/>
    <mergeCell ref="O30:O31"/>
    <mergeCell ref="D30:D31"/>
    <mergeCell ref="E30:E31"/>
    <mergeCell ref="Q36:Q37"/>
    <mergeCell ref="P34:P35"/>
    <mergeCell ref="Q34:Q35"/>
    <mergeCell ref="D36:D37"/>
    <mergeCell ref="E36:E37"/>
    <mergeCell ref="F36:F37"/>
    <mergeCell ref="G36:G37"/>
    <mergeCell ref="H36:H37"/>
    <mergeCell ref="I36:I37"/>
    <mergeCell ref="J36:J37"/>
    <mergeCell ref="K36:K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F38:F39"/>
    <mergeCell ref="G38:G39"/>
    <mergeCell ref="H38:H39"/>
    <mergeCell ref="I38:I39"/>
    <mergeCell ref="L36:L37"/>
    <mergeCell ref="M36:M37"/>
    <mergeCell ref="N36:N37"/>
    <mergeCell ref="O36:O37"/>
    <mergeCell ref="P36:P37"/>
    <mergeCell ref="L40:L41"/>
    <mergeCell ref="M40:M41"/>
    <mergeCell ref="N40:N41"/>
    <mergeCell ref="O40:O41"/>
    <mergeCell ref="P40:P41"/>
    <mergeCell ref="Q40:Q41"/>
    <mergeCell ref="P38:P39"/>
    <mergeCell ref="Q38:Q39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D38:D39"/>
    <mergeCell ref="E38:E39"/>
    <mergeCell ref="Q44:Q45"/>
    <mergeCell ref="P42:P43"/>
    <mergeCell ref="Q42:Q43"/>
    <mergeCell ref="D44:D45"/>
    <mergeCell ref="E44:E45"/>
    <mergeCell ref="F44:F45"/>
    <mergeCell ref="G44:G45"/>
    <mergeCell ref="H44:H45"/>
    <mergeCell ref="I44:I45"/>
    <mergeCell ref="J44:J45"/>
    <mergeCell ref="K44:K45"/>
    <mergeCell ref="J42:J43"/>
    <mergeCell ref="K42:K43"/>
    <mergeCell ref="L42:L43"/>
    <mergeCell ref="M42:M43"/>
    <mergeCell ref="N42:N43"/>
    <mergeCell ref="O42:O43"/>
    <mergeCell ref="D42:D43"/>
    <mergeCell ref="E42:E43"/>
    <mergeCell ref="F42:F43"/>
    <mergeCell ref="G42:G43"/>
    <mergeCell ref="H42:H43"/>
    <mergeCell ref="I42:I43"/>
    <mergeCell ref="F46:F47"/>
    <mergeCell ref="G46:G47"/>
    <mergeCell ref="H46:H47"/>
    <mergeCell ref="I46:I47"/>
    <mergeCell ref="L44:L45"/>
    <mergeCell ref="M44:M45"/>
    <mergeCell ref="N44:N45"/>
    <mergeCell ref="O44:O45"/>
    <mergeCell ref="P44:P45"/>
    <mergeCell ref="L48:L49"/>
    <mergeCell ref="M48:M49"/>
    <mergeCell ref="N48:N49"/>
    <mergeCell ref="O48:O49"/>
    <mergeCell ref="P48:P49"/>
    <mergeCell ref="Q48:Q49"/>
    <mergeCell ref="P46:P47"/>
    <mergeCell ref="Q46:Q47"/>
    <mergeCell ref="D48:D49"/>
    <mergeCell ref="E48:E49"/>
    <mergeCell ref="F48:F49"/>
    <mergeCell ref="G48:G49"/>
    <mergeCell ref="H48:H49"/>
    <mergeCell ref="I48:I49"/>
    <mergeCell ref="J48:J49"/>
    <mergeCell ref="K48:K49"/>
    <mergeCell ref="J46:J47"/>
    <mergeCell ref="K46:K47"/>
    <mergeCell ref="L46:L47"/>
    <mergeCell ref="M46:M47"/>
    <mergeCell ref="N46:N47"/>
    <mergeCell ref="O46:O47"/>
    <mergeCell ref="D46:D47"/>
    <mergeCell ref="E46:E47"/>
    <mergeCell ref="Q52:Q53"/>
    <mergeCell ref="P50:P51"/>
    <mergeCell ref="Q50:Q51"/>
    <mergeCell ref="D52:D53"/>
    <mergeCell ref="E52:E53"/>
    <mergeCell ref="F52:F53"/>
    <mergeCell ref="G52:G53"/>
    <mergeCell ref="H52:H53"/>
    <mergeCell ref="I52:I53"/>
    <mergeCell ref="J52:J53"/>
    <mergeCell ref="K52:K53"/>
    <mergeCell ref="J50:J51"/>
    <mergeCell ref="K50:K51"/>
    <mergeCell ref="L50:L51"/>
    <mergeCell ref="M50:M51"/>
    <mergeCell ref="N50:N51"/>
    <mergeCell ref="O50:O51"/>
    <mergeCell ref="D50:D51"/>
    <mergeCell ref="E50:E51"/>
    <mergeCell ref="F50:F51"/>
    <mergeCell ref="G50:G51"/>
    <mergeCell ref="H50:H51"/>
    <mergeCell ref="I50:I51"/>
    <mergeCell ref="F54:F55"/>
    <mergeCell ref="G54:G55"/>
    <mergeCell ref="H54:H55"/>
    <mergeCell ref="I54:I55"/>
    <mergeCell ref="L52:L53"/>
    <mergeCell ref="M52:M53"/>
    <mergeCell ref="N52:N53"/>
    <mergeCell ref="O52:O53"/>
    <mergeCell ref="P52:P53"/>
    <mergeCell ref="L56:L57"/>
    <mergeCell ref="M56:M57"/>
    <mergeCell ref="N56:N57"/>
    <mergeCell ref="O56:O57"/>
    <mergeCell ref="P56:P57"/>
    <mergeCell ref="Q56:Q57"/>
    <mergeCell ref="P54:P55"/>
    <mergeCell ref="Q54:Q55"/>
    <mergeCell ref="D56:D57"/>
    <mergeCell ref="E56:E57"/>
    <mergeCell ref="F56:F57"/>
    <mergeCell ref="G56:G57"/>
    <mergeCell ref="H56:H57"/>
    <mergeCell ref="I56:I57"/>
    <mergeCell ref="J56:J57"/>
    <mergeCell ref="K56:K57"/>
    <mergeCell ref="J54:J55"/>
    <mergeCell ref="K54:K55"/>
    <mergeCell ref="L54:L55"/>
    <mergeCell ref="M54:M55"/>
    <mergeCell ref="N54:N55"/>
    <mergeCell ref="O54:O55"/>
    <mergeCell ref="D54:D55"/>
    <mergeCell ref="E54:E55"/>
    <mergeCell ref="Q60:Q61"/>
    <mergeCell ref="P58:P59"/>
    <mergeCell ref="Q58:Q59"/>
    <mergeCell ref="D60:D61"/>
    <mergeCell ref="E60:E61"/>
    <mergeCell ref="F60:F61"/>
    <mergeCell ref="G60:G61"/>
    <mergeCell ref="H60:H61"/>
    <mergeCell ref="I60:I61"/>
    <mergeCell ref="J60:J61"/>
    <mergeCell ref="K60:K61"/>
    <mergeCell ref="J58:J59"/>
    <mergeCell ref="K58:K59"/>
    <mergeCell ref="L58:L59"/>
    <mergeCell ref="M58:M59"/>
    <mergeCell ref="N58:N59"/>
    <mergeCell ref="O58:O59"/>
    <mergeCell ref="D58:D59"/>
    <mergeCell ref="E58:E59"/>
    <mergeCell ref="F58:F59"/>
    <mergeCell ref="G58:G59"/>
    <mergeCell ref="H58:H59"/>
    <mergeCell ref="I58:I59"/>
    <mergeCell ref="F62:F63"/>
    <mergeCell ref="G62:G63"/>
    <mergeCell ref="H62:H63"/>
    <mergeCell ref="I62:I63"/>
    <mergeCell ref="L60:L61"/>
    <mergeCell ref="M60:M61"/>
    <mergeCell ref="N60:N61"/>
    <mergeCell ref="O60:O61"/>
    <mergeCell ref="P60:P61"/>
    <mergeCell ref="L64:L65"/>
    <mergeCell ref="M64:M65"/>
    <mergeCell ref="N64:N65"/>
    <mergeCell ref="O64:O65"/>
    <mergeCell ref="P64:P65"/>
    <mergeCell ref="Q64:Q65"/>
    <mergeCell ref="P62:P63"/>
    <mergeCell ref="Q62:Q63"/>
    <mergeCell ref="D64:D65"/>
    <mergeCell ref="E64:E65"/>
    <mergeCell ref="F64:F65"/>
    <mergeCell ref="G64:G65"/>
    <mergeCell ref="H64:H65"/>
    <mergeCell ref="I64:I65"/>
    <mergeCell ref="J64:J65"/>
    <mergeCell ref="K64:K65"/>
    <mergeCell ref="J62:J63"/>
    <mergeCell ref="K62:K63"/>
    <mergeCell ref="L62:L63"/>
    <mergeCell ref="M62:M63"/>
    <mergeCell ref="N62:N63"/>
    <mergeCell ref="O62:O63"/>
    <mergeCell ref="D62:D63"/>
    <mergeCell ref="E62:E63"/>
    <mergeCell ref="Q68:Q69"/>
    <mergeCell ref="P66:P67"/>
    <mergeCell ref="Q66:Q67"/>
    <mergeCell ref="D68:D69"/>
    <mergeCell ref="E68:E69"/>
    <mergeCell ref="F68:F69"/>
    <mergeCell ref="G68:G69"/>
    <mergeCell ref="H68:H69"/>
    <mergeCell ref="I68:I69"/>
    <mergeCell ref="J68:J69"/>
    <mergeCell ref="K68:K69"/>
    <mergeCell ref="J66:J67"/>
    <mergeCell ref="K66:K67"/>
    <mergeCell ref="L66:L67"/>
    <mergeCell ref="M66:M67"/>
    <mergeCell ref="N66:N67"/>
    <mergeCell ref="O66:O67"/>
    <mergeCell ref="D66:D67"/>
    <mergeCell ref="E66:E67"/>
    <mergeCell ref="F66:F67"/>
    <mergeCell ref="G66:G67"/>
    <mergeCell ref="H66:H67"/>
    <mergeCell ref="I66:I67"/>
    <mergeCell ref="F70:F71"/>
    <mergeCell ref="G70:G71"/>
    <mergeCell ref="H70:H71"/>
    <mergeCell ref="I70:I71"/>
    <mergeCell ref="L68:L69"/>
    <mergeCell ref="M68:M69"/>
    <mergeCell ref="N68:N69"/>
    <mergeCell ref="O68:O69"/>
    <mergeCell ref="P68:P69"/>
    <mergeCell ref="L72:L73"/>
    <mergeCell ref="M72:M73"/>
    <mergeCell ref="N72:N73"/>
    <mergeCell ref="O72:O73"/>
    <mergeCell ref="P72:P73"/>
    <mergeCell ref="Q72:Q73"/>
    <mergeCell ref="P70:P71"/>
    <mergeCell ref="Q70:Q71"/>
    <mergeCell ref="D72:D73"/>
    <mergeCell ref="E72:E73"/>
    <mergeCell ref="F72:F73"/>
    <mergeCell ref="G72:G73"/>
    <mergeCell ref="H72:H73"/>
    <mergeCell ref="I72:I73"/>
    <mergeCell ref="J72:J73"/>
    <mergeCell ref="K72:K73"/>
    <mergeCell ref="J70:J71"/>
    <mergeCell ref="K70:K71"/>
    <mergeCell ref="L70:L71"/>
    <mergeCell ref="M70:M71"/>
    <mergeCell ref="N70:N71"/>
    <mergeCell ref="O70:O71"/>
    <mergeCell ref="D70:D71"/>
    <mergeCell ref="E70:E71"/>
    <mergeCell ref="Q76:Q77"/>
    <mergeCell ref="P74:P75"/>
    <mergeCell ref="Q74:Q75"/>
    <mergeCell ref="D76:D77"/>
    <mergeCell ref="E76:E77"/>
    <mergeCell ref="F76:F77"/>
    <mergeCell ref="G76:G77"/>
    <mergeCell ref="H76:H77"/>
    <mergeCell ref="I76:I77"/>
    <mergeCell ref="J76:J77"/>
    <mergeCell ref="K76:K77"/>
    <mergeCell ref="J74:J75"/>
    <mergeCell ref="K74:K75"/>
    <mergeCell ref="L74:L75"/>
    <mergeCell ref="M74:M75"/>
    <mergeCell ref="N74:N75"/>
    <mergeCell ref="O74:O75"/>
    <mergeCell ref="D74:D75"/>
    <mergeCell ref="E74:E75"/>
    <mergeCell ref="F74:F75"/>
    <mergeCell ref="G74:G75"/>
    <mergeCell ref="H74:H75"/>
    <mergeCell ref="I74:I75"/>
    <mergeCell ref="F78:F79"/>
    <mergeCell ref="G78:G79"/>
    <mergeCell ref="H78:H79"/>
    <mergeCell ref="I78:I79"/>
    <mergeCell ref="L76:L77"/>
    <mergeCell ref="M76:M77"/>
    <mergeCell ref="N76:N77"/>
    <mergeCell ref="O76:O77"/>
    <mergeCell ref="P76:P77"/>
    <mergeCell ref="L80:L81"/>
    <mergeCell ref="M80:M81"/>
    <mergeCell ref="N80:N81"/>
    <mergeCell ref="O80:O81"/>
    <mergeCell ref="P80:P81"/>
    <mergeCell ref="Q80:Q81"/>
    <mergeCell ref="P78:P79"/>
    <mergeCell ref="Q78:Q79"/>
    <mergeCell ref="D80:D81"/>
    <mergeCell ref="E80:E81"/>
    <mergeCell ref="F80:F81"/>
    <mergeCell ref="G80:G81"/>
    <mergeCell ref="H80:H81"/>
    <mergeCell ref="I80:I81"/>
    <mergeCell ref="J80:J81"/>
    <mergeCell ref="K80:K81"/>
    <mergeCell ref="J78:J79"/>
    <mergeCell ref="K78:K79"/>
    <mergeCell ref="L78:L79"/>
    <mergeCell ref="M78:M79"/>
    <mergeCell ref="N78:N79"/>
    <mergeCell ref="O78:O79"/>
    <mergeCell ref="D78:D79"/>
    <mergeCell ref="E78:E79"/>
    <mergeCell ref="Q84:Q85"/>
    <mergeCell ref="P82:P83"/>
    <mergeCell ref="Q82:Q83"/>
    <mergeCell ref="D84:D85"/>
    <mergeCell ref="E84:E85"/>
    <mergeCell ref="F84:F85"/>
    <mergeCell ref="G84:G85"/>
    <mergeCell ref="H84:H85"/>
    <mergeCell ref="I84:I85"/>
    <mergeCell ref="J84:J85"/>
    <mergeCell ref="K84:K85"/>
    <mergeCell ref="J82:J83"/>
    <mergeCell ref="K82:K83"/>
    <mergeCell ref="L82:L83"/>
    <mergeCell ref="M82:M83"/>
    <mergeCell ref="N82:N83"/>
    <mergeCell ref="O82:O83"/>
    <mergeCell ref="D82:D83"/>
    <mergeCell ref="E82:E83"/>
    <mergeCell ref="F82:F83"/>
    <mergeCell ref="G82:G83"/>
    <mergeCell ref="H82:H83"/>
    <mergeCell ref="I82:I83"/>
    <mergeCell ref="F86:F87"/>
    <mergeCell ref="G86:G87"/>
    <mergeCell ref="H86:H87"/>
    <mergeCell ref="I86:I87"/>
    <mergeCell ref="L84:L85"/>
    <mergeCell ref="M84:M85"/>
    <mergeCell ref="N84:N85"/>
    <mergeCell ref="O84:O85"/>
    <mergeCell ref="P84:P85"/>
    <mergeCell ref="L88:L89"/>
    <mergeCell ref="M88:M89"/>
    <mergeCell ref="N88:N89"/>
    <mergeCell ref="O88:O89"/>
    <mergeCell ref="P88:P89"/>
    <mergeCell ref="Q88:Q89"/>
    <mergeCell ref="P86:P87"/>
    <mergeCell ref="Q86:Q87"/>
    <mergeCell ref="D88:D89"/>
    <mergeCell ref="E88:E89"/>
    <mergeCell ref="F88:F89"/>
    <mergeCell ref="G88:G89"/>
    <mergeCell ref="H88:H89"/>
    <mergeCell ref="I88:I89"/>
    <mergeCell ref="J88:J89"/>
    <mergeCell ref="K88:K89"/>
    <mergeCell ref="J86:J87"/>
    <mergeCell ref="K86:K87"/>
    <mergeCell ref="L86:L87"/>
    <mergeCell ref="M86:M87"/>
    <mergeCell ref="N86:N87"/>
    <mergeCell ref="O86:O87"/>
    <mergeCell ref="D86:D87"/>
    <mergeCell ref="E86:E87"/>
  </mergeCells>
  <pageMargins left="0.7" right="0.17" top="0.75" bottom="0.75" header="0.3" footer="0.3"/>
  <pageSetup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BRC LIST</vt:lpstr>
      <vt:lpstr>Detail of Clusters</vt:lpstr>
      <vt:lpstr>'Detail of Clusters'!Print_Area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hp</dc:creator>
  <cp:lastModifiedBy>Anuj Singh</cp:lastModifiedBy>
  <dcterms:created xsi:type="dcterms:W3CDTF">2026-09-16T07:27:49Z</dcterms:created>
  <dcterms:modified xsi:type="dcterms:W3CDTF">2026-09-16T08:25:49Z</dcterms:modified>
</cp:coreProperties>
</file>