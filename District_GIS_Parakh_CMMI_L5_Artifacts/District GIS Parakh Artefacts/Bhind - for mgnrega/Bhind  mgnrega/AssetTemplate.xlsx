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GIS Parakh\Bhind - for mgnrega\"/>
    </mc:Choice>
  </mc:AlternateContent>
  <bookViews>
    <workbookView xWindow="0" yWindow="0" windowWidth="28800" windowHeight="13500"/>
  </bookViews>
  <sheets>
    <sheet name="Sheet1" sheetId="1" r:id="rId1"/>
  </sheets>
  <definedNames>
    <definedName name="_xlnm._FilterDatabase" localSheetId="0" hidden="1">Sheet1!$A$1:$K$1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1" l="1"/>
  <c r="E54" i="1"/>
</calcChain>
</file>

<file path=xl/sharedStrings.xml><?xml version="1.0" encoding="utf-8"?>
<sst xmlns="http://schemas.openxmlformats.org/spreadsheetml/2006/main" count="272" uniqueCount="113">
  <si>
    <t xml:space="preserve">मनरेगा अन्‍तर्गत कार्य का नाम </t>
  </si>
  <si>
    <t xml:space="preserve">कार्य की कुल स्‍वीकृत राशि </t>
  </si>
  <si>
    <t xml:space="preserve">जिले का नाम </t>
  </si>
  <si>
    <t xml:space="preserve">विकासखण्‍ड का नाम </t>
  </si>
  <si>
    <t xml:space="preserve">ग्राम पंचायत का नाम </t>
  </si>
  <si>
    <t xml:space="preserve">फोटोग्राफ 1 </t>
  </si>
  <si>
    <t>फोटोग्राफ 2</t>
  </si>
  <si>
    <t xml:space="preserve">रिमार्क </t>
  </si>
  <si>
    <t>Kichen Sed Nirman - EGS school Gram Mohadipura</t>
  </si>
  <si>
    <t>mukti dham nirman karya gram mudena gram panchayat angsoli</t>
  </si>
  <si>
    <t>Sudur Sampark Sadak Work - Muktidham budhsingh ka pura machho ke khet tak GP Bara</t>
  </si>
  <si>
    <t>अमृत सरोवर निर्माण कार्य देवेन्द्र के खेत के पास ऐमनपुरा ग्राम पंचायत बरौना</t>
  </si>
  <si>
    <t>सुदूर संपर्क सड़क चन्दहरा से गिगरखी सीमा तक GP Chandahara</t>
  </si>
  <si>
    <t>चैकडेम निर्माण कार्य रजपुराघाट हनुमंतपुरा ग्राम पंचायत गडरौली</t>
  </si>
  <si>
    <t>पक्‍का चबूतरा निर्माण कार्य गेहू उपार्जन केन्‍द्र गुरीखा ग्राम पंचायत गुरीखा</t>
  </si>
  <si>
    <t>shanti dham nirman karya karwas road gram panchayat jhankari</t>
  </si>
  <si>
    <t>mukti dham nirman kathwagurjar</t>
  </si>
  <si>
    <t>checkdem work nale par gumare vale khet ke pas</t>
  </si>
  <si>
    <t xml:space="preserve">Stopdam nirman pandit mohlla ke age gp raikipali </t>
  </si>
  <si>
    <t>डगटेंक निर्माण कार्य रमेश के खेत के पास ग्राम पंचायत सुहांस</t>
  </si>
  <si>
    <t>डगटेंक निर्माण कार्य रामप्रीत के खेत के पास सुनारी ग्राम पंचायत सुहांस</t>
  </si>
  <si>
    <t>डगटेंक निर्माण कार्य पुलन्‍दर के खेत के पास सुनारी ग्राम पंचायत सुहांस</t>
  </si>
  <si>
    <t>डगटेंक निर्माण कार्य भूरा के खेत के पास ग्राम पंचायत सुहांस</t>
  </si>
  <si>
    <t>samudayik brakcharopan karya pahadi par ranajeet ka pura ujhawal</t>
  </si>
  <si>
    <t>ANDHIYARIKAKALA</t>
  </si>
  <si>
    <t>ANGSOLI</t>
  </si>
  <si>
    <t>BARA</t>
  </si>
  <si>
    <t>BARONA</t>
  </si>
  <si>
    <t>CHANDHARA</t>
  </si>
  <si>
    <t>GADRAULI</t>
  </si>
  <si>
    <t>GURIKHA</t>
  </si>
  <si>
    <t>JHANKARI</t>
  </si>
  <si>
    <t>KATHAVANGURJAR</t>
  </si>
  <si>
    <t>KHERIACHANDAN</t>
  </si>
  <si>
    <t>RAYKIPALI</t>
  </si>
  <si>
    <t>SUHANS</t>
  </si>
  <si>
    <t>UJHAWAL</t>
  </si>
  <si>
    <t>Bhind</t>
  </si>
  <si>
    <t>Gohad</t>
  </si>
  <si>
    <t>भुगतान योग्‍य राशि</t>
  </si>
  <si>
    <t>SARAYA</t>
  </si>
  <si>
    <t>construction of new talab thona(1702002029/WC/22012035015237)</t>
  </si>
  <si>
    <t>GUSING</t>
  </si>
  <si>
    <t>SHANTIDHAM NIRMAN KARYA GUSING(1702002045/AV/22012034632444)</t>
  </si>
  <si>
    <t>LAHRAULI</t>
  </si>
  <si>
    <t>SHANTI DHAM GRAM KANDEL PURA LAHRAULI(1702002040/AV/22012034631854)</t>
  </si>
  <si>
    <t>ATARSOOMA</t>
  </si>
  <si>
    <t>SHANTIDHAM NIRMAN KARYA atarsooma(1702002052/AV/22012034638028)</t>
  </si>
  <si>
    <t>उपयत्री</t>
  </si>
  <si>
    <t>मोबाईल</t>
  </si>
  <si>
    <t>उमेश तिवारी</t>
  </si>
  <si>
    <t>राजवीर नरवरिया</t>
  </si>
  <si>
    <t>BHIND</t>
  </si>
  <si>
    <t>ATER</t>
  </si>
  <si>
    <t>अहरोली काली</t>
  </si>
  <si>
    <t>तालाब निर्माण</t>
  </si>
  <si>
    <t xml:space="preserve">श्री दिनेश चंद्र भार्गव </t>
  </si>
  <si>
    <t>अहरोली घाट</t>
  </si>
  <si>
    <t>मुक्तिधाम</t>
  </si>
  <si>
    <t>कमई</t>
  </si>
  <si>
    <t>शांतिधाम निर्माण</t>
  </si>
  <si>
    <t>कोषण</t>
  </si>
  <si>
    <t>गोअर कलां</t>
  </si>
  <si>
    <t>जोरी कोतवाल</t>
  </si>
  <si>
    <t>कब्रिस्‍तान</t>
  </si>
  <si>
    <t xml:space="preserve">जोरी ब्रहाण </t>
  </si>
  <si>
    <t>डग पोण्‍ड निर्माण</t>
  </si>
  <si>
    <t>दुल्‍हागन</t>
  </si>
  <si>
    <t>धरई</t>
  </si>
  <si>
    <t>नरीपुरा</t>
  </si>
  <si>
    <t>नायब</t>
  </si>
  <si>
    <t>नावली वृन्‍दावन</t>
  </si>
  <si>
    <t>बगुलरी</t>
  </si>
  <si>
    <t>बडापुरा</t>
  </si>
  <si>
    <t>रिर्टनिंग बॉल</t>
  </si>
  <si>
    <t>बिछोली</t>
  </si>
  <si>
    <t>मनेपुरा</t>
  </si>
  <si>
    <t>आंगनबाडी</t>
  </si>
  <si>
    <t>मसूरी</t>
  </si>
  <si>
    <t>सौरा</t>
  </si>
  <si>
    <t>मुक्तिधाम, तालाब निर्माण</t>
  </si>
  <si>
    <t>RAUN</t>
  </si>
  <si>
    <t>LOHCHARA</t>
  </si>
  <si>
    <t>Shantidham nirman lohchra</t>
  </si>
  <si>
    <t>kamlesh sawala</t>
  </si>
  <si>
    <t>MACHHAND</t>
  </si>
  <si>
    <t>Shantidham nirmad rajpura</t>
  </si>
  <si>
    <t>shanti dham machhand itai</t>
  </si>
  <si>
    <t>MEHGAON</t>
  </si>
  <si>
    <t>GARHEE</t>
  </si>
  <si>
    <t>Naveen Shanti Dham Nirman Gram Gyannadpura</t>
  </si>
  <si>
    <t>manoj agrawal</t>
  </si>
  <si>
    <t>GORAM</t>
  </si>
  <si>
    <t>शांति धाम निर्माण कार्य गोराम</t>
  </si>
  <si>
    <t>anup mudgal</t>
  </si>
  <si>
    <t>GOUARA</t>
  </si>
  <si>
    <t>AMRAT SAROVER NIRMAN BHEEKAM SINGH KA PURA GOARA</t>
  </si>
  <si>
    <t>LAHARA</t>
  </si>
  <si>
    <t>TEEN SHED NIRMAN KARYA SHANTI DHAM LAHRA</t>
  </si>
  <si>
    <t>PARGHENA</t>
  </si>
  <si>
    <t>KHET TALAB NIRMAN KAPOOR SINGH KE KHET KE PASS</t>
  </si>
  <si>
    <t>KHET TALAB NIRMAN BAN SINGH KE KHET PER</t>
  </si>
  <si>
    <t>KHET TALAB NIRMAN VEER SINGH KE KHET PER</t>
  </si>
  <si>
    <t>LAHAR</t>
  </si>
  <si>
    <t>MAHUA</t>
  </si>
  <si>
    <t xml:space="preserve">AMRAT SAROVER NIRMAN </t>
  </si>
  <si>
    <t>विवेक अग्रवाल</t>
  </si>
  <si>
    <t>ACHALPURA</t>
  </si>
  <si>
    <t>gaushala achalpura</t>
  </si>
  <si>
    <t xml:space="preserve">GAUSHALA SEMI SKILD BILL 2023-24 KE PENDING HONE SE MATERIAL LIST NAHI BAN RAHI HAI </t>
  </si>
  <si>
    <t>BAGIYAPURA</t>
  </si>
  <si>
    <t>Shantidham Nirman umrela</t>
  </si>
  <si>
    <t xml:space="preserve">dushyant gour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</si>
</sst>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0.00;[Red]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JHANKARI&amp;Panchayat_Code=1702004060" TargetMode="External"/><Relationship Id="rId13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UJHAWAL&amp;Panchayat_Code=1702004069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BARA&amp;Panchayat_Code=1702004015" TargetMode="External"/><Relationship Id="rId7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GURIKHA&amp;Panchayat_Code=1702004026" TargetMode="External"/><Relationship Id="rId12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SUHANS&amp;Panchayat_Code=1702004001" TargetMode="External"/><Relationship Id="rId17" Type="http://schemas.openxmlformats.org/officeDocument/2006/relationships/hyperlink" Target="https://nregastrep.nic.in/netnrega/state_html/anticipated_exp.aspx?lflag=eng&amp;state_name=MADHYA+PRADESH&amp;state_code=17&amp;district_name=BHIND&amp;district_code=1702&amp;block_name=BHIND&amp;block_code=1702002&amp;panchayat_name=GUSING&amp;panchayat_code=1702002045&amp;fin_year=2024-2025&amp;Digest=yG7MKJKGokQ7WeUIBriVRQ" TargetMode="External"/><Relationship Id="rId2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ANGSOLI&amp;Panchayat_Code=1702004064" TargetMode="External"/><Relationship Id="rId16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SUHANS&amp;Panchayat_Code=1702004001" TargetMode="External"/><Relationship Id="rId1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ANDHIYARIKAKALA&amp;Panchayat_Code=1702004081" TargetMode="External"/><Relationship Id="rId6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GADRAULI&amp;Panchayat_Code=1702004045" TargetMode="External"/><Relationship Id="rId11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RAYKIPALI&amp;Panchayat_Code=1702004004" TargetMode="External"/><Relationship Id="rId5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CHANDHARA&amp;Panchayat_Code=1702004038" TargetMode="External"/><Relationship Id="rId15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SUHANS&amp;Panchayat_Code=1702004001" TargetMode="External"/><Relationship Id="rId10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KHERIACHANDAN&amp;Panchayat_Code=1702004085" TargetMode="External"/><Relationship Id="rId4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BARONA&amp;Panchayat_Code=1702004013" TargetMode="External"/><Relationship Id="rId9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KATHAVANGURJAR&amp;Panchayat_Code=1702004048" TargetMode="External"/><Relationship Id="rId14" Type="http://schemas.openxmlformats.org/officeDocument/2006/relationships/hyperlink" Target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SUHANS&amp;Panchayat_Code=1702004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B3" sqref="B3"/>
    </sheetView>
  </sheetViews>
  <sheetFormatPr defaultColWidth="9.1796875" defaultRowHeight="14.5" x14ac:dyDescent="0.35"/>
  <cols>
    <col min="1" max="1" width="8.26953125" style="5" customWidth="1"/>
    <col min="2" max="2" width="16.26953125" style="5" customWidth="1"/>
    <col min="3" max="3" width="18.1796875" style="5" bestFit="1" customWidth="1"/>
    <col min="4" max="4" width="33.81640625" style="5" customWidth="1"/>
    <col min="5" max="5" width="15.54296875" style="5" customWidth="1"/>
    <col min="6" max="6" width="13.81640625" style="3" customWidth="1"/>
    <col min="7" max="7" width="9.453125" style="5" bestFit="1" customWidth="1"/>
    <col min="8" max="8" width="9.453125" style="3" bestFit="1" customWidth="1"/>
    <col min="9" max="9" width="19.1796875" style="3" customWidth="1"/>
    <col min="10" max="10" width="16.1796875" style="3" customWidth="1"/>
    <col min="11" max="11" width="11" style="3" bestFit="1" customWidth="1"/>
    <col min="12" max="16384" width="9.1796875" style="3"/>
  </cols>
  <sheetData>
    <row r="1" spans="1:11" ht="29" x14ac:dyDescent="0.35">
      <c r="A1" s="1" t="s">
        <v>2</v>
      </c>
      <c r="B1" s="1" t="s">
        <v>3</v>
      </c>
      <c r="C1" s="1" t="s">
        <v>4</v>
      </c>
      <c r="D1" s="2" t="s">
        <v>0</v>
      </c>
      <c r="E1" s="1" t="s">
        <v>1</v>
      </c>
      <c r="F1" s="6" t="s">
        <v>39</v>
      </c>
      <c r="G1" s="1" t="s">
        <v>5</v>
      </c>
      <c r="H1" s="1" t="s">
        <v>6</v>
      </c>
      <c r="I1" s="1" t="s">
        <v>7</v>
      </c>
      <c r="J1" s="6" t="s">
        <v>48</v>
      </c>
      <c r="K1" s="6" t="s">
        <v>49</v>
      </c>
    </row>
    <row r="2" spans="1:11" ht="29" x14ac:dyDescent="0.35">
      <c r="A2" s="4" t="s">
        <v>37</v>
      </c>
      <c r="B2" s="4" t="s">
        <v>38</v>
      </c>
      <c r="C2" s="8" t="s">
        <v>24</v>
      </c>
      <c r="D2" s="7" t="s">
        <v>8</v>
      </c>
      <c r="E2" s="24">
        <v>4.7</v>
      </c>
      <c r="F2" s="24">
        <v>0.36</v>
      </c>
      <c r="G2" s="4"/>
      <c r="H2" s="6"/>
      <c r="I2" s="9"/>
      <c r="J2" s="6" t="s">
        <v>50</v>
      </c>
      <c r="K2" s="6">
        <v>9425337552</v>
      </c>
    </row>
    <row r="3" spans="1:11" ht="29" x14ac:dyDescent="0.35">
      <c r="A3" s="4" t="s">
        <v>37</v>
      </c>
      <c r="B3" s="4" t="s">
        <v>38</v>
      </c>
      <c r="C3" s="8" t="s">
        <v>25</v>
      </c>
      <c r="D3" s="7" t="s">
        <v>9</v>
      </c>
      <c r="E3" s="24">
        <v>3.66</v>
      </c>
      <c r="F3" s="24">
        <v>1.45</v>
      </c>
      <c r="G3" s="4"/>
      <c r="H3" s="6"/>
      <c r="I3" s="9"/>
      <c r="J3" s="6" t="s">
        <v>50</v>
      </c>
      <c r="K3" s="6">
        <v>9425337552</v>
      </c>
    </row>
    <row r="4" spans="1:11" ht="43.5" x14ac:dyDescent="0.35">
      <c r="A4" s="4" t="s">
        <v>37</v>
      </c>
      <c r="B4" s="4" t="s">
        <v>38</v>
      </c>
      <c r="C4" s="8" t="s">
        <v>26</v>
      </c>
      <c r="D4" s="7" t="s">
        <v>10</v>
      </c>
      <c r="E4" s="24">
        <v>24.99</v>
      </c>
      <c r="F4" s="24">
        <v>14.81</v>
      </c>
      <c r="G4" s="4"/>
      <c r="H4" s="6"/>
      <c r="I4" s="9"/>
      <c r="J4" s="6" t="s">
        <v>51</v>
      </c>
      <c r="K4" s="6">
        <v>9074586761</v>
      </c>
    </row>
    <row r="5" spans="1:11" ht="29" x14ac:dyDescent="0.35">
      <c r="A5" s="4" t="s">
        <v>37</v>
      </c>
      <c r="B5" s="4" t="s">
        <v>38</v>
      </c>
      <c r="C5" s="8" t="s">
        <v>27</v>
      </c>
      <c r="D5" s="7" t="s">
        <v>11</v>
      </c>
      <c r="E5" s="24">
        <v>13.65</v>
      </c>
      <c r="F5" s="24">
        <v>1.87</v>
      </c>
      <c r="G5" s="4"/>
      <c r="H5" s="6"/>
      <c r="I5" s="9"/>
      <c r="J5" s="6" t="s">
        <v>51</v>
      </c>
      <c r="K5" s="6">
        <v>9074586761</v>
      </c>
    </row>
    <row r="6" spans="1:11" ht="29" x14ac:dyDescent="0.35">
      <c r="A6" s="4" t="s">
        <v>37</v>
      </c>
      <c r="B6" s="4" t="s">
        <v>38</v>
      </c>
      <c r="C6" s="8" t="s">
        <v>28</v>
      </c>
      <c r="D6" s="7" t="s">
        <v>12</v>
      </c>
      <c r="E6" s="24">
        <v>33.44</v>
      </c>
      <c r="F6" s="24">
        <v>8.31</v>
      </c>
      <c r="G6" s="4"/>
      <c r="H6" s="6"/>
      <c r="I6" s="9"/>
      <c r="J6" s="6" t="s">
        <v>51</v>
      </c>
      <c r="K6" s="6">
        <v>9074586761</v>
      </c>
    </row>
    <row r="7" spans="1:11" ht="29" x14ac:dyDescent="0.35">
      <c r="A7" s="4" t="s">
        <v>37</v>
      </c>
      <c r="B7" s="4" t="s">
        <v>38</v>
      </c>
      <c r="C7" s="8" t="s">
        <v>29</v>
      </c>
      <c r="D7" s="7" t="s">
        <v>13</v>
      </c>
      <c r="E7" s="24">
        <v>14.65</v>
      </c>
      <c r="F7" s="24">
        <v>4.95</v>
      </c>
      <c r="G7" s="4"/>
      <c r="H7" s="6"/>
      <c r="I7" s="9"/>
      <c r="J7" s="6" t="s">
        <v>50</v>
      </c>
      <c r="K7" s="6">
        <v>9425337552</v>
      </c>
    </row>
    <row r="8" spans="1:11" ht="29" x14ac:dyDescent="0.35">
      <c r="A8" s="4" t="s">
        <v>37</v>
      </c>
      <c r="B8" s="4" t="s">
        <v>38</v>
      </c>
      <c r="C8" s="8" t="s">
        <v>30</v>
      </c>
      <c r="D8" s="7" t="s">
        <v>14</v>
      </c>
      <c r="E8" s="24">
        <v>8.02</v>
      </c>
      <c r="F8" s="24">
        <v>4.59</v>
      </c>
      <c r="G8" s="4"/>
      <c r="H8" s="6"/>
      <c r="I8" s="9"/>
      <c r="J8" s="6" t="s">
        <v>51</v>
      </c>
      <c r="K8" s="6">
        <v>9074586761</v>
      </c>
    </row>
    <row r="9" spans="1:11" ht="29" x14ac:dyDescent="0.35">
      <c r="A9" s="4" t="s">
        <v>37</v>
      </c>
      <c r="B9" s="4" t="s">
        <v>38</v>
      </c>
      <c r="C9" s="8" t="s">
        <v>31</v>
      </c>
      <c r="D9" s="7" t="s">
        <v>15</v>
      </c>
      <c r="E9" s="24">
        <v>2.75</v>
      </c>
      <c r="F9" s="24">
        <v>2.31</v>
      </c>
      <c r="G9" s="4"/>
      <c r="H9" s="6"/>
      <c r="I9" s="9"/>
      <c r="J9" s="6" t="s">
        <v>50</v>
      </c>
      <c r="K9" s="6">
        <v>9425337552</v>
      </c>
    </row>
    <row r="10" spans="1:11" ht="15" x14ac:dyDescent="0.35">
      <c r="A10" s="4" t="s">
        <v>37</v>
      </c>
      <c r="B10" s="4" t="s">
        <v>38</v>
      </c>
      <c r="C10" s="8" t="s">
        <v>32</v>
      </c>
      <c r="D10" s="7" t="s">
        <v>16</v>
      </c>
      <c r="E10" s="24">
        <v>1.8</v>
      </c>
      <c r="F10" s="24">
        <v>1.1599999999999999</v>
      </c>
      <c r="G10" s="4"/>
      <c r="H10" s="6"/>
      <c r="I10" s="9"/>
      <c r="J10" s="6" t="s">
        <v>50</v>
      </c>
      <c r="K10" s="6">
        <v>9425337552</v>
      </c>
    </row>
    <row r="11" spans="1:11" ht="29" x14ac:dyDescent="0.35">
      <c r="A11" s="4" t="s">
        <v>37</v>
      </c>
      <c r="B11" s="4" t="s">
        <v>38</v>
      </c>
      <c r="C11" s="8" t="s">
        <v>33</v>
      </c>
      <c r="D11" s="7" t="s">
        <v>17</v>
      </c>
      <c r="E11" s="24">
        <v>12.48</v>
      </c>
      <c r="F11" s="24">
        <v>6.16</v>
      </c>
      <c r="G11" s="4"/>
      <c r="H11" s="6"/>
      <c r="I11" s="9"/>
      <c r="J11" s="6" t="s">
        <v>50</v>
      </c>
      <c r="K11" s="6">
        <v>9425337552</v>
      </c>
    </row>
    <row r="12" spans="1:11" ht="29" x14ac:dyDescent="0.35">
      <c r="A12" s="4" t="s">
        <v>37</v>
      </c>
      <c r="B12" s="4" t="s">
        <v>38</v>
      </c>
      <c r="C12" s="8" t="s">
        <v>34</v>
      </c>
      <c r="D12" s="7" t="s">
        <v>18</v>
      </c>
      <c r="E12" s="24">
        <v>14.96</v>
      </c>
      <c r="F12" s="24">
        <v>1.88</v>
      </c>
      <c r="G12" s="4"/>
      <c r="H12" s="6"/>
      <c r="I12" s="9"/>
      <c r="J12" s="6" t="s">
        <v>51</v>
      </c>
      <c r="K12" s="6">
        <v>9074586761</v>
      </c>
    </row>
    <row r="13" spans="1:11" ht="29" x14ac:dyDescent="0.35">
      <c r="A13" s="4" t="s">
        <v>37</v>
      </c>
      <c r="B13" s="4" t="s">
        <v>38</v>
      </c>
      <c r="C13" s="8" t="s">
        <v>35</v>
      </c>
      <c r="D13" s="7" t="s">
        <v>19</v>
      </c>
      <c r="E13" s="24">
        <v>14.89</v>
      </c>
      <c r="F13" s="24">
        <v>3.38</v>
      </c>
      <c r="G13" s="4"/>
      <c r="H13" s="6"/>
      <c r="I13" s="9"/>
      <c r="J13" s="6" t="s">
        <v>51</v>
      </c>
      <c r="K13" s="6">
        <v>9074586761</v>
      </c>
    </row>
    <row r="14" spans="1:11" ht="29" x14ac:dyDescent="0.35">
      <c r="A14" s="4" t="s">
        <v>37</v>
      </c>
      <c r="B14" s="4" t="s">
        <v>38</v>
      </c>
      <c r="C14" s="8" t="s">
        <v>35</v>
      </c>
      <c r="D14" s="7" t="s">
        <v>20</v>
      </c>
      <c r="E14" s="24">
        <v>14.89</v>
      </c>
      <c r="F14" s="24">
        <v>3.38</v>
      </c>
      <c r="G14" s="4"/>
      <c r="H14" s="6"/>
      <c r="I14" s="9"/>
      <c r="J14" s="6" t="s">
        <v>51</v>
      </c>
      <c r="K14" s="6">
        <v>9074586761</v>
      </c>
    </row>
    <row r="15" spans="1:11" ht="29" x14ac:dyDescent="0.35">
      <c r="A15" s="4" t="s">
        <v>37</v>
      </c>
      <c r="B15" s="4" t="s">
        <v>38</v>
      </c>
      <c r="C15" s="8" t="s">
        <v>35</v>
      </c>
      <c r="D15" s="7" t="s">
        <v>21</v>
      </c>
      <c r="E15" s="24">
        <v>14.89</v>
      </c>
      <c r="F15" s="24">
        <v>3.38</v>
      </c>
      <c r="G15" s="4"/>
      <c r="H15" s="6"/>
      <c r="I15" s="9"/>
      <c r="J15" s="6" t="s">
        <v>51</v>
      </c>
      <c r="K15" s="6">
        <v>9074586761</v>
      </c>
    </row>
    <row r="16" spans="1:11" ht="29" x14ac:dyDescent="0.35">
      <c r="A16" s="4" t="s">
        <v>37</v>
      </c>
      <c r="B16" s="4" t="s">
        <v>38</v>
      </c>
      <c r="C16" s="8" t="s">
        <v>35</v>
      </c>
      <c r="D16" s="7" t="s">
        <v>22</v>
      </c>
      <c r="E16" s="24">
        <v>12.13</v>
      </c>
      <c r="F16" s="24">
        <v>2.7</v>
      </c>
      <c r="G16" s="4"/>
      <c r="H16" s="6"/>
      <c r="I16" s="9"/>
      <c r="J16" s="6" t="s">
        <v>51</v>
      </c>
      <c r="K16" s="6">
        <v>9074586761</v>
      </c>
    </row>
    <row r="17" spans="1:11" ht="29" x14ac:dyDescent="0.35">
      <c r="A17" s="4" t="s">
        <v>37</v>
      </c>
      <c r="B17" s="4" t="s">
        <v>38</v>
      </c>
      <c r="C17" s="8" t="s">
        <v>36</v>
      </c>
      <c r="D17" s="7" t="s">
        <v>23</v>
      </c>
      <c r="E17" s="24">
        <v>5.24</v>
      </c>
      <c r="F17" s="24">
        <v>0.71</v>
      </c>
      <c r="G17" s="4"/>
      <c r="H17" s="6"/>
      <c r="I17" s="9"/>
      <c r="J17" s="6" t="s">
        <v>50</v>
      </c>
      <c r="K17" s="6">
        <v>9425337552</v>
      </c>
    </row>
    <row r="18" spans="1:11" ht="43.5" x14ac:dyDescent="0.4">
      <c r="A18" s="4" t="s">
        <v>37</v>
      </c>
      <c r="B18" s="4" t="s">
        <v>37</v>
      </c>
      <c r="C18" s="11" t="s">
        <v>40</v>
      </c>
      <c r="D18" s="7" t="s">
        <v>41</v>
      </c>
      <c r="E18" s="24">
        <v>24.83</v>
      </c>
      <c r="F18" s="24">
        <v>3.33</v>
      </c>
      <c r="G18" s="4"/>
      <c r="H18" s="6"/>
      <c r="I18" s="6"/>
      <c r="J18" s="6" t="s">
        <v>106</v>
      </c>
      <c r="K18" s="6">
        <v>9039785701</v>
      </c>
    </row>
    <row r="19" spans="1:11" ht="43.5" x14ac:dyDescent="0.4">
      <c r="A19" s="4" t="s">
        <v>37</v>
      </c>
      <c r="B19" s="4" t="s">
        <v>37</v>
      </c>
      <c r="C19" s="11" t="s">
        <v>42</v>
      </c>
      <c r="D19" s="10" t="s">
        <v>43</v>
      </c>
      <c r="E19" s="24">
        <v>3.45</v>
      </c>
      <c r="F19" s="24">
        <v>1.72</v>
      </c>
      <c r="G19" s="4"/>
      <c r="H19" s="6"/>
      <c r="I19" s="6"/>
      <c r="J19" s="6" t="s">
        <v>106</v>
      </c>
      <c r="K19" s="6">
        <v>9039785701</v>
      </c>
    </row>
    <row r="20" spans="1:11" ht="43.5" x14ac:dyDescent="0.35">
      <c r="A20" s="4" t="s">
        <v>37</v>
      </c>
      <c r="B20" s="4" t="s">
        <v>37</v>
      </c>
      <c r="C20" s="4" t="s">
        <v>44</v>
      </c>
      <c r="D20" s="10" t="s">
        <v>45</v>
      </c>
      <c r="E20" s="24">
        <v>3.27</v>
      </c>
      <c r="F20" s="24">
        <v>1.94</v>
      </c>
      <c r="G20" s="4"/>
      <c r="H20" s="6"/>
      <c r="I20" s="6"/>
      <c r="J20" s="6" t="s">
        <v>106</v>
      </c>
      <c r="K20" s="6">
        <v>9039785701</v>
      </c>
    </row>
    <row r="21" spans="1:11" ht="43.5" x14ac:dyDescent="0.35">
      <c r="A21" s="4" t="s">
        <v>37</v>
      </c>
      <c r="B21" s="4" t="s">
        <v>37</v>
      </c>
      <c r="C21" s="4" t="s">
        <v>46</v>
      </c>
      <c r="D21" s="10" t="s">
        <v>47</v>
      </c>
      <c r="E21" s="24">
        <v>3.22</v>
      </c>
      <c r="F21" s="24">
        <v>1.92</v>
      </c>
      <c r="G21" s="4"/>
      <c r="H21" s="6"/>
      <c r="I21" s="6"/>
      <c r="J21" s="6" t="s">
        <v>106</v>
      </c>
      <c r="K21" s="6">
        <v>9039785701</v>
      </c>
    </row>
    <row r="22" spans="1:11" ht="15" x14ac:dyDescent="0.35">
      <c r="A22" s="12" t="s">
        <v>52</v>
      </c>
      <c r="B22" s="12" t="s">
        <v>53</v>
      </c>
      <c r="C22" s="13" t="s">
        <v>54</v>
      </c>
      <c r="D22" s="14" t="s">
        <v>55</v>
      </c>
      <c r="E22" s="23">
        <v>14.85</v>
      </c>
      <c r="F22" s="23">
        <v>4.99</v>
      </c>
      <c r="G22" s="12"/>
      <c r="H22" s="15"/>
      <c r="I22" s="6"/>
      <c r="J22" s="15" t="s">
        <v>56</v>
      </c>
      <c r="K22" s="20">
        <v>9425133927</v>
      </c>
    </row>
    <row r="23" spans="1:11" ht="15" x14ac:dyDescent="0.35">
      <c r="A23" s="12" t="s">
        <v>52</v>
      </c>
      <c r="B23" s="12" t="s">
        <v>53</v>
      </c>
      <c r="C23" s="13" t="s">
        <v>57</v>
      </c>
      <c r="D23" s="14" t="s">
        <v>58</v>
      </c>
      <c r="E23" s="23">
        <v>2.86</v>
      </c>
      <c r="F23" s="23">
        <v>2.44</v>
      </c>
      <c r="G23" s="12"/>
      <c r="H23" s="15"/>
      <c r="I23" s="6"/>
      <c r="J23" s="15" t="s">
        <v>56</v>
      </c>
      <c r="K23" s="20">
        <v>9425133927</v>
      </c>
    </row>
    <row r="24" spans="1:11" ht="15" x14ac:dyDescent="0.35">
      <c r="A24" s="12" t="s">
        <v>52</v>
      </c>
      <c r="B24" s="12" t="s">
        <v>53</v>
      </c>
      <c r="C24" s="13" t="s">
        <v>59</v>
      </c>
      <c r="D24" s="14" t="s">
        <v>60</v>
      </c>
      <c r="E24" s="23">
        <v>3.15</v>
      </c>
      <c r="F24" s="23">
        <v>0.28999999999999998</v>
      </c>
      <c r="G24" s="12"/>
      <c r="H24" s="15"/>
      <c r="I24" s="6"/>
      <c r="J24" s="15" t="s">
        <v>56</v>
      </c>
      <c r="K24" s="20">
        <v>9425133927</v>
      </c>
    </row>
    <row r="25" spans="1:11" ht="15" x14ac:dyDescent="0.35">
      <c r="A25" s="12" t="s">
        <v>52</v>
      </c>
      <c r="B25" s="12" t="s">
        <v>53</v>
      </c>
      <c r="C25" s="13" t="s">
        <v>61</v>
      </c>
      <c r="D25" s="14" t="s">
        <v>60</v>
      </c>
      <c r="E25" s="23">
        <v>3.15</v>
      </c>
      <c r="F25" s="23">
        <v>0.28999999999999998</v>
      </c>
      <c r="G25" s="12"/>
      <c r="H25" s="15"/>
      <c r="I25" s="6"/>
      <c r="J25" s="15" t="s">
        <v>56</v>
      </c>
      <c r="K25" s="20">
        <v>9425133927</v>
      </c>
    </row>
    <row r="26" spans="1:11" ht="15" x14ac:dyDescent="0.35">
      <c r="A26" s="12" t="s">
        <v>52</v>
      </c>
      <c r="B26" s="12" t="s">
        <v>53</v>
      </c>
      <c r="C26" s="13" t="s">
        <v>62</v>
      </c>
      <c r="D26" s="14" t="s">
        <v>58</v>
      </c>
      <c r="E26" s="23">
        <v>2.35</v>
      </c>
      <c r="F26" s="23">
        <v>2.06</v>
      </c>
      <c r="G26" s="12"/>
      <c r="H26" s="15"/>
      <c r="I26" s="6"/>
      <c r="J26" s="15" t="s">
        <v>56</v>
      </c>
      <c r="K26" s="20">
        <v>9425133927</v>
      </c>
    </row>
    <row r="27" spans="1:11" ht="15" x14ac:dyDescent="0.35">
      <c r="A27" s="12" t="s">
        <v>52</v>
      </c>
      <c r="B27" s="12" t="s">
        <v>53</v>
      </c>
      <c r="C27" s="13" t="s">
        <v>63</v>
      </c>
      <c r="D27" s="14" t="s">
        <v>64</v>
      </c>
      <c r="E27" s="23">
        <v>3.56</v>
      </c>
      <c r="F27" s="23">
        <v>0.19</v>
      </c>
      <c r="G27" s="12"/>
      <c r="H27" s="15"/>
      <c r="I27" s="6"/>
      <c r="J27" s="15" t="s">
        <v>56</v>
      </c>
      <c r="K27" s="20">
        <v>9425133927</v>
      </c>
    </row>
    <row r="28" spans="1:11" ht="15" x14ac:dyDescent="0.35">
      <c r="A28" s="12" t="s">
        <v>52</v>
      </c>
      <c r="B28" s="12" t="s">
        <v>53</v>
      </c>
      <c r="C28" s="13" t="s">
        <v>65</v>
      </c>
      <c r="D28" s="14" t="s">
        <v>66</v>
      </c>
      <c r="E28" s="23">
        <v>14.97</v>
      </c>
      <c r="F28" s="23">
        <v>5.22</v>
      </c>
      <c r="G28" s="12"/>
      <c r="H28" s="15"/>
      <c r="I28" s="6"/>
      <c r="J28" s="15" t="s">
        <v>56</v>
      </c>
      <c r="K28" s="20">
        <v>9425133927</v>
      </c>
    </row>
    <row r="29" spans="1:11" ht="15" x14ac:dyDescent="0.35">
      <c r="A29" s="12" t="s">
        <v>52</v>
      </c>
      <c r="B29" s="12" t="s">
        <v>53</v>
      </c>
      <c r="C29" s="13" t="s">
        <v>67</v>
      </c>
      <c r="D29" s="14" t="s">
        <v>58</v>
      </c>
      <c r="E29" s="23">
        <v>2.89</v>
      </c>
      <c r="F29" s="23">
        <v>0.22</v>
      </c>
      <c r="G29" s="12"/>
      <c r="H29" s="15"/>
      <c r="I29" s="6"/>
      <c r="J29" s="15" t="s">
        <v>56</v>
      </c>
      <c r="K29" s="20">
        <v>9425133927</v>
      </c>
    </row>
    <row r="30" spans="1:11" ht="15" x14ac:dyDescent="0.35">
      <c r="A30" s="12" t="s">
        <v>52</v>
      </c>
      <c r="B30" s="12" t="s">
        <v>53</v>
      </c>
      <c r="C30" s="13" t="s">
        <v>68</v>
      </c>
      <c r="D30" s="14" t="s">
        <v>58</v>
      </c>
      <c r="E30" s="23">
        <v>2.89</v>
      </c>
      <c r="F30" s="23">
        <v>0.28999999999999998</v>
      </c>
      <c r="G30" s="12"/>
      <c r="H30" s="15"/>
      <c r="I30" s="6"/>
      <c r="J30" s="15" t="s">
        <v>56</v>
      </c>
      <c r="K30" s="20">
        <v>9425133927</v>
      </c>
    </row>
    <row r="31" spans="1:11" ht="15" x14ac:dyDescent="0.35">
      <c r="A31" s="12" t="s">
        <v>52</v>
      </c>
      <c r="B31" s="12" t="s">
        <v>53</v>
      </c>
      <c r="C31" s="13" t="s">
        <v>69</v>
      </c>
      <c r="D31" s="14" t="s">
        <v>58</v>
      </c>
      <c r="E31" s="23">
        <v>2.85</v>
      </c>
      <c r="F31" s="23">
        <v>1.41</v>
      </c>
      <c r="G31" s="12"/>
      <c r="H31" s="15"/>
      <c r="I31" s="6"/>
      <c r="J31" s="15" t="s">
        <v>56</v>
      </c>
      <c r="K31" s="20">
        <v>9425133927</v>
      </c>
    </row>
    <row r="32" spans="1:11" ht="15" x14ac:dyDescent="0.35">
      <c r="A32" s="12" t="s">
        <v>52</v>
      </c>
      <c r="B32" s="12" t="s">
        <v>53</v>
      </c>
      <c r="C32" s="13" t="s">
        <v>70</v>
      </c>
      <c r="D32" s="14" t="s">
        <v>55</v>
      </c>
      <c r="E32" s="23">
        <v>25.49</v>
      </c>
      <c r="F32" s="23">
        <v>5.64</v>
      </c>
      <c r="G32" s="12"/>
      <c r="H32" s="15"/>
      <c r="I32" s="6"/>
      <c r="J32" s="15" t="s">
        <v>56</v>
      </c>
      <c r="K32" s="20">
        <v>9425133927</v>
      </c>
    </row>
    <row r="33" spans="1:11" ht="15" x14ac:dyDescent="0.35">
      <c r="A33" s="12" t="s">
        <v>52</v>
      </c>
      <c r="B33" s="12" t="s">
        <v>53</v>
      </c>
      <c r="C33" s="13" t="s">
        <v>71</v>
      </c>
      <c r="D33" s="14" t="s">
        <v>55</v>
      </c>
      <c r="E33" s="23">
        <v>14.8</v>
      </c>
      <c r="F33" s="23">
        <v>0.35</v>
      </c>
      <c r="G33" s="12"/>
      <c r="H33" s="15"/>
      <c r="I33" s="6"/>
      <c r="J33" s="15" t="s">
        <v>56</v>
      </c>
      <c r="K33" s="20">
        <v>9425133927</v>
      </c>
    </row>
    <row r="34" spans="1:11" ht="15" x14ac:dyDescent="0.35">
      <c r="A34" s="12" t="s">
        <v>52</v>
      </c>
      <c r="B34" s="12" t="s">
        <v>53</v>
      </c>
      <c r="C34" s="13" t="s">
        <v>72</v>
      </c>
      <c r="D34" s="14" t="s">
        <v>58</v>
      </c>
      <c r="E34" s="23">
        <v>4.46</v>
      </c>
      <c r="F34" s="23">
        <v>0.3</v>
      </c>
      <c r="G34" s="12"/>
      <c r="H34" s="15"/>
      <c r="I34" s="6"/>
      <c r="J34" s="15" t="s">
        <v>56</v>
      </c>
      <c r="K34" s="20">
        <v>9425133927</v>
      </c>
    </row>
    <row r="35" spans="1:11" ht="15" x14ac:dyDescent="0.35">
      <c r="A35" s="12" t="s">
        <v>52</v>
      </c>
      <c r="B35" s="12" t="s">
        <v>53</v>
      </c>
      <c r="C35" s="13" t="s">
        <v>73</v>
      </c>
      <c r="D35" s="14" t="s">
        <v>74</v>
      </c>
      <c r="E35" s="23">
        <v>33.409999999999997</v>
      </c>
      <c r="F35" s="23">
        <v>5.1100000000000003</v>
      </c>
      <c r="G35" s="12"/>
      <c r="H35" s="15"/>
      <c r="I35" s="6"/>
      <c r="J35" s="15" t="s">
        <v>56</v>
      </c>
      <c r="K35" s="20">
        <v>9425133927</v>
      </c>
    </row>
    <row r="36" spans="1:11" ht="15" x14ac:dyDescent="0.35">
      <c r="A36" s="12" t="s">
        <v>52</v>
      </c>
      <c r="B36" s="12" t="s">
        <v>53</v>
      </c>
      <c r="C36" s="13" t="s">
        <v>75</v>
      </c>
      <c r="D36" s="14" t="s">
        <v>55</v>
      </c>
      <c r="E36" s="23">
        <v>13.94</v>
      </c>
      <c r="F36" s="23">
        <v>2.75</v>
      </c>
      <c r="G36" s="12"/>
      <c r="H36" s="15"/>
      <c r="I36" s="6"/>
      <c r="J36" s="15" t="s">
        <v>56</v>
      </c>
      <c r="K36" s="20">
        <v>9425133927</v>
      </c>
    </row>
    <row r="37" spans="1:11" ht="15" x14ac:dyDescent="0.35">
      <c r="A37" s="12" t="s">
        <v>52</v>
      </c>
      <c r="B37" s="12" t="s">
        <v>53</v>
      </c>
      <c r="C37" s="13" t="s">
        <v>76</v>
      </c>
      <c r="D37" s="14" t="s">
        <v>77</v>
      </c>
      <c r="E37" s="23">
        <v>9.5</v>
      </c>
      <c r="F37" s="23">
        <v>2.3199999999999998</v>
      </c>
      <c r="G37" s="12"/>
      <c r="H37" s="15"/>
      <c r="I37" s="6"/>
      <c r="J37" s="15" t="s">
        <v>56</v>
      </c>
      <c r="K37" s="20">
        <v>9425133927</v>
      </c>
    </row>
    <row r="38" spans="1:11" ht="15" x14ac:dyDescent="0.35">
      <c r="A38" s="12" t="s">
        <v>52</v>
      </c>
      <c r="B38" s="12" t="s">
        <v>53</v>
      </c>
      <c r="C38" s="13" t="s">
        <v>76</v>
      </c>
      <c r="D38" s="14" t="s">
        <v>64</v>
      </c>
      <c r="E38" s="23">
        <v>4.99</v>
      </c>
      <c r="F38" s="23">
        <v>1.76</v>
      </c>
      <c r="G38" s="12"/>
      <c r="H38" s="15"/>
      <c r="I38" s="6"/>
      <c r="J38" s="15" t="s">
        <v>56</v>
      </c>
      <c r="K38" s="20">
        <v>9425133927</v>
      </c>
    </row>
    <row r="39" spans="1:11" ht="15" x14ac:dyDescent="0.35">
      <c r="A39" s="12" t="s">
        <v>52</v>
      </c>
      <c r="B39" s="12" t="s">
        <v>53</v>
      </c>
      <c r="C39" s="13" t="s">
        <v>78</v>
      </c>
      <c r="D39" s="14" t="s">
        <v>58</v>
      </c>
      <c r="E39" s="23">
        <v>2.4500000000000002</v>
      </c>
      <c r="F39" s="23">
        <v>2</v>
      </c>
      <c r="G39" s="12"/>
      <c r="H39" s="15"/>
      <c r="I39" s="6"/>
      <c r="J39" s="15" t="s">
        <v>56</v>
      </c>
      <c r="K39" s="20">
        <v>9425133927</v>
      </c>
    </row>
    <row r="40" spans="1:11" ht="15" x14ac:dyDescent="0.35">
      <c r="A40" s="12" t="s">
        <v>52</v>
      </c>
      <c r="B40" s="12" t="s">
        <v>53</v>
      </c>
      <c r="C40" s="13" t="s">
        <v>79</v>
      </c>
      <c r="D40" s="14" t="s">
        <v>80</v>
      </c>
      <c r="E40" s="23">
        <v>35.130000000000003</v>
      </c>
      <c r="F40" s="23">
        <v>3.82</v>
      </c>
      <c r="G40" s="12"/>
      <c r="H40" s="15"/>
      <c r="I40" s="6"/>
      <c r="J40" s="15" t="s">
        <v>56</v>
      </c>
      <c r="K40" s="20">
        <v>9425133927</v>
      </c>
    </row>
    <row r="41" spans="1:11" ht="65" x14ac:dyDescent="0.35">
      <c r="A41" s="16" t="s">
        <v>52</v>
      </c>
      <c r="B41" s="16" t="s">
        <v>81</v>
      </c>
      <c r="C41" s="16" t="s">
        <v>107</v>
      </c>
      <c r="D41" s="17" t="s">
        <v>108</v>
      </c>
      <c r="E41" s="23">
        <v>31.27</v>
      </c>
      <c r="F41" s="23">
        <v>8.6947200000000002</v>
      </c>
      <c r="G41" s="16"/>
      <c r="H41" s="17"/>
      <c r="I41" s="17" t="s">
        <v>109</v>
      </c>
      <c r="J41" s="6" t="s">
        <v>84</v>
      </c>
      <c r="K41" s="6">
        <v>9893227036</v>
      </c>
    </row>
    <row r="42" spans="1:11" ht="15" x14ac:dyDescent="0.35">
      <c r="A42" s="16" t="s">
        <v>52</v>
      </c>
      <c r="B42" s="16" t="s">
        <v>81</v>
      </c>
      <c r="C42" s="16" t="s">
        <v>110</v>
      </c>
      <c r="D42" s="17" t="s">
        <v>111</v>
      </c>
      <c r="E42" s="23">
        <v>3.21</v>
      </c>
      <c r="F42" s="23">
        <v>1.9750399999999999</v>
      </c>
      <c r="G42" s="16"/>
      <c r="H42" s="17"/>
      <c r="I42" s="17"/>
      <c r="J42" s="6" t="s">
        <v>112</v>
      </c>
      <c r="K42" s="6">
        <v>8358943734</v>
      </c>
    </row>
    <row r="43" spans="1:11" ht="15" x14ac:dyDescent="0.35">
      <c r="A43" s="16" t="s">
        <v>52</v>
      </c>
      <c r="B43" s="16" t="s">
        <v>81</v>
      </c>
      <c r="C43" s="16" t="s">
        <v>82</v>
      </c>
      <c r="D43" s="19" t="s">
        <v>83</v>
      </c>
      <c r="E43" s="24">
        <v>2.4500000000000002</v>
      </c>
      <c r="F43" s="24">
        <v>0.73419000000000001</v>
      </c>
      <c r="G43" s="16"/>
      <c r="H43" s="17"/>
      <c r="I43" s="17"/>
      <c r="J43" s="6" t="s">
        <v>84</v>
      </c>
      <c r="K43" s="6">
        <v>9893227036</v>
      </c>
    </row>
    <row r="44" spans="1:11" ht="15" x14ac:dyDescent="0.35">
      <c r="A44" s="16" t="s">
        <v>52</v>
      </c>
      <c r="B44" s="16" t="s">
        <v>81</v>
      </c>
      <c r="C44" s="16" t="s">
        <v>85</v>
      </c>
      <c r="D44" s="19" t="s">
        <v>86</v>
      </c>
      <c r="E44" s="24">
        <v>2.25</v>
      </c>
      <c r="F44" s="24">
        <v>1.48638</v>
      </c>
      <c r="G44" s="16"/>
      <c r="H44" s="17"/>
      <c r="I44" s="17"/>
      <c r="J44" s="6" t="s">
        <v>84</v>
      </c>
      <c r="K44" s="6">
        <v>9893227036</v>
      </c>
    </row>
    <row r="45" spans="1:11" ht="15" x14ac:dyDescent="0.35">
      <c r="A45" s="16" t="s">
        <v>52</v>
      </c>
      <c r="B45" s="16" t="s">
        <v>81</v>
      </c>
      <c r="C45" s="16" t="s">
        <v>85</v>
      </c>
      <c r="D45" s="19" t="s">
        <v>87</v>
      </c>
      <c r="E45" s="24">
        <v>2.25</v>
      </c>
      <c r="F45" s="24">
        <v>1.48638</v>
      </c>
      <c r="G45" s="16"/>
      <c r="H45" s="17"/>
      <c r="I45" s="17"/>
      <c r="J45" s="6" t="s">
        <v>84</v>
      </c>
      <c r="K45" s="6">
        <v>9893227036</v>
      </c>
    </row>
    <row r="46" spans="1:11" ht="26" x14ac:dyDescent="0.35">
      <c r="A46" s="16" t="s">
        <v>52</v>
      </c>
      <c r="B46" s="16" t="s">
        <v>88</v>
      </c>
      <c r="C46" s="17" t="s">
        <v>89</v>
      </c>
      <c r="D46" s="19" t="s">
        <v>90</v>
      </c>
      <c r="E46" s="24">
        <v>2.89</v>
      </c>
      <c r="F46" s="24">
        <v>2.2252999999999998</v>
      </c>
      <c r="G46" s="16"/>
      <c r="H46" s="17"/>
      <c r="I46" s="17"/>
      <c r="J46" s="6" t="s">
        <v>91</v>
      </c>
      <c r="K46" s="6"/>
    </row>
    <row r="47" spans="1:11" ht="15" x14ac:dyDescent="0.35">
      <c r="A47" s="16" t="s">
        <v>52</v>
      </c>
      <c r="B47" s="16" t="s">
        <v>88</v>
      </c>
      <c r="C47" s="17" t="s">
        <v>92</v>
      </c>
      <c r="D47" s="19" t="s">
        <v>93</v>
      </c>
      <c r="E47" s="24">
        <v>2.89</v>
      </c>
      <c r="F47" s="24">
        <v>1.7769699999999999</v>
      </c>
      <c r="G47" s="16"/>
      <c r="H47" s="17"/>
      <c r="I47" s="17"/>
      <c r="J47" s="6" t="s">
        <v>94</v>
      </c>
      <c r="K47" s="6">
        <v>9713869038</v>
      </c>
    </row>
    <row r="48" spans="1:11" ht="26" x14ac:dyDescent="0.35">
      <c r="A48" s="16" t="s">
        <v>52</v>
      </c>
      <c r="B48" s="16" t="s">
        <v>88</v>
      </c>
      <c r="C48" s="17" t="s">
        <v>95</v>
      </c>
      <c r="D48" s="19" t="s">
        <v>96</v>
      </c>
      <c r="E48" s="24">
        <v>20.170000000000002</v>
      </c>
      <c r="F48" s="24">
        <v>4.4981999999999998</v>
      </c>
      <c r="G48" s="16"/>
      <c r="H48" s="17"/>
      <c r="I48" s="17"/>
      <c r="J48" s="6" t="s">
        <v>94</v>
      </c>
      <c r="K48" s="6">
        <v>9713869038</v>
      </c>
    </row>
    <row r="49" spans="1:11" ht="26" x14ac:dyDescent="0.35">
      <c r="A49" s="16" t="s">
        <v>52</v>
      </c>
      <c r="B49" s="16" t="s">
        <v>88</v>
      </c>
      <c r="C49" s="17" t="s">
        <v>97</v>
      </c>
      <c r="D49" s="19" t="s">
        <v>98</v>
      </c>
      <c r="E49" s="24">
        <v>3.5</v>
      </c>
      <c r="F49" s="24">
        <v>2.6699899999999999</v>
      </c>
      <c r="G49" s="16"/>
      <c r="H49" s="17"/>
      <c r="I49" s="17"/>
      <c r="J49" s="6" t="s">
        <v>94</v>
      </c>
      <c r="K49" s="6">
        <v>9713869038</v>
      </c>
    </row>
    <row r="50" spans="1:11" ht="26" x14ac:dyDescent="0.35">
      <c r="A50" s="16" t="s">
        <v>52</v>
      </c>
      <c r="B50" s="16" t="s">
        <v>88</v>
      </c>
      <c r="C50" s="17" t="s">
        <v>99</v>
      </c>
      <c r="D50" s="19" t="s">
        <v>100</v>
      </c>
      <c r="E50" s="24">
        <v>3.58</v>
      </c>
      <c r="F50" s="24">
        <v>0.61211000000000004</v>
      </c>
      <c r="G50" s="16"/>
      <c r="H50" s="17"/>
      <c r="I50" s="17"/>
      <c r="J50" s="6" t="s">
        <v>94</v>
      </c>
      <c r="K50" s="6">
        <v>9713869038</v>
      </c>
    </row>
    <row r="51" spans="1:11" ht="26" x14ac:dyDescent="0.35">
      <c r="A51" s="16" t="s">
        <v>52</v>
      </c>
      <c r="B51" s="16" t="s">
        <v>88</v>
      </c>
      <c r="C51" s="17" t="s">
        <v>99</v>
      </c>
      <c r="D51" s="19" t="s">
        <v>101</v>
      </c>
      <c r="E51" s="24">
        <v>3.58</v>
      </c>
      <c r="F51" s="24">
        <v>0.61211000000000004</v>
      </c>
      <c r="G51" s="16"/>
      <c r="H51" s="17"/>
      <c r="I51" s="17"/>
      <c r="J51" s="6" t="s">
        <v>94</v>
      </c>
      <c r="K51" s="6">
        <v>9713869038</v>
      </c>
    </row>
    <row r="52" spans="1:11" ht="26" x14ac:dyDescent="0.35">
      <c r="A52" s="16" t="s">
        <v>52</v>
      </c>
      <c r="B52" s="16" t="s">
        <v>88</v>
      </c>
      <c r="C52" s="17" t="s">
        <v>99</v>
      </c>
      <c r="D52" s="19" t="s">
        <v>102</v>
      </c>
      <c r="E52" s="24">
        <v>3.58</v>
      </c>
      <c r="F52" s="24">
        <v>0.61211000000000004</v>
      </c>
      <c r="G52" s="16"/>
      <c r="H52" s="17"/>
      <c r="I52" s="17"/>
      <c r="J52" s="6" t="s">
        <v>94</v>
      </c>
      <c r="K52" s="6">
        <v>9713869038</v>
      </c>
    </row>
    <row r="53" spans="1:11" ht="15" x14ac:dyDescent="0.35">
      <c r="A53" s="16" t="s">
        <v>52</v>
      </c>
      <c r="B53" s="16" t="s">
        <v>103</v>
      </c>
      <c r="C53" s="4" t="s">
        <v>104</v>
      </c>
      <c r="D53" s="21" t="s">
        <v>105</v>
      </c>
      <c r="E53" s="24">
        <v>24.96</v>
      </c>
      <c r="F53" s="24">
        <v>7.01</v>
      </c>
      <c r="G53" s="16"/>
      <c r="H53" s="17"/>
      <c r="I53" s="17"/>
      <c r="J53" s="6" t="s">
        <v>50</v>
      </c>
      <c r="K53" s="6">
        <v>9425337552</v>
      </c>
    </row>
    <row r="54" spans="1:11" ht="18.5" x14ac:dyDescent="0.35">
      <c r="A54" s="4"/>
      <c r="B54" s="4"/>
      <c r="C54" s="4"/>
      <c r="D54" s="4"/>
      <c r="E54" s="22">
        <f>SUM(E2:E53)</f>
        <v>536.17999999999995</v>
      </c>
      <c r="F54" s="22">
        <f>SUM(F2:F53)</f>
        <v>146.15350000000001</v>
      </c>
      <c r="G54" s="4"/>
      <c r="H54" s="6"/>
      <c r="I54" s="6"/>
      <c r="J54" s="6"/>
      <c r="K54" s="6"/>
    </row>
    <row r="55" spans="1:11" x14ac:dyDescent="0.35">
      <c r="E55" s="18"/>
    </row>
  </sheetData>
  <autoFilter ref="A1:K1"/>
  <hyperlinks>
    <hyperlink ref="C2" r:id="rId1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ANDHIYARIKAKALA&amp;Panchayat_Code=1702004081"/>
    <hyperlink ref="C3" r:id="rId2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ANGSOLI&amp;Panchayat_Code=1702004064"/>
    <hyperlink ref="C4" r:id="rId3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BARA&amp;Panchayat_Code=1702004015"/>
    <hyperlink ref="C5" r:id="rId4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BARONA&amp;Panchayat_Code=1702004013"/>
    <hyperlink ref="C6" r:id="rId5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CHANDHARA&amp;Panchayat_Code=1702004038"/>
    <hyperlink ref="C7" r:id="rId6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GADRAULI&amp;Panchayat_Code=1702004045"/>
    <hyperlink ref="C8" r:id="rId7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GURIKHA&amp;Panchayat_Code=1702004026"/>
    <hyperlink ref="C9" r:id="rId8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JHANKARI&amp;Panchayat_Code=1702004060"/>
    <hyperlink ref="C10" r:id="rId9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KATHAVANGURJAR&amp;Panchayat_Code=1702004048"/>
    <hyperlink ref="C11" r:id="rId10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KHERIACHANDAN&amp;Panchayat_Code=1702004085"/>
    <hyperlink ref="C12" r:id="rId11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RAYKIPALI&amp;Panchayat_Code=1702004004"/>
    <hyperlink ref="C13" r:id="rId12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SUHANS&amp;Panchayat_Code=1702004001"/>
    <hyperlink ref="C17" r:id="rId13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UJHAWAL&amp;Panchayat_Code=1702004069"/>
    <hyperlink ref="C14" r:id="rId14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SUHANS&amp;Panchayat_Code=1702004001"/>
    <hyperlink ref="C15" r:id="rId15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SUHANS&amp;Panchayat_Code=1702004001"/>
    <hyperlink ref="C16" r:id="rId16" display="http://mnregaweb2.nic.in/netnrega/IndexFrame.aspx?lflag=local&amp;District_Code=1702&amp;district_name=%e0%a4%ad%e0%a4%bf%e0%a4%a3%e0%a5%8d%e0%a4%a1&amp;state_name=%e0%a4%ae%e0%a4%a7%e0%a5%8d%e0%a4%af+%e0%a4%aa%e0%a5%8d%e0%a4%b0%e0%a4%a6%e0%a5%87%e0%a4%b6&amp;state_Code=17&amp;block_name=GOHAD&amp;block_code=1702004&amp;fin_year=2017-2018&amp;check=1&amp;Panchayat_name=SUHANS&amp;Panchayat_Code=1702004001"/>
    <hyperlink ref="C19" r:id="rId17" display="https://nregastrep.nic.in/netnrega/state_html/anticipated_exp.aspx?lflag=eng&amp;state_name=MADHYA+PRADESH&amp;state_code=17&amp;district_name=BHIND&amp;district_code=1702&amp;block_name=BHIND&amp;block_code=1702002&amp;panchayat_name=GUSING&amp;panchayat_code=1702002045&amp;fin_year=2024-2025&amp;Digest=yG7MKJKGokQ7WeUIBriVRQ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Nema</dc:creator>
  <cp:lastModifiedBy>hp</cp:lastModifiedBy>
  <dcterms:created xsi:type="dcterms:W3CDTF">2025-10-29T05:23:15Z</dcterms:created>
  <dcterms:modified xsi:type="dcterms:W3CDTF">2025-11-04T07:21:04Z</dcterms:modified>
</cp:coreProperties>
</file>