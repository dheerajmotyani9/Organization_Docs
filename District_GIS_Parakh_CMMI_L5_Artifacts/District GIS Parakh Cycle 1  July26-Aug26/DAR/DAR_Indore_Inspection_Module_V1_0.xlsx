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 sheetId="1" state="visible" r:id="rId3"/>
    <sheet name="Instructions" sheetId="2" state="visible" r:id="rId4"/>
    <sheet name="Areas that need DAR" sheetId="3" state="visible" r:id="rId5"/>
    <sheet name="DAR - Assignment Workflow"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<sst xmlns="http://schemas.openxmlformats.org/spreadsheetml/2006/main" count="284" uniqueCount="141">
  <si>
    <t xml:space="preserve">Version</t>
  </si>
  <si>
    <t xml:space="preserve">Date</t>
  </si>
  <si>
    <t xml:space="preserve">Description</t>
  </si>
  <si>
    <t xml:space="preserve">Prepared by</t>
  </si>
  <si>
    <t xml:space="preserve">Reviewed by</t>
  </si>
  <si>
    <t xml:space="preserve">24-Aug-2026</t>
  </si>
  <si>
    <t xml:space="preserve">DAR for the Indore Division Inspection Management System's Assignment &amp; Action-Tracking Workflow design (17 departments / 58 institution types). Documents the choice between manual, semi-automated, and fully automated escalation models.</t>
  </si>
  <si>
    <t xml:space="preserve">Dheeraj Motiyani</t>
  </si>
  <si>
    <t xml:space="preserve">Ajeet Pal Singh (PM)</t>
  </si>
  <si>
    <t xml:space="preserve">Instructions:</t>
  </si>
  <si>
    <t xml:space="preserve">Step #1:</t>
  </si>
  <si>
    <t xml:space="preserve">Define the problem statement or decision to be made.</t>
  </si>
  <si>
    <t xml:space="preserve">Step #2:</t>
  </si>
  <si>
    <t xml:space="preserve">Identify a broad range of possible alternatives that might solve the problem, without consideration to whether they are a valid solution. Then, based on any “must have” criteria, reduce the alternatives to those that would solve the problem. If there are no “must have” criteria skip to Step #3.</t>
  </si>
  <si>
    <t xml:space="preserve">Determine up to 10 possible alternative solutions (e.g. via brainstorming) and enter them under the heading “Alternatives”.</t>
  </si>
  <si>
    <t xml:space="preserve">Identify any “must have” criteria and enter them in the row beneath the heading “Must Have Criteria”.</t>
  </si>
  <si>
    <t xml:space="preserve">For each alternative answer “Yes” or “No” for each ”must have” criteria.</t>
  </si>
  <si>
    <t xml:space="preserve">In column titled “Valid?” enter “Yes” for each alternative that meets every must have criteria. Enter “No” for each alternative that does not meet any of the “must have” criteria.</t>
  </si>
  <si>
    <t xml:space="preserve">Document any Assumptions made during the identification of Valid Alternatives at the bottom of the template.</t>
  </si>
  <si>
    <t xml:space="preserve">Step #3</t>
  </si>
  <si>
    <t xml:space="preserve">For each alternative that meets all the must have criteria, compare them against each other, based upon evaluation criteria, and determine the most appropriate alternative.</t>
  </si>
  <si>
    <t xml:space="preserve">Enter each Valid Alternative (from Step #2) beneath the heading “Valid Alternatives”.</t>
  </si>
  <si>
    <t xml:space="preserve">Identify up to six evaluation criteria that will be used to differentiate between the Valid Alternatives and enter them below the heading Evaluation Criteria. These should be able to be “graded” on a numeric scale (e.g. 1-5).</t>
  </si>
  <si>
    <t xml:space="preserve">For each Valid Alternative grade them against the evaluation criteria, using the agreed upon grading scale (e.g. 1-5).</t>
  </si>
  <si>
    <t xml:space="preserve">Determine if any of the evaluation criteria should be weighted higher/lower than the others, and enter the corresponding weight in the row labeled Weights.</t>
  </si>
  <si>
    <t xml:space="preserve">Document any Assumptions made during the grading of the Valid Alternatives at the bottom of the template.</t>
  </si>
  <si>
    <t xml:space="preserve">Step #4</t>
  </si>
  <si>
    <t xml:space="preserve">Compare the results of the weighted grading and determine the most appropriate alternative. If more than one of the top alternatives is very close together in Total score, conduct a Risk Analysis.</t>
  </si>
  <si>
    <t xml:space="preserve">Each Valid Alternative and its weighted grade will be automatically transferred from the Valid Alternative Decision Input Table to the Decision Analysis Table.</t>
  </si>
  <si>
    <t xml:space="preserve">Compare the Total scores for each alternative.</t>
  </si>
  <si>
    <t xml:space="preserve">Use Risk Analysis, if necessary, to differentiate between any closely scored top alternatives.</t>
  </si>
  <si>
    <t xml:space="preserve">Identify the Proposed Selection by entering “Yes” in the appropriate row.</t>
  </si>
  <si>
    <t xml:space="preserve">Indicate if the decision was ratified (“Yes”/”No” or enter a date) when applicable.</t>
  </si>
  <si>
    <t xml:space="preserve">Enter any Comments about the decision selection.</t>
  </si>
  <si>
    <t xml:space="preserve">Document any Assumptions made during Decision Analysis.</t>
  </si>
  <si>
    <t xml:space="preserve">Store the completed template in the Records repository.</t>
  </si>
  <si>
    <t xml:space="preserve">Areas that need DAR</t>
  </si>
  <si>
    <t xml:space="preserve">Decision Owner</t>
  </si>
  <si>
    <t xml:space="preserve">Decision Participant</t>
  </si>
  <si>
    <t xml:space="preserve">Decision Approver</t>
  </si>
  <si>
    <t xml:space="preserve">Senior Management</t>
  </si>
  <si>
    <t xml:space="preserve">Modification of organizational processes</t>
  </si>
  <si>
    <t xml:space="preserve">Department Manager</t>
  </si>
  <si>
    <t xml:space="preserve">SME / Middle Managers</t>
  </si>
  <si>
    <t xml:space="preserve">Top Management</t>
  </si>
  <si>
    <t xml:space="preserve">Cost benefit analysis of proposal</t>
  </si>
  <si>
    <t xml:space="preserve">Proposal Manager</t>
  </si>
  <si>
    <t xml:space="preserve">SME</t>
  </si>
  <si>
    <t xml:space="preserve">Investment in new industry/product for future market</t>
  </si>
  <si>
    <t xml:space="preserve">Business Development Manager</t>
  </si>
  <si>
    <t xml:space="preserve">Top Management / Department Manager</t>
  </si>
  <si>
    <t xml:space="preserve">Decision for outsourcing</t>
  </si>
  <si>
    <t xml:space="preserve">Program/Project Manager</t>
  </si>
  <si>
    <t xml:space="preserve">Project prioritization</t>
  </si>
  <si>
    <t xml:space="preserve">Middle Managers</t>
  </si>
  <si>
    <t xml:space="preserve">Organization restructuring decision</t>
  </si>
  <si>
    <t xml:space="preserve">Selection of organizational tools</t>
  </si>
  <si>
    <t xml:space="preserve">Introduce new technology</t>
  </si>
  <si>
    <t xml:space="preserve">Process Improvement</t>
  </si>
  <si>
    <t xml:space="preserve">Process improvement proposal and its priorities</t>
  </si>
  <si>
    <t xml:space="preserve">SME / Department Manager</t>
  </si>
  <si>
    <t xml:space="preserve">Piloting decision for tools and processes</t>
  </si>
  <si>
    <t xml:space="preserve">Department Manager / Middle Managers</t>
  </si>
  <si>
    <t xml:space="preserve">Program/project management</t>
  </si>
  <si>
    <t xml:space="preserve">Select project management methodology</t>
  </si>
  <si>
    <t xml:space="preserve">Project/Program manager</t>
  </si>
  <si>
    <t xml:space="preserve">Section Manager</t>
  </si>
  <si>
    <t xml:space="preserve">Vendor/supplier selection</t>
  </si>
  <si>
    <t xml:space="preserve">Budget prioritization</t>
  </si>
  <si>
    <t xml:space="preserve">Tools/Infrastructure and Technology selection</t>
  </si>
  <si>
    <t xml:space="preserve">Resource allocation and optimization</t>
  </si>
  <si>
    <t xml:space="preserve">Risk and issue trade off</t>
  </si>
  <si>
    <t xml:space="preserve">Middle Managers / Department Manager</t>
  </si>
  <si>
    <t xml:space="preserve">Make/buy/reuse decisions</t>
  </si>
  <si>
    <t xml:space="preserve">Significant architectural changes</t>
  </si>
  <si>
    <t xml:space="preserve">Significant schedule slip</t>
  </si>
  <si>
    <t xml:space="preserve">Selection of third party solution providers</t>
  </si>
  <si>
    <t xml:space="preserve">SME / Section Manager</t>
  </si>
  <si>
    <t xml:space="preserve">Project Name</t>
  </si>
  <si>
    <t xml:space="preserve">District GIS Parakh — Indore Division Inspection Module</t>
  </si>
  <si>
    <t xml:space="preserve">Facilitator</t>
  </si>
  <si>
    <t xml:space="preserve">Dheeraj Motiyani (Senior BA)</t>
  </si>
  <si>
    <t xml:space="preserve">Participants</t>
  </si>
  <si>
    <t xml:space="preserve">Indore Collectorate GIS Cell, MPSeDC Dev Team</t>
  </si>
  <si>
    <t xml:space="preserve">Evaluation Methods used: Tick if Yes</t>
  </si>
  <si>
    <t xml:space="preserve">Brainstorming</t>
  </si>
  <si>
    <t xml:space="preserve">Yes</t>
  </si>
  <si>
    <t xml:space="preserve">Nominal Group Technique</t>
  </si>
  <si>
    <t xml:space="preserve">Pareto Analysis</t>
  </si>
  <si>
    <t xml:space="preserve">Step #1</t>
  </si>
  <si>
    <t xml:space="preserve">Problem Statement:</t>
  </si>
  <si>
    <t xml:space="preserve">Selection of the Assignment &amp; Action-Tracking workflow model for routing Indore Division inspection findings from Inspector through Department HOD to Collector/Divisional Commissioner oversight</t>
  </si>
  <si>
    <t xml:space="preserve">Step #2</t>
  </si>
  <si>
    <t xml:space="preserve">Identify Valid Alternatives</t>
  </si>
  <si>
    <t xml:space="preserve">Skip this step if there are no “must have” criteria that a “Yes/No” answer can be applied to.</t>
  </si>
  <si>
    <t xml:space="preserve">Alternatives</t>
  </si>
  <si>
    <t xml:space="preserve">“Must Have” Criteria</t>
  </si>
  <si>
    <t xml:space="preserve">Valid?</t>
  </si>
  <si>
    <t xml:space="preserve">Works within Phase-1 build timeline</t>
  </si>
  <si>
    <t xml:space="preserve">No new infra dependency</t>
  </si>
  <si>
    <t xml:space="preserve">Auditable status trail</t>
  </si>
  <si>
    <t xml:space="preserve">meets all
"must have"
criteria</t>
  </si>
  <si>
    <t xml:space="preserve">Manual routing by District Admin (no automation)</t>
  </si>
  <si>
    <t xml:space="preserve">No</t>
  </si>
  <si>
    <t xml:space="preserve">Auto-route to Dept HOD + manual Collector-level SLA monitoring</t>
  </si>
  <si>
    <t xml:space="preserve">Fully automated SLA-based escalation &amp; auto-closure</t>
  </si>
  <si>
    <t xml:space="preserve">Blue = User Entered Values</t>
  </si>
  <si>
    <t xml:space="preserve">Valid Alternative Decision
Input Table</t>
  </si>
  <si>
    <t xml:space="preserve">Enter each valid alternative (from the table above) and grade them against each evaluation criteria.</t>
  </si>
  <si>
    <t xml:space="preserve">Valid Alternatives</t>
  </si>
  <si>
    <t xml:space="preserve">Evaluation Criteria</t>
  </si>
  <si>
    <t xml:space="preserve">Ease of Implementation</t>
  </si>
  <si>
    <t xml:space="preserve">Time to Deploy</t>
  </si>
  <si>
    <t xml:space="preserve">Governance/Audit Control</t>
  </si>
  <si>
    <t xml:space="preserve">Scalability to Other Districts</t>
  </si>
  <si>
    <t xml:space="preserve">Officer Workload Impact</t>
  </si>
  <si>
    <t xml:space="preserve">Cost</t>
  </si>
  <si>
    <t xml:space="preserve"> </t>
  </si>
  <si>
    <t xml:space="preserve">&lt;grade&gt;</t>
  </si>
  <si>
    <t xml:space="preserve">Weights:</t>
  </si>
  <si>
    <t xml:space="preserve">Decision Analysis</t>
  </si>
  <si>
    <t xml:space="preserve">Weighted
Results</t>
  </si>
  <si>
    <t xml:space="preserve">Alternatives, Factors, and Weighted Scoring appears below based upon the input provided above.</t>
  </si>
  <si>
    <t xml:space="preserve">Use Risk Analysis to differentiate between
any closely scored top alternatives.</t>
  </si>
  <si>
    <t xml:space="preserve">Total</t>
  </si>
  <si>
    <t xml:space="preserve">Risk Analysis Needed?</t>
  </si>
  <si>
    <t xml:space="preserve">Risk Description</t>
  </si>
  <si>
    <t xml:space="preserve">Impact (over 10)</t>
  </si>
  <si>
    <t xml:space="preserve">Probability (out of 10)</t>
  </si>
  <si>
    <t xml:space="preserve">Risk Factor</t>
  </si>
  <si>
    <t xml:space="preserve">Proposed Selection</t>
  </si>
  <si>
    <t xml:space="preserve">Ratified?</t>
  </si>
  <si>
    <t xml:space="preserve">Comments</t>
  </si>
  <si>
    <t xml:space="preserve">Manual SLA monitoring by Collector could miss slow-responding departments at scale</t>
  </si>
  <si>
    <t xml:space="preserve">Yes — implemented in Phase 1</t>
  </si>
  <si>
    <t xml:space="preserve">Selected as the Phase-1 build: on submission, the record auto-routes to the mapped Department HOD and is made read-only to Collector/Commissioner; the Collector’s dashboard gives a manual SLA-monitoring view. Fully automated SLA-based escalation and auto-closure is deferred to Phase 2 (see Risk row) once sufficient live-usage data exists to calibrate escalation thresholds without over- or under-triggering.</t>
  </si>
  <si>
    <t xml:space="preserve">tbd</t>
  </si>
  <si>
    <t xml:space="preserve">Assumptions:</t>
  </si>
  <si>
    <t xml:space="preserve">Phase 1 must go live without waiting for a new escalation-rules engine, given the 17-department rollout timeline.</t>
  </si>
  <si>
    <t xml:space="preserve">The manual-routing alternative was rejected primarily on audit-control grounds: it does not guarantee a record reaches the correct Department HOD without human error.</t>
  </si>
  <si>
    <t xml:space="preserve">The fully-automated alternative was rejected for Phase 1 only due to timeline/infra constraints, not on merit — it is explicitly retained as the Phase 2 target (per the User Story Register’s "SLA-based Escalation &amp; Automated Closure Workflow (Phase 2 — Deferred)" entry).</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</si>
</sst>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name val="Cambria"/>
      <family val="0"/>
      <charset val="1"/>
    </font>
    <font>
      <sz val="10"/>
      <name val="Cambria"/>
      <family val="0"/>
      <charset val="1"/>
    </font>
    <font>
      <b val="true"/>
      <i val="true"/>
      <sz val="11"/>
      <name val="Cambria"/>
      <family val="0"/>
      <charset val="1"/>
    </font>
    <font>
      <b val="true"/>
      <sz val="10"/>
      <color rgb="FF000000"/>
      <name val="Cambria"/>
      <family val="0"/>
      <charset val="1"/>
    </font>
    <font>
      <sz val="10"/>
      <color rgb="FF000000"/>
      <name val="Cambria"/>
      <family val="0"/>
      <charset val="1"/>
    </font>
    <font>
      <strike val="true"/>
      <sz val="11"/>
      <color rgb="FFFF0000"/>
      <name val="Cambria"/>
      <family val="0"/>
      <charset val="1"/>
    </font>
    <font>
      <i val="true"/>
      <sz val="10"/>
      <color rgb="FF000000"/>
      <name val="Cambria"/>
      <family val="0"/>
      <charset val="1"/>
    </font>
  </fonts>
  <fills count="5">
    <fill>
      <patternFill patternType="none"/>
    </fill>
    <fill>
      <patternFill patternType="gray125"/>
    </fill>
    <fill>
      <patternFill patternType="solid">
        <fgColor rgb="FF2E74B5"/>
        <bgColor rgb="FF0066CC"/>
      </patternFill>
    </fill>
    <fill>
      <patternFill patternType="solid">
        <fgColor rgb="FFDDEBF7"/>
        <bgColor rgb="FFCCFFFF"/>
      </patternFill>
    </fill>
    <fill>
      <patternFill patternType="solid">
        <fgColor rgb="FFC6E0B4"/>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2E74B5"/>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55"/>
    <col collapsed="false" customWidth="true" hidden="false" outlineLevel="0" max="5" min="4" style="0" width="22"/>
  </cols>
  <sheetData>
    <row r="1" customFormat="false" ht="15" hidden="false" customHeight="false" outlineLevel="0" collapsed="false">
      <c r="A1" s="1" t="s">
        <v>0</v>
      </c>
      <c r="B1" s="1" t="s">
        <v>1</v>
      </c>
      <c r="C1" s="1" t="s">
        <v>2</v>
      </c>
      <c r="D1" s="1" t="s">
        <v>3</v>
      </c>
      <c r="E1" s="1" t="s">
        <v>4</v>
      </c>
    </row>
    <row r="2" customFormat="false" ht="39.75" hidden="false" customHeight="true" outlineLevel="0" collapsed="false">
      <c r="A2" s="2" t="n">
        <v>1</v>
      </c>
      <c r="B2" s="2" t="s">
        <v>5</v>
      </c>
      <c r="C2" s="2" t="s">
        <v>6</v>
      </c>
      <c r="D2" s="2" t="s">
        <v>7</v>
      </c>
      <c r="E2" s="2"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true" outlineLevel="0" collapsed="false">
      <c r="A1" s="3" t="s">
        <v>9</v>
      </c>
    </row>
    <row r="2" customFormat="false" ht="15" hidden="false" customHeight="true" outlineLevel="0" collapsed="false">
      <c r="A2" s="3" t="s">
        <v>10</v>
      </c>
    </row>
    <row r="3" customFormat="false" ht="15" hidden="false" customHeight="true" outlineLevel="0" collapsed="false">
      <c r="A3" s="4" t="s">
        <v>11</v>
      </c>
    </row>
    <row r="4" customFormat="false" ht="15" hidden="false" customHeight="true" outlineLevel="0" collapsed="false">
      <c r="A4" s="3" t="s">
        <v>12</v>
      </c>
    </row>
    <row r="5" customFormat="false" ht="30" hidden="false" customHeight="true" outlineLevel="0" collapsed="false">
      <c r="A5" s="4" t="s">
        <v>13</v>
      </c>
    </row>
    <row r="6" customFormat="false" ht="30" hidden="false" customHeight="true" outlineLevel="0" collapsed="false">
      <c r="A6" s="4" t="s">
        <v>14</v>
      </c>
    </row>
    <row r="7" customFormat="false" ht="30" hidden="false" customHeight="true" outlineLevel="0" collapsed="false">
      <c r="A7" s="4" t="s">
        <v>15</v>
      </c>
    </row>
    <row r="8" customFormat="false" ht="15" hidden="false" customHeight="true" outlineLevel="0" collapsed="false">
      <c r="A8" s="4" t="s">
        <v>16</v>
      </c>
    </row>
    <row r="9" customFormat="false" ht="30" hidden="false" customHeight="true" outlineLevel="0" collapsed="false">
      <c r="A9" s="4" t="s">
        <v>17</v>
      </c>
    </row>
    <row r="10" customFormat="false" ht="30" hidden="false" customHeight="true" outlineLevel="0" collapsed="false">
      <c r="A10" s="4" t="s">
        <v>18</v>
      </c>
    </row>
    <row r="11" customFormat="false" ht="15" hidden="false" customHeight="true" outlineLevel="0" collapsed="false">
      <c r="A11" s="3" t="s">
        <v>19</v>
      </c>
    </row>
    <row r="12" customFormat="false" ht="30" hidden="false" customHeight="true" outlineLevel="0" collapsed="false">
      <c r="A12" s="4" t="s">
        <v>20</v>
      </c>
    </row>
    <row r="13" customFormat="false" ht="30" hidden="false" customHeight="true" outlineLevel="0" collapsed="false">
      <c r="A13" s="4" t="s">
        <v>21</v>
      </c>
    </row>
    <row r="14" customFormat="false" ht="30" hidden="false" customHeight="true" outlineLevel="0" collapsed="false">
      <c r="A14" s="4" t="s">
        <v>22</v>
      </c>
    </row>
    <row r="15" customFormat="false" ht="30" hidden="false" customHeight="true" outlineLevel="0" collapsed="false">
      <c r="A15" s="4" t="s">
        <v>23</v>
      </c>
    </row>
    <row r="16" customFormat="false" ht="30" hidden="false" customHeight="true" outlineLevel="0" collapsed="false">
      <c r="A16" s="4" t="s">
        <v>24</v>
      </c>
    </row>
    <row r="17" customFormat="false" ht="30" hidden="false" customHeight="true" outlineLevel="0" collapsed="false">
      <c r="A17" s="4" t="s">
        <v>25</v>
      </c>
    </row>
    <row r="18" customFormat="false" ht="15" hidden="false" customHeight="true" outlineLevel="0" collapsed="false">
      <c r="A18" s="3" t="s">
        <v>26</v>
      </c>
    </row>
    <row r="19" customFormat="false" ht="30" hidden="false" customHeight="true" outlineLevel="0" collapsed="false">
      <c r="A19" s="4" t="s">
        <v>27</v>
      </c>
    </row>
    <row r="20" customFormat="false" ht="30" hidden="false" customHeight="true" outlineLevel="0" collapsed="false">
      <c r="A20" s="4" t="s">
        <v>28</v>
      </c>
    </row>
    <row r="21" customFormat="false" ht="15" hidden="false" customHeight="true" outlineLevel="0" collapsed="false">
      <c r="A21" s="4" t="s">
        <v>29</v>
      </c>
    </row>
    <row r="22" customFormat="false" ht="30" hidden="false" customHeight="true" outlineLevel="0" collapsed="false">
      <c r="A22" s="4" t="s">
        <v>30</v>
      </c>
    </row>
    <row r="23" customFormat="false" ht="15" hidden="false" customHeight="true" outlineLevel="0" collapsed="false">
      <c r="A23" s="4" t="s">
        <v>31</v>
      </c>
    </row>
    <row r="24" customFormat="false" ht="30" hidden="false" customHeight="true" outlineLevel="0" collapsed="false">
      <c r="A24" s="4" t="s">
        <v>32</v>
      </c>
    </row>
    <row r="25" customFormat="false" ht="15" hidden="false" customHeight="true" outlineLevel="0" collapsed="false">
      <c r="A25" s="4" t="s">
        <v>33</v>
      </c>
    </row>
    <row r="26" customFormat="false" ht="15" hidden="false" customHeight="true" outlineLevel="0" collapsed="false">
      <c r="A26" s="4" t="s">
        <v>34</v>
      </c>
    </row>
    <row r="27" customFormat="false" ht="15" hidden="false" customHeight="true" outlineLevel="0" collapsed="false">
      <c r="A27" s="4"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26"/>
    <col collapsed="false" customWidth="true" hidden="false" outlineLevel="0" max="4" min="4" style="0" width="30"/>
  </cols>
  <sheetData>
    <row r="1" customFormat="false" ht="15" hidden="false" customHeight="false" outlineLevel="0" collapsed="false">
      <c r="A1" s="5" t="s">
        <v>36</v>
      </c>
      <c r="B1" s="5" t="s">
        <v>37</v>
      </c>
      <c r="C1" s="5" t="s">
        <v>38</v>
      </c>
      <c r="D1" s="5" t="s">
        <v>39</v>
      </c>
    </row>
    <row r="2" customFormat="false" ht="15" hidden="false" customHeight="false" outlineLevel="0" collapsed="false">
      <c r="A2" s="6" t="s">
        <v>40</v>
      </c>
      <c r="B2" s="2"/>
      <c r="C2" s="2"/>
      <c r="D2" s="2"/>
    </row>
    <row r="3" customFormat="false" ht="15" hidden="false" customHeight="false" outlineLevel="0" collapsed="false">
      <c r="A3" s="2" t="s">
        <v>41</v>
      </c>
      <c r="B3" s="2" t="s">
        <v>42</v>
      </c>
      <c r="C3" s="2" t="s">
        <v>43</v>
      </c>
      <c r="D3" s="2" t="s">
        <v>44</v>
      </c>
    </row>
    <row r="4" customFormat="false" ht="15" hidden="false" customHeight="false" outlineLevel="0" collapsed="false">
      <c r="A4" s="2" t="s">
        <v>45</v>
      </c>
      <c r="B4" s="2" t="s">
        <v>46</v>
      </c>
      <c r="C4" s="2" t="s">
        <v>47</v>
      </c>
      <c r="D4" s="2" t="s">
        <v>42</v>
      </c>
    </row>
    <row r="5" customFormat="false" ht="28.35" hidden="false" customHeight="false" outlineLevel="0" collapsed="false">
      <c r="A5" s="2" t="s">
        <v>48</v>
      </c>
      <c r="B5" s="2" t="s">
        <v>49</v>
      </c>
      <c r="C5" s="2" t="s">
        <v>43</v>
      </c>
      <c r="D5" s="2" t="s">
        <v>50</v>
      </c>
    </row>
    <row r="6" customFormat="false" ht="15" hidden="false" customHeight="false" outlineLevel="0" collapsed="false">
      <c r="A6" s="2" t="s">
        <v>51</v>
      </c>
      <c r="B6" s="2" t="s">
        <v>52</v>
      </c>
      <c r="C6" s="2" t="s">
        <v>43</v>
      </c>
      <c r="D6" s="2" t="s">
        <v>42</v>
      </c>
    </row>
    <row r="7" customFormat="false" ht="15" hidden="false" customHeight="false" outlineLevel="0" collapsed="false">
      <c r="A7" s="2" t="s">
        <v>53</v>
      </c>
      <c r="B7" s="2" t="s">
        <v>42</v>
      </c>
      <c r="C7" s="2" t="s">
        <v>54</v>
      </c>
      <c r="D7" s="2" t="s">
        <v>44</v>
      </c>
    </row>
    <row r="8" customFormat="false" ht="15" hidden="false" customHeight="false" outlineLevel="0" collapsed="false">
      <c r="A8" s="2" t="s">
        <v>55</v>
      </c>
      <c r="B8" s="2" t="s">
        <v>42</v>
      </c>
      <c r="C8" s="2" t="s">
        <v>43</v>
      </c>
      <c r="D8" s="2" t="s">
        <v>44</v>
      </c>
    </row>
    <row r="9" customFormat="false" ht="15" hidden="false" customHeight="false" outlineLevel="0" collapsed="false">
      <c r="A9" s="2" t="s">
        <v>56</v>
      </c>
      <c r="B9" s="2" t="s">
        <v>47</v>
      </c>
      <c r="C9" s="2" t="s">
        <v>54</v>
      </c>
      <c r="D9" s="2" t="s">
        <v>44</v>
      </c>
    </row>
    <row r="10" customFormat="false" ht="15" hidden="false" customHeight="false" outlineLevel="0" collapsed="false">
      <c r="A10" s="2" t="s">
        <v>57</v>
      </c>
      <c r="B10" s="2"/>
      <c r="C10" s="2" t="s">
        <v>42</v>
      </c>
      <c r="D10" s="2"/>
    </row>
    <row r="11" customFormat="false" ht="15" hidden="false" customHeight="false" outlineLevel="0" collapsed="false">
      <c r="A11" s="6" t="s">
        <v>58</v>
      </c>
      <c r="B11" s="2"/>
      <c r="C11" s="2"/>
      <c r="D11" s="2"/>
    </row>
    <row r="12" customFormat="false" ht="28.35" hidden="false" customHeight="false" outlineLevel="0" collapsed="false">
      <c r="A12" s="2" t="s">
        <v>59</v>
      </c>
      <c r="B12" s="2" t="s">
        <v>49</v>
      </c>
      <c r="C12" s="2" t="s">
        <v>60</v>
      </c>
      <c r="D12" s="2" t="s">
        <v>44</v>
      </c>
    </row>
    <row r="13" customFormat="false" ht="28.35" hidden="false" customHeight="false" outlineLevel="0" collapsed="false">
      <c r="A13" s="2" t="s">
        <v>61</v>
      </c>
      <c r="B13" s="2" t="s">
        <v>47</v>
      </c>
      <c r="C13" s="2" t="s">
        <v>62</v>
      </c>
      <c r="D13" s="2" t="s">
        <v>44</v>
      </c>
    </row>
    <row r="14" customFormat="false" ht="15" hidden="false" customHeight="false" outlineLevel="0" collapsed="false">
      <c r="A14" s="6" t="s">
        <v>63</v>
      </c>
      <c r="B14" s="2"/>
      <c r="C14" s="2"/>
      <c r="D14" s="2"/>
    </row>
    <row r="15" customFormat="false" ht="15" hidden="false" customHeight="false" outlineLevel="0" collapsed="false">
      <c r="A15" s="2" t="s">
        <v>64</v>
      </c>
      <c r="B15" s="2" t="s">
        <v>65</v>
      </c>
      <c r="C15" s="2" t="s">
        <v>47</v>
      </c>
      <c r="D15" s="2" t="s">
        <v>66</v>
      </c>
    </row>
    <row r="16" customFormat="false" ht="15" hidden="false" customHeight="false" outlineLevel="0" collapsed="false">
      <c r="A16" s="2" t="s">
        <v>67</v>
      </c>
      <c r="B16" s="2" t="s">
        <v>65</v>
      </c>
      <c r="C16" s="2" t="s">
        <v>47</v>
      </c>
      <c r="D16" s="2" t="s">
        <v>42</v>
      </c>
    </row>
    <row r="17" customFormat="false" ht="28.35" hidden="false" customHeight="false" outlineLevel="0" collapsed="false">
      <c r="A17" s="2" t="s">
        <v>68</v>
      </c>
      <c r="B17" s="2" t="s">
        <v>65</v>
      </c>
      <c r="C17" s="2" t="s">
        <v>43</v>
      </c>
      <c r="D17" s="2" t="s">
        <v>50</v>
      </c>
    </row>
    <row r="18" customFormat="false" ht="15" hidden="false" customHeight="false" outlineLevel="0" collapsed="false">
      <c r="A18" s="2" t="s">
        <v>69</v>
      </c>
      <c r="B18" s="2" t="s">
        <v>47</v>
      </c>
      <c r="C18" s="2" t="s">
        <v>43</v>
      </c>
      <c r="D18" s="2" t="s">
        <v>65</v>
      </c>
    </row>
    <row r="19" customFormat="false" ht="15" hidden="false" customHeight="false" outlineLevel="0" collapsed="false">
      <c r="A19" s="2" t="s">
        <v>70</v>
      </c>
      <c r="B19" s="2" t="s">
        <v>65</v>
      </c>
      <c r="C19" s="2" t="s">
        <v>43</v>
      </c>
      <c r="D19" s="2" t="s">
        <v>42</v>
      </c>
    </row>
    <row r="20" customFormat="false" ht="28.35" hidden="false" customHeight="false" outlineLevel="0" collapsed="false">
      <c r="A20" s="2" t="s">
        <v>71</v>
      </c>
      <c r="B20" s="2" t="s">
        <v>65</v>
      </c>
      <c r="C20" s="2" t="s">
        <v>54</v>
      </c>
      <c r="D20" s="2" t="s">
        <v>72</v>
      </c>
    </row>
    <row r="21" customFormat="false" ht="15" hidden="false" customHeight="false" outlineLevel="0" collapsed="false">
      <c r="A21" s="2" t="s">
        <v>73</v>
      </c>
      <c r="B21" s="2" t="s">
        <v>47</v>
      </c>
      <c r="C21" s="2" t="s">
        <v>54</v>
      </c>
      <c r="D21" s="2" t="s">
        <v>65</v>
      </c>
    </row>
    <row r="22" customFormat="false" ht="15" hidden="false" customHeight="false" outlineLevel="0" collapsed="false">
      <c r="A22" s="2" t="s">
        <v>74</v>
      </c>
      <c r="B22" s="2" t="s">
        <v>47</v>
      </c>
      <c r="C22" s="2" t="s">
        <v>54</v>
      </c>
      <c r="D22" s="2" t="s">
        <v>65</v>
      </c>
    </row>
    <row r="23" customFormat="false" ht="15" hidden="false" customHeight="false" outlineLevel="0" collapsed="false">
      <c r="A23" s="2" t="s">
        <v>75</v>
      </c>
      <c r="B23" s="2" t="s">
        <v>65</v>
      </c>
      <c r="C23" s="2" t="s">
        <v>54</v>
      </c>
      <c r="D23" s="2" t="s">
        <v>42</v>
      </c>
    </row>
    <row r="24" customFormat="false" ht="28.35" hidden="false" customHeight="false" outlineLevel="0" collapsed="false">
      <c r="A24" s="2" t="s">
        <v>76</v>
      </c>
      <c r="B24" s="2" t="s">
        <v>65</v>
      </c>
      <c r="C24" s="2" t="s">
        <v>77</v>
      </c>
      <c r="D24" s="2"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8" min="3" style="0" width="16"/>
    <col collapsed="false" customWidth="true" hidden="false" outlineLevel="0" max="9" min="9" style="0" width="10"/>
    <col collapsed="false" customWidth="true" hidden="false" outlineLevel="0" max="17" min="10" style="0" width="16"/>
  </cols>
  <sheetData>
    <row r="1" customFormat="false" ht="35.05" hidden="false" customHeight="false" outlineLevel="0" collapsed="false">
      <c r="B1" s="7" t="s">
        <v>78</v>
      </c>
      <c r="C1" s="8" t="s">
        <v>79</v>
      </c>
    </row>
    <row r="2" customFormat="false" ht="15" hidden="false" customHeight="false" outlineLevel="0" collapsed="false">
      <c r="B2" s="7" t="s">
        <v>1</v>
      </c>
      <c r="C2" s="8" t="s">
        <v>5</v>
      </c>
    </row>
    <row r="3" customFormat="false" ht="23.85" hidden="false" customHeight="false" outlineLevel="0" collapsed="false">
      <c r="B3" s="7" t="s">
        <v>80</v>
      </c>
      <c r="C3" s="8" t="s">
        <v>81</v>
      </c>
    </row>
    <row r="4" customFormat="false" ht="35.05" hidden="false" customHeight="false" outlineLevel="0" collapsed="false">
      <c r="B4" s="7" t="s">
        <v>82</v>
      </c>
      <c r="C4" s="8" t="s">
        <v>83</v>
      </c>
    </row>
    <row r="6" customFormat="false" ht="23.85" hidden="false" customHeight="false" outlineLevel="0" collapsed="false">
      <c r="B6" s="7" t="s">
        <v>84</v>
      </c>
    </row>
    <row r="7" customFormat="false" ht="15" hidden="false" customHeight="false" outlineLevel="0" collapsed="false">
      <c r="B7" s="8" t="s">
        <v>85</v>
      </c>
      <c r="D7" s="8" t="s">
        <v>86</v>
      </c>
    </row>
    <row r="8" customFormat="false" ht="23.85" hidden="false" customHeight="false" outlineLevel="0" collapsed="false">
      <c r="B8" s="8" t="s">
        <v>87</v>
      </c>
    </row>
    <row r="9" customFormat="false" ht="15" hidden="false" customHeight="false" outlineLevel="0" collapsed="false">
      <c r="B9" s="8" t="s">
        <v>88</v>
      </c>
    </row>
    <row r="11" customFormat="false" ht="135.8" hidden="false" customHeight="false" outlineLevel="0" collapsed="false">
      <c r="A11" s="7" t="s">
        <v>89</v>
      </c>
      <c r="B11" s="7" t="s">
        <v>90</v>
      </c>
      <c r="C11" s="8" t="s">
        <v>91</v>
      </c>
    </row>
    <row r="13" customFormat="false" ht="57.45" hidden="false" customHeight="false" outlineLevel="0" collapsed="false">
      <c r="A13" s="7" t="s">
        <v>92</v>
      </c>
      <c r="B13" s="7" t="s">
        <v>93</v>
      </c>
      <c r="C13" s="8" t="s">
        <v>94</v>
      </c>
    </row>
    <row r="14" customFormat="false" ht="23.85" hidden="false" customHeight="false" outlineLevel="0" collapsed="false">
      <c r="B14" s="7" t="s">
        <v>95</v>
      </c>
      <c r="C14" s="7" t="s">
        <v>96</v>
      </c>
      <c r="F14" s="7" t="s">
        <v>97</v>
      </c>
    </row>
    <row r="15" customFormat="false" ht="35.05" hidden="false" customHeight="false" outlineLevel="0" collapsed="false">
      <c r="C15" s="7" t="s">
        <v>98</v>
      </c>
      <c r="D15" s="7" t="s">
        <v>99</v>
      </c>
      <c r="E15" s="7" t="s">
        <v>100</v>
      </c>
      <c r="F15" s="7" t="s">
        <v>101</v>
      </c>
    </row>
    <row r="16" customFormat="false" ht="41.75" hidden="false" customHeight="false" outlineLevel="0" collapsed="false">
      <c r="B16" s="9" t="s">
        <v>102</v>
      </c>
      <c r="C16" s="8" t="s">
        <v>86</v>
      </c>
      <c r="D16" s="8" t="s">
        <v>86</v>
      </c>
      <c r="E16" s="8" t="s">
        <v>103</v>
      </c>
      <c r="F16" s="9" t="s">
        <v>103</v>
      </c>
    </row>
    <row r="17" customFormat="false" ht="35.05" hidden="false" customHeight="false" outlineLevel="0" collapsed="false">
      <c r="B17" s="8" t="s">
        <v>104</v>
      </c>
      <c r="C17" s="8" t="s">
        <v>86</v>
      </c>
      <c r="D17" s="8" t="s">
        <v>86</v>
      </c>
      <c r="E17" s="8" t="s">
        <v>86</v>
      </c>
      <c r="F17" s="8" t="s">
        <v>86</v>
      </c>
    </row>
    <row r="18" customFormat="false" ht="41.75" hidden="false" customHeight="false" outlineLevel="0" collapsed="false">
      <c r="B18" s="9" t="s">
        <v>105</v>
      </c>
      <c r="C18" s="8" t="s">
        <v>103</v>
      </c>
      <c r="D18" s="8" t="s">
        <v>103</v>
      </c>
      <c r="E18" s="8" t="s">
        <v>86</v>
      </c>
      <c r="F18" s="9" t="s">
        <v>103</v>
      </c>
    </row>
    <row r="19" customFormat="false" ht="15" hidden="false" customHeight="false" outlineLevel="0" collapsed="false">
      <c r="B19" s="10" t="s">
        <v>106</v>
      </c>
    </row>
    <row r="21" customFormat="false" ht="68.65" hidden="false" customHeight="false" outlineLevel="0" collapsed="false">
      <c r="A21" s="7" t="s">
        <v>19</v>
      </c>
      <c r="B21" s="7" t="s">
        <v>107</v>
      </c>
      <c r="C21" s="8" t="s">
        <v>108</v>
      </c>
    </row>
    <row r="22" customFormat="false" ht="15" hidden="false" customHeight="false" outlineLevel="0" collapsed="false">
      <c r="B22" s="7" t="s">
        <v>109</v>
      </c>
      <c r="C22" s="7" t="s">
        <v>110</v>
      </c>
    </row>
    <row r="23" customFormat="false" ht="23.85" hidden="false" customHeight="false" outlineLevel="0" collapsed="false">
      <c r="C23" s="7" t="s">
        <v>111</v>
      </c>
      <c r="D23" s="7" t="s">
        <v>112</v>
      </c>
      <c r="E23" s="7" t="s">
        <v>113</v>
      </c>
      <c r="F23" s="7" t="s">
        <v>114</v>
      </c>
      <c r="G23" s="7" t="s">
        <v>115</v>
      </c>
      <c r="H23" s="7" t="s">
        <v>116</v>
      </c>
    </row>
    <row r="24" customFormat="false" ht="35.05" hidden="false" customHeight="false" outlineLevel="0" collapsed="false">
      <c r="B24" s="8" t="s">
        <v>104</v>
      </c>
      <c r="C24" s="8" t="n">
        <v>4</v>
      </c>
      <c r="D24" s="8" t="n">
        <v>4</v>
      </c>
      <c r="E24" s="8" t="n">
        <v>4</v>
      </c>
      <c r="F24" s="8" t="n">
        <v>5</v>
      </c>
      <c r="G24" s="8" t="n">
        <v>4</v>
      </c>
      <c r="H24" s="8" t="n">
        <v>5</v>
      </c>
    </row>
    <row r="25" customFormat="false" ht="15" hidden="false" customHeight="false" outlineLevel="0" collapsed="false">
      <c r="B25" s="8" t="s">
        <v>117</v>
      </c>
      <c r="C25" s="8" t="s">
        <v>118</v>
      </c>
      <c r="D25" s="8" t="s">
        <v>118</v>
      </c>
      <c r="E25" s="8" t="s">
        <v>118</v>
      </c>
      <c r="F25" s="8" t="s">
        <v>118</v>
      </c>
      <c r="G25" s="8" t="s">
        <v>118</v>
      </c>
      <c r="H25" s="8" t="s">
        <v>118</v>
      </c>
    </row>
    <row r="26" customFormat="false" ht="15" hidden="false" customHeight="false" outlineLevel="0" collapsed="false">
      <c r="B26" s="8" t="s">
        <v>117</v>
      </c>
      <c r="C26" s="8" t="s">
        <v>118</v>
      </c>
      <c r="D26" s="8" t="s">
        <v>118</v>
      </c>
      <c r="E26" s="8" t="s">
        <v>118</v>
      </c>
      <c r="F26" s="8" t="s">
        <v>118</v>
      </c>
      <c r="G26" s="8" t="s">
        <v>118</v>
      </c>
      <c r="H26" s="8" t="s">
        <v>118</v>
      </c>
    </row>
    <row r="27" customFormat="false" ht="15" hidden="false" customHeight="false" outlineLevel="0" collapsed="false">
      <c r="B27" s="8" t="s">
        <v>117</v>
      </c>
      <c r="C27" s="8" t="s">
        <v>118</v>
      </c>
      <c r="D27" s="8" t="s">
        <v>118</v>
      </c>
      <c r="E27" s="8" t="s">
        <v>118</v>
      </c>
      <c r="F27" s="8" t="s">
        <v>118</v>
      </c>
      <c r="G27" s="8" t="s">
        <v>118</v>
      </c>
      <c r="H27" s="8" t="s">
        <v>118</v>
      </c>
    </row>
    <row r="28" customFormat="false" ht="15" hidden="false" customHeight="false" outlineLevel="0" collapsed="false">
      <c r="B28" s="8" t="s">
        <v>117</v>
      </c>
      <c r="C28" s="8" t="s">
        <v>118</v>
      </c>
      <c r="D28" s="8" t="s">
        <v>118</v>
      </c>
      <c r="E28" s="8" t="s">
        <v>118</v>
      </c>
      <c r="F28" s="8" t="s">
        <v>118</v>
      </c>
      <c r="G28" s="8" t="s">
        <v>118</v>
      </c>
      <c r="H28" s="8" t="s">
        <v>118</v>
      </c>
    </row>
    <row r="29" customFormat="false" ht="15" hidden="false" customHeight="false" outlineLevel="0" collapsed="false">
      <c r="B29" s="8" t="s">
        <v>117</v>
      </c>
      <c r="C29" s="8" t="s">
        <v>118</v>
      </c>
      <c r="D29" s="8" t="s">
        <v>118</v>
      </c>
      <c r="E29" s="8" t="s">
        <v>118</v>
      </c>
      <c r="F29" s="8" t="s">
        <v>118</v>
      </c>
      <c r="G29" s="8" t="s">
        <v>118</v>
      </c>
      <c r="H29" s="8" t="s">
        <v>118</v>
      </c>
    </row>
    <row r="30" customFormat="false" ht="15" hidden="false" customHeight="false" outlineLevel="0" collapsed="false">
      <c r="B30" s="8" t="s">
        <v>117</v>
      </c>
      <c r="C30" s="8" t="s">
        <v>118</v>
      </c>
      <c r="D30" s="8" t="s">
        <v>118</v>
      </c>
      <c r="E30" s="8" t="s">
        <v>118</v>
      </c>
      <c r="F30" s="8" t="s">
        <v>118</v>
      </c>
      <c r="G30" s="8" t="s">
        <v>118</v>
      </c>
      <c r="H30" s="8" t="s">
        <v>118</v>
      </c>
    </row>
    <row r="31" customFormat="false" ht="15" hidden="false" customHeight="false" outlineLevel="0" collapsed="false">
      <c r="B31" s="7" t="s">
        <v>119</v>
      </c>
      <c r="C31" s="8" t="n">
        <v>7</v>
      </c>
      <c r="D31" s="8" t="n">
        <v>9</v>
      </c>
      <c r="E31" s="8" t="n">
        <v>8</v>
      </c>
      <c r="F31" s="8" t="n">
        <v>9</v>
      </c>
      <c r="G31" s="8" t="n">
        <v>6</v>
      </c>
      <c r="H31" s="8" t="n">
        <v>5</v>
      </c>
    </row>
    <row r="32" customFormat="false" ht="15" hidden="false" customHeight="false" outlineLevel="0" collapsed="false">
      <c r="B32" s="10" t="s">
        <v>106</v>
      </c>
    </row>
    <row r="34" customFormat="false" ht="15" hidden="false" customHeight="false" outlineLevel="0" collapsed="false">
      <c r="A34" s="7" t="s">
        <v>26</v>
      </c>
      <c r="B34" s="7" t="s">
        <v>120</v>
      </c>
    </row>
    <row r="35" customFormat="false" ht="68.65" hidden="false" customHeight="false" outlineLevel="0" collapsed="false">
      <c r="B35" s="7" t="s">
        <v>121</v>
      </c>
      <c r="C35" s="8" t="s">
        <v>122</v>
      </c>
      <c r="J35" s="8" t="s">
        <v>123</v>
      </c>
    </row>
    <row r="36" customFormat="false" ht="23.85" hidden="false" customHeight="false" outlineLevel="0" collapsed="false">
      <c r="C36" s="8" t="str">
        <f aca="false">C23</f>
        <v>Ease of Implementation</v>
      </c>
      <c r="D36" s="8" t="str">
        <f aca="false">D23</f>
        <v>Time to Deploy</v>
      </c>
      <c r="E36" s="8" t="str">
        <f aca="false">E23</f>
        <v>Governance/Audit Control</v>
      </c>
      <c r="F36" s="8" t="str">
        <f aca="false">F23</f>
        <v>Scalability to Other Districts</v>
      </c>
      <c r="G36" s="8" t="str">
        <f aca="false">G23</f>
        <v>Officer Workload Impact</v>
      </c>
      <c r="H36" s="8" t="str">
        <f aca="false">H23</f>
        <v>Cost</v>
      </c>
      <c r="I36" s="7" t="s">
        <v>124</v>
      </c>
      <c r="J36" s="7" t="s">
        <v>125</v>
      </c>
      <c r="K36" s="7" t="s">
        <v>126</v>
      </c>
      <c r="L36" s="7" t="s">
        <v>127</v>
      </c>
      <c r="M36" s="7" t="s">
        <v>128</v>
      </c>
      <c r="N36" s="7" t="s">
        <v>129</v>
      </c>
      <c r="O36" s="7" t="s">
        <v>130</v>
      </c>
      <c r="P36" s="7" t="s">
        <v>131</v>
      </c>
      <c r="Q36" s="7" t="s">
        <v>132</v>
      </c>
    </row>
    <row r="37" customFormat="false" ht="270.1" hidden="false" customHeight="false" outlineLevel="0" collapsed="false">
      <c r="B37" s="8" t="str">
        <f aca="false">B24</f>
        <v>Auto-route to Dept HOD + manual Collector-level SLA monitoring</v>
      </c>
      <c r="C37" s="8" t="n">
        <f aca="false">IF(C24="&lt;grade&gt;","tbd",C$31*C24)</f>
        <v>28</v>
      </c>
      <c r="D37" s="8" t="n">
        <f aca="false">IF(D24="&lt;grade&gt;","tbd",D$31*D24)</f>
        <v>36</v>
      </c>
      <c r="E37" s="8" t="n">
        <f aca="false">IF(E24="&lt;grade&gt;","tbd",E$31*E24)</f>
        <v>32</v>
      </c>
      <c r="F37" s="8" t="n">
        <f aca="false">IF(F24="&lt;grade&gt;","tbd",F$31*F24)</f>
        <v>45</v>
      </c>
      <c r="G37" s="8" t="n">
        <f aca="false">IF(G24="&lt;grade&gt;","tbd",G$31*G24)</f>
        <v>24</v>
      </c>
      <c r="H37" s="8" t="n">
        <f aca="false">IF(H24="&lt;grade&gt;","tbd",H$31*H24)</f>
        <v>25</v>
      </c>
      <c r="I37" s="8" t="n">
        <f aca="false">SUM(C37:H37)</f>
        <v>190</v>
      </c>
      <c r="J37" s="8" t="s">
        <v>86</v>
      </c>
      <c r="K37" s="8" t="s">
        <v>133</v>
      </c>
      <c r="L37" s="8" t="n">
        <v>5</v>
      </c>
      <c r="M37" s="8" t="n">
        <v>4</v>
      </c>
      <c r="N37" s="8" t="n">
        <f aca="false">L37*M37</f>
        <v>20</v>
      </c>
      <c r="O37" s="11" t="s">
        <v>86</v>
      </c>
      <c r="P37" s="8" t="s">
        <v>134</v>
      </c>
      <c r="Q37" s="8" t="s">
        <v>135</v>
      </c>
    </row>
    <row r="38" customFormat="false" ht="15" hidden="false" customHeight="false" outlineLevel="0" collapsed="false">
      <c r="B38" s="8" t="s">
        <v>117</v>
      </c>
      <c r="C38" s="8" t="s">
        <v>136</v>
      </c>
      <c r="D38" s="8" t="s">
        <v>136</v>
      </c>
      <c r="E38" s="8" t="s">
        <v>136</v>
      </c>
      <c r="F38" s="8" t="s">
        <v>136</v>
      </c>
      <c r="G38" s="8" t="s">
        <v>136</v>
      </c>
      <c r="H38" s="8" t="s">
        <v>136</v>
      </c>
      <c r="I38" s="8" t="n">
        <v>0</v>
      </c>
    </row>
    <row r="39" customFormat="false" ht="15" hidden="false" customHeight="false" outlineLevel="0" collapsed="false">
      <c r="B39" s="8" t="s">
        <v>117</v>
      </c>
      <c r="C39" s="8" t="s">
        <v>136</v>
      </c>
      <c r="D39" s="8" t="s">
        <v>136</v>
      </c>
      <c r="E39" s="8" t="s">
        <v>136</v>
      </c>
      <c r="F39" s="8" t="s">
        <v>136</v>
      </c>
      <c r="G39" s="8" t="s">
        <v>136</v>
      </c>
      <c r="H39" s="8" t="s">
        <v>136</v>
      </c>
      <c r="I39" s="8" t="n">
        <v>0</v>
      </c>
    </row>
    <row r="40" customFormat="false" ht="15" hidden="false" customHeight="false" outlineLevel="0" collapsed="false">
      <c r="B40" s="8" t="s">
        <v>117</v>
      </c>
      <c r="C40" s="8" t="s">
        <v>136</v>
      </c>
      <c r="D40" s="8" t="s">
        <v>136</v>
      </c>
      <c r="E40" s="8" t="s">
        <v>136</v>
      </c>
      <c r="F40" s="8" t="s">
        <v>136</v>
      </c>
      <c r="G40" s="8" t="s">
        <v>136</v>
      </c>
      <c r="H40" s="8" t="s">
        <v>136</v>
      </c>
      <c r="I40" s="8" t="n">
        <v>0</v>
      </c>
    </row>
    <row r="41" customFormat="false" ht="15" hidden="false" customHeight="false" outlineLevel="0" collapsed="false">
      <c r="B41" s="8" t="s">
        <v>117</v>
      </c>
      <c r="C41" s="8" t="s">
        <v>136</v>
      </c>
      <c r="D41" s="8" t="s">
        <v>136</v>
      </c>
      <c r="E41" s="8" t="s">
        <v>136</v>
      </c>
      <c r="F41" s="8" t="s">
        <v>136</v>
      </c>
      <c r="G41" s="8" t="s">
        <v>136</v>
      </c>
      <c r="H41" s="8" t="s">
        <v>136</v>
      </c>
      <c r="I41" s="8" t="n">
        <v>0</v>
      </c>
    </row>
    <row r="42" customFormat="false" ht="15" hidden="false" customHeight="false" outlineLevel="0" collapsed="false">
      <c r="B42" s="8" t="s">
        <v>117</v>
      </c>
      <c r="C42" s="8" t="s">
        <v>136</v>
      </c>
      <c r="D42" s="8" t="s">
        <v>136</v>
      </c>
      <c r="E42" s="8" t="s">
        <v>136</v>
      </c>
      <c r="F42" s="8" t="s">
        <v>136</v>
      </c>
      <c r="G42" s="8" t="s">
        <v>136</v>
      </c>
      <c r="H42" s="8" t="s">
        <v>136</v>
      </c>
      <c r="I42" s="8" t="n">
        <v>0</v>
      </c>
    </row>
    <row r="43" customFormat="false" ht="15" hidden="false" customHeight="false" outlineLevel="0" collapsed="false">
      <c r="B43" s="8" t="s">
        <v>117</v>
      </c>
      <c r="C43" s="8" t="s">
        <v>136</v>
      </c>
      <c r="D43" s="8" t="s">
        <v>136</v>
      </c>
      <c r="E43" s="8" t="s">
        <v>136</v>
      </c>
      <c r="F43" s="8" t="s">
        <v>136</v>
      </c>
      <c r="G43" s="8" t="s">
        <v>136</v>
      </c>
      <c r="H43" s="8" t="s">
        <v>136</v>
      </c>
      <c r="I43" s="8" t="n">
        <v>0</v>
      </c>
    </row>
    <row r="45" customFormat="false" ht="15" hidden="false" customHeight="false" outlineLevel="0" collapsed="false">
      <c r="B45" s="7" t="s">
        <v>137</v>
      </c>
    </row>
    <row r="46" customFormat="false" ht="68.65" hidden="false" customHeight="false" outlineLevel="0" collapsed="false">
      <c r="C46" s="8" t="s">
        <v>138</v>
      </c>
    </row>
    <row r="47" customFormat="false" ht="113.4" hidden="false" customHeight="false" outlineLevel="0" collapsed="false">
      <c r="C47" s="8" t="s">
        <v>139</v>
      </c>
    </row>
    <row r="48" customFormat="false" ht="169.4" hidden="false" customHeight="false" outlineLevel="0" collapsed="false">
      <c r="C48" s="8"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2026-08-27T05:22:35Z</dcterms:created>
  <dc:creator>openpyxl</dc:creator>
  <dc:description/>
  <dc:language>en-US</dc:language>
  <cp:lastModifiedBy/>
  <dcterms:modified xsi:type="dcterms:W3CDTF">2026-08-27T05:22:35Z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