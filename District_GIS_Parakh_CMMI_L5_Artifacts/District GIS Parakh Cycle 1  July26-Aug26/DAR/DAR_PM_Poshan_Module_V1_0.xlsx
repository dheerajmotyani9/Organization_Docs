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 sheetId="1" state="visible" r:id="rId3"/>
    <sheet name="Instructions" sheetId="2" state="visible" r:id="rId4"/>
    <sheet name="Areas that need DAR" sheetId="3" state="visible" r:id="rId5"/>
    <sheet name="DAR - MGNREGA Alignmen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<sst xmlns="http://schemas.openxmlformats.org/spreadsheetml/2006/main" count="266" uniqueCount="138">
  <si>
    <t xml:space="preserve">Version</t>
  </si>
  <si>
    <t xml:space="preserve">Date</t>
  </si>
  <si>
    <t xml:space="preserve">Description</t>
  </si>
  <si>
    <t xml:space="preserve">Prepared by</t>
  </si>
  <si>
    <t xml:space="preserve">Reviewed by</t>
  </si>
  <si>
    <t xml:space="preserve">24-Aug-2026</t>
  </si>
  <si>
    <t xml:space="preserve">DAR for the PM Poshan Social Audit inspection-form design — whether to align its fields with the existing MGNREGA inspection form format or build an independent bespoke form.</t>
  </si>
  <si>
    <t xml:space="preserve">Dheeraj Motiyani</t>
  </si>
  <si>
    <t xml:space="preserve">Ankita Soni (GIS Executive)</t>
  </si>
  <si>
    <t xml:space="preserve">Instructions:</t>
  </si>
  <si>
    <t xml:space="preserve">Step #1:</t>
  </si>
  <si>
    <t xml:space="preserve">Define the problem statement or decision to be made.</t>
  </si>
  <si>
    <t xml:space="preserve">Step #2:</t>
  </si>
  <si>
    <t xml:space="preserve">Identify a broad range of possible alternatives that might solve the problem, without consideration to whether they are a valid solution. Then, based on any “must have” criteria, reduce the alternatives to those that would solve the problem. If there are no “must have” criteria skip to Step #3.</t>
  </si>
  <si>
    <t xml:space="preserve">Determine up to 10 possible alternative solutions (e.g. via brainstorming) and enter them under the heading “Alternatives”.</t>
  </si>
  <si>
    <t xml:space="preserve">Identify any “must have” criteria and enter them in the row beneath the heading “Must Have Criteria”.</t>
  </si>
  <si>
    <t xml:space="preserve">For each alternative answer “Yes” or “No” for each ”must have” criteria.</t>
  </si>
  <si>
    <t xml:space="preserve">In column titled “Valid?” enter “Yes” for each alternative that meets every must have criteria. Enter “No” for each alternative that does not meet any of the “must have” criteria.</t>
  </si>
  <si>
    <t xml:space="preserve">Document any Assumptions made during the identification of Valid Alternatives at the bottom of the template.</t>
  </si>
  <si>
    <t xml:space="preserve">Step #3</t>
  </si>
  <si>
    <t xml:space="preserve">For each alternative that meets all the must have criteria, compare them against each other, based upon evaluation criteria, and determine the most appropriate alternative.</t>
  </si>
  <si>
    <t xml:space="preserve">Enter each Valid Alternative (from Step #2) beneath the heading “Valid Alternatives”.</t>
  </si>
  <si>
    <t xml:space="preserve">Identify up to six evaluation criteria that will be used to differentiate between the Valid Alternatives and enter them below the heading Evaluation Criteria. These should be able to be “graded” on a numeric scale (e.g. 1-5).</t>
  </si>
  <si>
    <t xml:space="preserve">For each Valid Alternative grade them against the evaluation criteria, using the agreed upon grading scale (e.g. 1-5).</t>
  </si>
  <si>
    <t xml:space="preserve">Determine if any of the evaluation criteria should be weighted higher/lower than the others, and enter the corresponding weight in the row labeled Weights.</t>
  </si>
  <si>
    <t xml:space="preserve">Document any Assumptions made during the grading of the Valid Alternatives at the bottom of the template.</t>
  </si>
  <si>
    <t xml:space="preserve">Step #4</t>
  </si>
  <si>
    <t xml:space="preserve">Compare the results of the weighted grading and determine the most appropriate alternative. If more than one of the top alternatives is very close together in Total score, conduct a Risk Analysis.</t>
  </si>
  <si>
    <t xml:space="preserve">Each Valid Alternative and its weighted grade will be automatically transferred from the Valid Alternative Decision Input Table to the Decision Analysis Table.</t>
  </si>
  <si>
    <t xml:space="preserve">Compare the Total scores for each alternative.</t>
  </si>
  <si>
    <t xml:space="preserve">Use Risk Analysis, if necessary, to differentiate between any closely scored top alternatives.</t>
  </si>
  <si>
    <t xml:space="preserve">Identify the Proposed Selection by entering “Yes” in the appropriate row.</t>
  </si>
  <si>
    <t xml:space="preserve">Indicate if the decision was ratified (“Yes”/”No” or enter a date) when applicable.</t>
  </si>
  <si>
    <t xml:space="preserve">Enter any Comments about the decision selection.</t>
  </si>
  <si>
    <t xml:space="preserve">Document any Assumptions made during Decision Analysis.</t>
  </si>
  <si>
    <t xml:space="preserve">Store the completed template in the Records repository.</t>
  </si>
  <si>
    <t xml:space="preserve">Areas that need DAR</t>
  </si>
  <si>
    <t xml:space="preserve">Decision Owner</t>
  </si>
  <si>
    <t xml:space="preserve">Decision Participant</t>
  </si>
  <si>
    <t xml:space="preserve">Decision Approver</t>
  </si>
  <si>
    <t xml:space="preserve">Senior Management</t>
  </si>
  <si>
    <t xml:space="preserve">Modification of organizational processes</t>
  </si>
  <si>
    <t xml:space="preserve">Department Manager</t>
  </si>
  <si>
    <t xml:space="preserve">SME / Middle Managers</t>
  </si>
  <si>
    <t xml:space="preserve">Top Management</t>
  </si>
  <si>
    <t xml:space="preserve">Cost benefit analysis of proposal</t>
  </si>
  <si>
    <t xml:space="preserve">Proposal Manager</t>
  </si>
  <si>
    <t xml:space="preserve">SME</t>
  </si>
  <si>
    <t xml:space="preserve">Investment in new industry/product for future market</t>
  </si>
  <si>
    <t xml:space="preserve">Business Development Manager</t>
  </si>
  <si>
    <t xml:space="preserve">Top Management / Department Manager</t>
  </si>
  <si>
    <t xml:space="preserve">Decision for outsourcing</t>
  </si>
  <si>
    <t xml:space="preserve">Program/Project Manager</t>
  </si>
  <si>
    <t xml:space="preserve">Project prioritization</t>
  </si>
  <si>
    <t xml:space="preserve">Middle Managers</t>
  </si>
  <si>
    <t xml:space="preserve">Organization restructuring decision</t>
  </si>
  <si>
    <t xml:space="preserve">Selection of organizational tools</t>
  </si>
  <si>
    <t xml:space="preserve">Introduce new technology</t>
  </si>
  <si>
    <t xml:space="preserve">Process Improvement</t>
  </si>
  <si>
    <t xml:space="preserve">Process improvement proposal and its priorities</t>
  </si>
  <si>
    <t xml:space="preserve">SME / Department Manager</t>
  </si>
  <si>
    <t xml:space="preserve">Piloting decision for tools and processes</t>
  </si>
  <si>
    <t xml:space="preserve">Department Manager / Middle Managers</t>
  </si>
  <si>
    <t xml:space="preserve">Program/project management</t>
  </si>
  <si>
    <t xml:space="preserve">Select project management methodology</t>
  </si>
  <si>
    <t xml:space="preserve">Project/Program manager</t>
  </si>
  <si>
    <t xml:space="preserve">Section Manager</t>
  </si>
  <si>
    <t xml:space="preserve">Vendor/supplier selection</t>
  </si>
  <si>
    <t xml:space="preserve">Budget prioritization</t>
  </si>
  <si>
    <t xml:space="preserve">Tools/Infrastructure and Technology selection</t>
  </si>
  <si>
    <t xml:space="preserve">Resource allocation and optimization</t>
  </si>
  <si>
    <t xml:space="preserve">Risk and issue trade off</t>
  </si>
  <si>
    <t xml:space="preserve">Middle Managers / Department Manager</t>
  </si>
  <si>
    <t xml:space="preserve">Make/buy/reuse decisions</t>
  </si>
  <si>
    <t xml:space="preserve">Significant architectural changes</t>
  </si>
  <si>
    <t xml:space="preserve">Significant schedule slip</t>
  </si>
  <si>
    <t xml:space="preserve">Selection of third party solution providers</t>
  </si>
  <si>
    <t xml:space="preserve">SME / Section Manager</t>
  </si>
  <si>
    <t xml:space="preserve">Project Name</t>
  </si>
  <si>
    <t xml:space="preserve">District GIS Parakh — PM Poshan Social Audit Module</t>
  </si>
  <si>
    <t xml:space="preserve">Facilitator</t>
  </si>
  <si>
    <t xml:space="preserve">Dheeraj Motiyani (Senior BA)</t>
  </si>
  <si>
    <t xml:space="preserve">Participants</t>
  </si>
  <si>
    <t xml:space="preserve">PM Poshan State Coordination Team, Mandla District GIS Cell</t>
  </si>
  <si>
    <t xml:space="preserve">Evaluation Methods used: Tick if Yes</t>
  </si>
  <si>
    <t xml:space="preserve">Brainstorming</t>
  </si>
  <si>
    <t xml:space="preserve">Yes</t>
  </si>
  <si>
    <t xml:space="preserve">Nominal Group Technique</t>
  </si>
  <si>
    <t xml:space="preserve">Pareto Analysis</t>
  </si>
  <si>
    <t xml:space="preserve">Step #1</t>
  </si>
  <si>
    <t xml:space="preserve">Problem Statement:</t>
  </si>
  <si>
    <t xml:space="preserve">Selection of field-design approach for the PM Poshan (Mid-Day Meal) Social Audit inspection form — independent bespoke form vs. alignment with the existing MGNREGA inspection form fields</t>
  </si>
  <si>
    <t xml:space="preserve">Step #2</t>
  </si>
  <si>
    <t xml:space="preserve">Identify Valid Alternatives</t>
  </si>
  <si>
    <t xml:space="preserve">Skip this step if there are no “must have” criteria that a “Yes/No” answer can be applied to.</t>
  </si>
  <si>
    <t xml:space="preserve">Alternatives</t>
  </si>
  <si>
    <t xml:space="preserve">“Must Have” Criteria</t>
  </si>
  <si>
    <t xml:space="preserve">Valid?</t>
  </si>
  <si>
    <t xml:space="preserve">Captures PM Poshan-specific data (meal quality, beneficiary count, stock register)</t>
  </si>
  <si>
    <t xml:space="preserve">Deployable in current cycle without a full rebuild</t>
  </si>
  <si>
    <t xml:space="preserve">meets all
"must have"
criteria</t>
  </si>
  <si>
    <t xml:space="preserve">Fully independent bespoke PM Poshan form (no reference to MGNREGA fields)</t>
  </si>
  <si>
    <t xml:space="preserve">Fully reuse the MGNREGA inspection form as-is for PM Poshan</t>
  </si>
  <si>
    <t xml:space="preserve">No</t>
  </si>
  <si>
    <t xml:space="preserve">PM Poshan form with select overlapping fields aligned to MGNREGA format (e.g. built-area/sq.ft. convention), rest bespoke</t>
  </si>
  <si>
    <t xml:space="preserve">Blue = User Entered Values</t>
  </si>
  <si>
    <t xml:space="preserve">Valid Alternative Decision
Input Table</t>
  </si>
  <si>
    <t xml:space="preserve">Enter each valid alternative (from the table above) and grade them against each evaluation criteria.</t>
  </si>
  <si>
    <t xml:space="preserve">Valid Alternatives</t>
  </si>
  <si>
    <t xml:space="preserve">Evaluation Criteria</t>
  </si>
  <si>
    <t xml:space="preserve">Consistency with Existing Reports</t>
  </si>
  <si>
    <t xml:space="preserve">Department Acceptance</t>
  </si>
  <si>
    <t xml:space="preserve">Development Effort</t>
  </si>
  <si>
    <t xml:space="preserve">Data Comparability</t>
  </si>
  <si>
    <t xml:space="preserve">Flexibility for PM-Poshan-Specific Needs</t>
  </si>
  <si>
    <t xml:space="preserve">Risk of Confusion</t>
  </si>
  <si>
    <t xml:space="preserve"> </t>
  </si>
  <si>
    <t xml:space="preserve">&lt;grade&gt;</t>
  </si>
  <si>
    <t xml:space="preserve">Weights:</t>
  </si>
  <si>
    <t xml:space="preserve">Decision Analysis</t>
  </si>
  <si>
    <t xml:space="preserve">Weighted
Results</t>
  </si>
  <si>
    <t xml:space="preserve">Alternatives, Factors, and Weighted Scoring appears below based upon the input provided above.</t>
  </si>
  <si>
    <t xml:space="preserve">Use Risk Analysis to differentiate between
any closely scored top alternatives.</t>
  </si>
  <si>
    <t xml:space="preserve">Total</t>
  </si>
  <si>
    <t xml:space="preserve">Risk Analysis Needed?</t>
  </si>
  <si>
    <t xml:space="preserve">Risk Description</t>
  </si>
  <si>
    <t xml:space="preserve">Impact (over 10)</t>
  </si>
  <si>
    <t xml:space="preserve">Probability (out of 10)</t>
  </si>
  <si>
    <t xml:space="preserve">Risk Factor</t>
  </si>
  <si>
    <t xml:space="preserve">Proposed Selection</t>
  </si>
  <si>
    <t xml:space="preserve">Ratified?</t>
  </si>
  <si>
    <t xml:space="preserve">Comments</t>
  </si>
  <si>
    <t xml:space="preserve">Following the request from Mandla district (1-Jul-2026, PSR Log) that one question be aligned with the MGNREGA form’s format — specifically the kitchen-shed/built-area convention referred to as the ‒70 sq ft’ question — the field was updated to match MGNREGA’s existing wording/units rather than leaving two differently-worded versions of what is effectively the same measurement live on the platform simultaneously. All other PM Poshan-specific fields (food quality, beneficiary count, cooking arrangements, stock register verification, staff attendance) remain bespoke to this form.</t>
  </si>
  <si>
    <t xml:space="preserve">tbd</t>
  </si>
  <si>
    <t xml:space="preserve">Assumptions:</t>
  </si>
  <si>
    <t xml:space="preserve">This DAR documents a field-level alignment decision, not a full form merger — PM Poshan Social Audit remains a distinct form/module from MGNREGA on Parakh.</t>
  </si>
  <si>
    <t xml:space="preserve">The "fully reuse MGNREGA form" alternative was rejected as it does not capture PM Poshan-specific data (meal quality, beneficiary counts, stock register) and therefore fails a must-have criterion outright.</t>
  </si>
  <si>
    <t xml:space="preserve">This alignment specifically resolves the correction Mandla requested to the ‘270 sq ft’-style built-area question; no other MGNREGA fields were assessed for alignment at this time.</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</si>
</sst>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1"/>
      <name val="Cambria"/>
      <family val="0"/>
      <charset val="1"/>
    </font>
    <font>
      <sz val="10"/>
      <name val="Cambria"/>
      <family val="0"/>
      <charset val="1"/>
    </font>
    <font>
      <b val="true"/>
      <i val="true"/>
      <sz val="11"/>
      <name val="Cambria"/>
      <family val="0"/>
      <charset val="1"/>
    </font>
    <font>
      <b val="true"/>
      <sz val="10"/>
      <color rgb="FF000000"/>
      <name val="Cambria"/>
      <family val="0"/>
      <charset val="1"/>
    </font>
    <font>
      <sz val="10"/>
      <color rgb="FF000000"/>
      <name val="Cambria"/>
      <family val="0"/>
      <charset val="1"/>
    </font>
    <font>
      <strike val="true"/>
      <sz val="11"/>
      <color rgb="FFFF0000"/>
      <name val="Cambria"/>
      <family val="0"/>
      <charset val="1"/>
    </font>
    <font>
      <i val="true"/>
      <sz val="10"/>
      <color rgb="FF000000"/>
      <name val="Cambria"/>
      <family val="0"/>
      <charset val="1"/>
    </font>
  </fonts>
  <fills count="5">
    <fill>
      <patternFill patternType="none"/>
    </fill>
    <fill>
      <patternFill patternType="gray125"/>
    </fill>
    <fill>
      <patternFill patternType="solid">
        <fgColor rgb="FF2E74B5"/>
        <bgColor rgb="FF0066CC"/>
      </patternFill>
    </fill>
    <fill>
      <patternFill patternType="solid">
        <fgColor rgb="FFDDEBF7"/>
        <bgColor rgb="FFCCFFFF"/>
      </patternFill>
    </fill>
    <fill>
      <patternFill patternType="solid">
        <fgColor rgb="FFC6E0B4"/>
        <bgColor rgb="FFBFBFB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FCC99"/>
      <rgbColor rgb="FF2E74B5"/>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55"/>
    <col collapsed="false" customWidth="true" hidden="false" outlineLevel="0" max="5" min="4" style="0" width="22"/>
  </cols>
  <sheetData>
    <row r="1" customFormat="false" ht="15" hidden="false" customHeight="false" outlineLevel="0" collapsed="false">
      <c r="A1" s="1" t="s">
        <v>0</v>
      </c>
      <c r="B1" s="1" t="s">
        <v>1</v>
      </c>
      <c r="C1" s="1" t="s">
        <v>2</v>
      </c>
      <c r="D1" s="1" t="s">
        <v>3</v>
      </c>
      <c r="E1" s="1" t="s">
        <v>4</v>
      </c>
    </row>
    <row r="2" customFormat="false" ht="39.75" hidden="false" customHeight="true" outlineLevel="0" collapsed="false">
      <c r="A2" s="2" t="n">
        <v>1</v>
      </c>
      <c r="B2" s="2" t="s">
        <v>5</v>
      </c>
      <c r="C2" s="2" t="s">
        <v>6</v>
      </c>
      <c r="D2" s="2" t="s">
        <v>7</v>
      </c>
      <c r="E2" s="2" t="s">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true" outlineLevel="0" collapsed="false">
      <c r="A1" s="3" t="s">
        <v>9</v>
      </c>
    </row>
    <row r="2" customFormat="false" ht="15" hidden="false" customHeight="true" outlineLevel="0" collapsed="false">
      <c r="A2" s="3" t="s">
        <v>10</v>
      </c>
    </row>
    <row r="3" customFormat="false" ht="15" hidden="false" customHeight="true" outlineLevel="0" collapsed="false">
      <c r="A3" s="4" t="s">
        <v>11</v>
      </c>
    </row>
    <row r="4" customFormat="false" ht="15" hidden="false" customHeight="true" outlineLevel="0" collapsed="false">
      <c r="A4" s="3" t="s">
        <v>12</v>
      </c>
    </row>
    <row r="5" customFormat="false" ht="30" hidden="false" customHeight="true" outlineLevel="0" collapsed="false">
      <c r="A5" s="4" t="s">
        <v>13</v>
      </c>
    </row>
    <row r="6" customFormat="false" ht="30" hidden="false" customHeight="true" outlineLevel="0" collapsed="false">
      <c r="A6" s="4" t="s">
        <v>14</v>
      </c>
    </row>
    <row r="7" customFormat="false" ht="30" hidden="false" customHeight="true" outlineLevel="0" collapsed="false">
      <c r="A7" s="4" t="s">
        <v>15</v>
      </c>
    </row>
    <row r="8" customFormat="false" ht="15" hidden="false" customHeight="true" outlineLevel="0" collapsed="false">
      <c r="A8" s="4" t="s">
        <v>16</v>
      </c>
    </row>
    <row r="9" customFormat="false" ht="30" hidden="false" customHeight="true" outlineLevel="0" collapsed="false">
      <c r="A9" s="4" t="s">
        <v>17</v>
      </c>
    </row>
    <row r="10" customFormat="false" ht="30" hidden="false" customHeight="true" outlineLevel="0" collapsed="false">
      <c r="A10" s="4" t="s">
        <v>18</v>
      </c>
    </row>
    <row r="11" customFormat="false" ht="15" hidden="false" customHeight="true" outlineLevel="0" collapsed="false">
      <c r="A11" s="3" t="s">
        <v>19</v>
      </c>
    </row>
    <row r="12" customFormat="false" ht="30" hidden="false" customHeight="true" outlineLevel="0" collapsed="false">
      <c r="A12" s="4" t="s">
        <v>20</v>
      </c>
    </row>
    <row r="13" customFormat="false" ht="30" hidden="false" customHeight="true" outlineLevel="0" collapsed="false">
      <c r="A13" s="4" t="s">
        <v>21</v>
      </c>
    </row>
    <row r="14" customFormat="false" ht="30" hidden="false" customHeight="true" outlineLevel="0" collapsed="false">
      <c r="A14" s="4" t="s">
        <v>22</v>
      </c>
    </row>
    <row r="15" customFormat="false" ht="30" hidden="false" customHeight="true" outlineLevel="0" collapsed="false">
      <c r="A15" s="4" t="s">
        <v>23</v>
      </c>
    </row>
    <row r="16" customFormat="false" ht="30" hidden="false" customHeight="true" outlineLevel="0" collapsed="false">
      <c r="A16" s="4" t="s">
        <v>24</v>
      </c>
    </row>
    <row r="17" customFormat="false" ht="30" hidden="false" customHeight="true" outlineLevel="0" collapsed="false">
      <c r="A17" s="4" t="s">
        <v>25</v>
      </c>
    </row>
    <row r="18" customFormat="false" ht="15" hidden="false" customHeight="true" outlineLevel="0" collapsed="false">
      <c r="A18" s="3" t="s">
        <v>26</v>
      </c>
    </row>
    <row r="19" customFormat="false" ht="30" hidden="false" customHeight="true" outlineLevel="0" collapsed="false">
      <c r="A19" s="4" t="s">
        <v>27</v>
      </c>
    </row>
    <row r="20" customFormat="false" ht="30" hidden="false" customHeight="true" outlineLevel="0" collapsed="false">
      <c r="A20" s="4" t="s">
        <v>28</v>
      </c>
    </row>
    <row r="21" customFormat="false" ht="15" hidden="false" customHeight="true" outlineLevel="0" collapsed="false">
      <c r="A21" s="4" t="s">
        <v>29</v>
      </c>
    </row>
    <row r="22" customFormat="false" ht="30" hidden="false" customHeight="true" outlineLevel="0" collapsed="false">
      <c r="A22" s="4" t="s">
        <v>30</v>
      </c>
    </row>
    <row r="23" customFormat="false" ht="15" hidden="false" customHeight="true" outlineLevel="0" collapsed="false">
      <c r="A23" s="4" t="s">
        <v>31</v>
      </c>
    </row>
    <row r="24" customFormat="false" ht="30" hidden="false" customHeight="true" outlineLevel="0" collapsed="false">
      <c r="A24" s="4" t="s">
        <v>32</v>
      </c>
    </row>
    <row r="25" customFormat="false" ht="15" hidden="false" customHeight="true" outlineLevel="0" collapsed="false">
      <c r="A25" s="4" t="s">
        <v>33</v>
      </c>
    </row>
    <row r="26" customFormat="false" ht="15" hidden="false" customHeight="true" outlineLevel="0" collapsed="false">
      <c r="A26" s="4" t="s">
        <v>34</v>
      </c>
    </row>
    <row r="27" customFormat="false" ht="15" hidden="false" customHeight="true" outlineLevel="0" collapsed="false">
      <c r="A27" s="4"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3" min="2" style="0" width="26"/>
    <col collapsed="false" customWidth="true" hidden="false" outlineLevel="0" max="4" min="4" style="0" width="30"/>
  </cols>
  <sheetData>
    <row r="1" customFormat="false" ht="15" hidden="false" customHeight="false" outlineLevel="0" collapsed="false">
      <c r="A1" s="5" t="s">
        <v>36</v>
      </c>
      <c r="B1" s="5" t="s">
        <v>37</v>
      </c>
      <c r="C1" s="5" t="s">
        <v>38</v>
      </c>
      <c r="D1" s="5" t="s">
        <v>39</v>
      </c>
    </row>
    <row r="2" customFormat="false" ht="15" hidden="false" customHeight="false" outlineLevel="0" collapsed="false">
      <c r="A2" s="6" t="s">
        <v>40</v>
      </c>
      <c r="B2" s="2"/>
      <c r="C2" s="2"/>
      <c r="D2" s="2"/>
    </row>
    <row r="3" customFormat="false" ht="15" hidden="false" customHeight="false" outlineLevel="0" collapsed="false">
      <c r="A3" s="2" t="s">
        <v>41</v>
      </c>
      <c r="B3" s="2" t="s">
        <v>42</v>
      </c>
      <c r="C3" s="2" t="s">
        <v>43</v>
      </c>
      <c r="D3" s="2" t="s">
        <v>44</v>
      </c>
    </row>
    <row r="4" customFormat="false" ht="15" hidden="false" customHeight="false" outlineLevel="0" collapsed="false">
      <c r="A4" s="2" t="s">
        <v>45</v>
      </c>
      <c r="B4" s="2" t="s">
        <v>46</v>
      </c>
      <c r="C4" s="2" t="s">
        <v>47</v>
      </c>
      <c r="D4" s="2" t="s">
        <v>42</v>
      </c>
    </row>
    <row r="5" customFormat="false" ht="28.35" hidden="false" customHeight="false" outlineLevel="0" collapsed="false">
      <c r="A5" s="2" t="s">
        <v>48</v>
      </c>
      <c r="B5" s="2" t="s">
        <v>49</v>
      </c>
      <c r="C5" s="2" t="s">
        <v>43</v>
      </c>
      <c r="D5" s="2" t="s">
        <v>50</v>
      </c>
    </row>
    <row r="6" customFormat="false" ht="15" hidden="false" customHeight="false" outlineLevel="0" collapsed="false">
      <c r="A6" s="2" t="s">
        <v>51</v>
      </c>
      <c r="B6" s="2" t="s">
        <v>52</v>
      </c>
      <c r="C6" s="2" t="s">
        <v>43</v>
      </c>
      <c r="D6" s="2" t="s">
        <v>42</v>
      </c>
    </row>
    <row r="7" customFormat="false" ht="15" hidden="false" customHeight="false" outlineLevel="0" collapsed="false">
      <c r="A7" s="2" t="s">
        <v>53</v>
      </c>
      <c r="B7" s="2" t="s">
        <v>42</v>
      </c>
      <c r="C7" s="2" t="s">
        <v>54</v>
      </c>
      <c r="D7" s="2" t="s">
        <v>44</v>
      </c>
    </row>
    <row r="8" customFormat="false" ht="15" hidden="false" customHeight="false" outlineLevel="0" collapsed="false">
      <c r="A8" s="2" t="s">
        <v>55</v>
      </c>
      <c r="B8" s="2" t="s">
        <v>42</v>
      </c>
      <c r="C8" s="2" t="s">
        <v>43</v>
      </c>
      <c r="D8" s="2" t="s">
        <v>44</v>
      </c>
    </row>
    <row r="9" customFormat="false" ht="15" hidden="false" customHeight="false" outlineLevel="0" collapsed="false">
      <c r="A9" s="2" t="s">
        <v>56</v>
      </c>
      <c r="B9" s="2" t="s">
        <v>47</v>
      </c>
      <c r="C9" s="2" t="s">
        <v>54</v>
      </c>
      <c r="D9" s="2" t="s">
        <v>44</v>
      </c>
    </row>
    <row r="10" customFormat="false" ht="15" hidden="false" customHeight="false" outlineLevel="0" collapsed="false">
      <c r="A10" s="2" t="s">
        <v>57</v>
      </c>
      <c r="B10" s="2"/>
      <c r="C10" s="2" t="s">
        <v>42</v>
      </c>
      <c r="D10" s="2"/>
    </row>
    <row r="11" customFormat="false" ht="15" hidden="false" customHeight="false" outlineLevel="0" collapsed="false">
      <c r="A11" s="6" t="s">
        <v>58</v>
      </c>
      <c r="B11" s="2"/>
      <c r="C11" s="2"/>
      <c r="D11" s="2"/>
    </row>
    <row r="12" customFormat="false" ht="28.35" hidden="false" customHeight="false" outlineLevel="0" collapsed="false">
      <c r="A12" s="2" t="s">
        <v>59</v>
      </c>
      <c r="B12" s="2" t="s">
        <v>49</v>
      </c>
      <c r="C12" s="2" t="s">
        <v>60</v>
      </c>
      <c r="D12" s="2" t="s">
        <v>44</v>
      </c>
    </row>
    <row r="13" customFormat="false" ht="28.35" hidden="false" customHeight="false" outlineLevel="0" collapsed="false">
      <c r="A13" s="2" t="s">
        <v>61</v>
      </c>
      <c r="B13" s="2" t="s">
        <v>47</v>
      </c>
      <c r="C13" s="2" t="s">
        <v>62</v>
      </c>
      <c r="D13" s="2" t="s">
        <v>44</v>
      </c>
    </row>
    <row r="14" customFormat="false" ht="15" hidden="false" customHeight="false" outlineLevel="0" collapsed="false">
      <c r="A14" s="6" t="s">
        <v>63</v>
      </c>
      <c r="B14" s="2"/>
      <c r="C14" s="2"/>
      <c r="D14" s="2"/>
    </row>
    <row r="15" customFormat="false" ht="15" hidden="false" customHeight="false" outlineLevel="0" collapsed="false">
      <c r="A15" s="2" t="s">
        <v>64</v>
      </c>
      <c r="B15" s="2" t="s">
        <v>65</v>
      </c>
      <c r="C15" s="2" t="s">
        <v>47</v>
      </c>
      <c r="D15" s="2" t="s">
        <v>66</v>
      </c>
    </row>
    <row r="16" customFormat="false" ht="15" hidden="false" customHeight="false" outlineLevel="0" collapsed="false">
      <c r="A16" s="2" t="s">
        <v>67</v>
      </c>
      <c r="B16" s="2" t="s">
        <v>65</v>
      </c>
      <c r="C16" s="2" t="s">
        <v>47</v>
      </c>
      <c r="D16" s="2" t="s">
        <v>42</v>
      </c>
    </row>
    <row r="17" customFormat="false" ht="28.35" hidden="false" customHeight="false" outlineLevel="0" collapsed="false">
      <c r="A17" s="2" t="s">
        <v>68</v>
      </c>
      <c r="B17" s="2" t="s">
        <v>65</v>
      </c>
      <c r="C17" s="2" t="s">
        <v>43</v>
      </c>
      <c r="D17" s="2" t="s">
        <v>50</v>
      </c>
    </row>
    <row r="18" customFormat="false" ht="15" hidden="false" customHeight="false" outlineLevel="0" collapsed="false">
      <c r="A18" s="2" t="s">
        <v>69</v>
      </c>
      <c r="B18" s="2" t="s">
        <v>47</v>
      </c>
      <c r="C18" s="2" t="s">
        <v>43</v>
      </c>
      <c r="D18" s="2" t="s">
        <v>65</v>
      </c>
    </row>
    <row r="19" customFormat="false" ht="15" hidden="false" customHeight="false" outlineLevel="0" collapsed="false">
      <c r="A19" s="2" t="s">
        <v>70</v>
      </c>
      <c r="B19" s="2" t="s">
        <v>65</v>
      </c>
      <c r="C19" s="2" t="s">
        <v>43</v>
      </c>
      <c r="D19" s="2" t="s">
        <v>42</v>
      </c>
    </row>
    <row r="20" customFormat="false" ht="28.35" hidden="false" customHeight="false" outlineLevel="0" collapsed="false">
      <c r="A20" s="2" t="s">
        <v>71</v>
      </c>
      <c r="B20" s="2" t="s">
        <v>65</v>
      </c>
      <c r="C20" s="2" t="s">
        <v>54</v>
      </c>
      <c r="D20" s="2" t="s">
        <v>72</v>
      </c>
    </row>
    <row r="21" customFormat="false" ht="15" hidden="false" customHeight="false" outlineLevel="0" collapsed="false">
      <c r="A21" s="2" t="s">
        <v>73</v>
      </c>
      <c r="B21" s="2" t="s">
        <v>47</v>
      </c>
      <c r="C21" s="2" t="s">
        <v>54</v>
      </c>
      <c r="D21" s="2" t="s">
        <v>65</v>
      </c>
    </row>
    <row r="22" customFormat="false" ht="15" hidden="false" customHeight="false" outlineLevel="0" collapsed="false">
      <c r="A22" s="2" t="s">
        <v>74</v>
      </c>
      <c r="B22" s="2" t="s">
        <v>47</v>
      </c>
      <c r="C22" s="2" t="s">
        <v>54</v>
      </c>
      <c r="D22" s="2" t="s">
        <v>65</v>
      </c>
    </row>
    <row r="23" customFormat="false" ht="15" hidden="false" customHeight="false" outlineLevel="0" collapsed="false">
      <c r="A23" s="2" t="s">
        <v>75</v>
      </c>
      <c r="B23" s="2" t="s">
        <v>65</v>
      </c>
      <c r="C23" s="2" t="s">
        <v>54</v>
      </c>
      <c r="D23" s="2" t="s">
        <v>42</v>
      </c>
    </row>
    <row r="24" customFormat="false" ht="28.35" hidden="false" customHeight="false" outlineLevel="0" collapsed="false">
      <c r="A24" s="2" t="s">
        <v>76</v>
      </c>
      <c r="B24" s="2" t="s">
        <v>65</v>
      </c>
      <c r="C24" s="2" t="s">
        <v>77</v>
      </c>
      <c r="D24" s="2"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8" min="3" style="0" width="16"/>
    <col collapsed="false" customWidth="true" hidden="false" outlineLevel="0" max="9" min="9" style="0" width="10"/>
    <col collapsed="false" customWidth="true" hidden="false" outlineLevel="0" max="17" min="10" style="0" width="16"/>
  </cols>
  <sheetData>
    <row r="1" customFormat="false" ht="35.05" hidden="false" customHeight="false" outlineLevel="0" collapsed="false">
      <c r="B1" s="7" t="s">
        <v>78</v>
      </c>
      <c r="C1" s="8" t="s">
        <v>79</v>
      </c>
    </row>
    <row r="2" customFormat="false" ht="15" hidden="false" customHeight="false" outlineLevel="0" collapsed="false">
      <c r="B2" s="7" t="s">
        <v>1</v>
      </c>
      <c r="C2" s="8" t="s">
        <v>5</v>
      </c>
    </row>
    <row r="3" customFormat="false" ht="23.85" hidden="false" customHeight="false" outlineLevel="0" collapsed="false">
      <c r="B3" s="7" t="s">
        <v>80</v>
      </c>
      <c r="C3" s="8" t="s">
        <v>81</v>
      </c>
    </row>
    <row r="4" customFormat="false" ht="46.25" hidden="false" customHeight="false" outlineLevel="0" collapsed="false">
      <c r="B4" s="7" t="s">
        <v>82</v>
      </c>
      <c r="C4" s="8" t="s">
        <v>83</v>
      </c>
    </row>
    <row r="6" customFormat="false" ht="23.85" hidden="false" customHeight="false" outlineLevel="0" collapsed="false">
      <c r="B6" s="7" t="s">
        <v>84</v>
      </c>
    </row>
    <row r="7" customFormat="false" ht="15" hidden="false" customHeight="false" outlineLevel="0" collapsed="false">
      <c r="B7" s="8" t="s">
        <v>85</v>
      </c>
      <c r="D7" s="8" t="s">
        <v>86</v>
      </c>
    </row>
    <row r="8" customFormat="false" ht="23.85" hidden="false" customHeight="false" outlineLevel="0" collapsed="false">
      <c r="B8" s="8" t="s">
        <v>87</v>
      </c>
    </row>
    <row r="9" customFormat="false" ht="15" hidden="false" customHeight="false" outlineLevel="0" collapsed="false">
      <c r="B9" s="8" t="s">
        <v>88</v>
      </c>
    </row>
    <row r="11" customFormat="false" ht="135.8" hidden="false" customHeight="false" outlineLevel="0" collapsed="false">
      <c r="A11" s="7" t="s">
        <v>89</v>
      </c>
      <c r="B11" s="7" t="s">
        <v>90</v>
      </c>
      <c r="C11" s="8" t="s">
        <v>91</v>
      </c>
    </row>
    <row r="13" customFormat="false" ht="57.45" hidden="false" customHeight="false" outlineLevel="0" collapsed="false">
      <c r="A13" s="7" t="s">
        <v>92</v>
      </c>
      <c r="B13" s="7" t="s">
        <v>93</v>
      </c>
      <c r="C13" s="8" t="s">
        <v>94</v>
      </c>
    </row>
    <row r="14" customFormat="false" ht="23.85" hidden="false" customHeight="false" outlineLevel="0" collapsed="false">
      <c r="B14" s="7" t="s">
        <v>95</v>
      </c>
      <c r="C14" s="7" t="s">
        <v>96</v>
      </c>
      <c r="E14" s="7" t="s">
        <v>97</v>
      </c>
    </row>
    <row r="15" customFormat="false" ht="57.45" hidden="false" customHeight="false" outlineLevel="0" collapsed="false">
      <c r="C15" s="7" t="s">
        <v>98</v>
      </c>
      <c r="D15" s="7" t="s">
        <v>99</v>
      </c>
      <c r="E15" s="7" t="s">
        <v>100</v>
      </c>
    </row>
    <row r="16" customFormat="false" ht="46.25" hidden="false" customHeight="false" outlineLevel="0" collapsed="false">
      <c r="B16" s="8" t="s">
        <v>101</v>
      </c>
      <c r="C16" s="8" t="s">
        <v>86</v>
      </c>
      <c r="D16" s="8" t="s">
        <v>86</v>
      </c>
      <c r="E16" s="8" t="s">
        <v>86</v>
      </c>
    </row>
    <row r="17" customFormat="false" ht="55.2" hidden="false" customHeight="false" outlineLevel="0" collapsed="false">
      <c r="B17" s="9" t="s">
        <v>102</v>
      </c>
      <c r="C17" s="8" t="s">
        <v>103</v>
      </c>
      <c r="D17" s="8" t="s">
        <v>86</v>
      </c>
      <c r="E17" s="9" t="s">
        <v>103</v>
      </c>
    </row>
    <row r="18" customFormat="false" ht="68.65" hidden="false" customHeight="false" outlineLevel="0" collapsed="false">
      <c r="B18" s="8" t="s">
        <v>104</v>
      </c>
      <c r="C18" s="8" t="s">
        <v>86</v>
      </c>
      <c r="D18" s="8" t="s">
        <v>86</v>
      </c>
      <c r="E18" s="8" t="s">
        <v>86</v>
      </c>
    </row>
    <row r="19" customFormat="false" ht="15" hidden="false" customHeight="false" outlineLevel="0" collapsed="false">
      <c r="B19" s="10" t="s">
        <v>105</v>
      </c>
    </row>
    <row r="21" customFormat="false" ht="68.65" hidden="false" customHeight="false" outlineLevel="0" collapsed="false">
      <c r="A21" s="7" t="s">
        <v>19</v>
      </c>
      <c r="B21" s="7" t="s">
        <v>106</v>
      </c>
      <c r="C21" s="8" t="s">
        <v>107</v>
      </c>
    </row>
    <row r="22" customFormat="false" ht="15" hidden="false" customHeight="false" outlineLevel="0" collapsed="false">
      <c r="B22" s="7" t="s">
        <v>108</v>
      </c>
      <c r="C22" s="7" t="s">
        <v>109</v>
      </c>
    </row>
    <row r="23" customFormat="false" ht="35.05" hidden="false" customHeight="false" outlineLevel="0" collapsed="false">
      <c r="C23" s="7" t="s">
        <v>110</v>
      </c>
      <c r="D23" s="7" t="s">
        <v>111</v>
      </c>
      <c r="E23" s="7" t="s">
        <v>112</v>
      </c>
      <c r="F23" s="7" t="s">
        <v>113</v>
      </c>
      <c r="G23" s="7" t="s">
        <v>114</v>
      </c>
      <c r="H23" s="7" t="s">
        <v>115</v>
      </c>
    </row>
    <row r="24" customFormat="false" ht="46.25" hidden="false" customHeight="false" outlineLevel="0" collapsed="false">
      <c r="B24" s="8" t="s">
        <v>101</v>
      </c>
      <c r="C24" s="8" t="n">
        <v>2</v>
      </c>
      <c r="D24" s="8" t="n">
        <v>3</v>
      </c>
      <c r="E24" s="8" t="n">
        <v>4</v>
      </c>
      <c r="F24" s="8" t="n">
        <v>2</v>
      </c>
      <c r="G24" s="8" t="n">
        <v>5</v>
      </c>
      <c r="H24" s="8" t="n">
        <v>4</v>
      </c>
    </row>
    <row r="25" customFormat="false" ht="68.65" hidden="false" customHeight="false" outlineLevel="0" collapsed="false">
      <c r="B25" s="8" t="s">
        <v>104</v>
      </c>
      <c r="C25" s="8" t="n">
        <v>4</v>
      </c>
      <c r="D25" s="8" t="n">
        <v>5</v>
      </c>
      <c r="E25" s="8" t="n">
        <v>3</v>
      </c>
      <c r="F25" s="8" t="n">
        <v>4</v>
      </c>
      <c r="G25" s="8" t="n">
        <v>4</v>
      </c>
      <c r="H25" s="8" t="n">
        <v>4</v>
      </c>
    </row>
    <row r="26" customFormat="false" ht="15" hidden="false" customHeight="false" outlineLevel="0" collapsed="false">
      <c r="B26" s="8" t="s">
        <v>116</v>
      </c>
      <c r="C26" s="8" t="s">
        <v>117</v>
      </c>
      <c r="D26" s="8" t="s">
        <v>117</v>
      </c>
      <c r="E26" s="8" t="s">
        <v>117</v>
      </c>
      <c r="F26" s="8" t="s">
        <v>117</v>
      </c>
      <c r="G26" s="8" t="s">
        <v>117</v>
      </c>
      <c r="H26" s="8" t="s">
        <v>117</v>
      </c>
    </row>
    <row r="27" customFormat="false" ht="15" hidden="false" customHeight="false" outlineLevel="0" collapsed="false">
      <c r="B27" s="8" t="s">
        <v>116</v>
      </c>
      <c r="C27" s="8" t="s">
        <v>117</v>
      </c>
      <c r="D27" s="8" t="s">
        <v>117</v>
      </c>
      <c r="E27" s="8" t="s">
        <v>117</v>
      </c>
      <c r="F27" s="8" t="s">
        <v>117</v>
      </c>
      <c r="G27" s="8" t="s">
        <v>117</v>
      </c>
      <c r="H27" s="8" t="s">
        <v>117</v>
      </c>
    </row>
    <row r="28" customFormat="false" ht="15" hidden="false" customHeight="false" outlineLevel="0" collapsed="false">
      <c r="B28" s="8" t="s">
        <v>116</v>
      </c>
      <c r="C28" s="8" t="s">
        <v>117</v>
      </c>
      <c r="D28" s="8" t="s">
        <v>117</v>
      </c>
      <c r="E28" s="8" t="s">
        <v>117</v>
      </c>
      <c r="F28" s="8" t="s">
        <v>117</v>
      </c>
      <c r="G28" s="8" t="s">
        <v>117</v>
      </c>
      <c r="H28" s="8" t="s">
        <v>117</v>
      </c>
    </row>
    <row r="29" customFormat="false" ht="15" hidden="false" customHeight="false" outlineLevel="0" collapsed="false">
      <c r="B29" s="8" t="s">
        <v>116</v>
      </c>
      <c r="C29" s="8" t="s">
        <v>117</v>
      </c>
      <c r="D29" s="8" t="s">
        <v>117</v>
      </c>
      <c r="E29" s="8" t="s">
        <v>117</v>
      </c>
      <c r="F29" s="8" t="s">
        <v>117</v>
      </c>
      <c r="G29" s="8" t="s">
        <v>117</v>
      </c>
      <c r="H29" s="8" t="s">
        <v>117</v>
      </c>
    </row>
    <row r="30" customFormat="false" ht="15" hidden="false" customHeight="false" outlineLevel="0" collapsed="false">
      <c r="B30" s="8" t="s">
        <v>116</v>
      </c>
      <c r="C30" s="8" t="s">
        <v>117</v>
      </c>
      <c r="D30" s="8" t="s">
        <v>117</v>
      </c>
      <c r="E30" s="8" t="s">
        <v>117</v>
      </c>
      <c r="F30" s="8" t="s">
        <v>117</v>
      </c>
      <c r="G30" s="8" t="s">
        <v>117</v>
      </c>
      <c r="H30" s="8" t="s">
        <v>117</v>
      </c>
    </row>
    <row r="31" customFormat="false" ht="15" hidden="false" customHeight="false" outlineLevel="0" collapsed="false">
      <c r="B31" s="7" t="s">
        <v>118</v>
      </c>
      <c r="C31" s="8" t="n">
        <v>7</v>
      </c>
      <c r="D31" s="8" t="n">
        <v>8</v>
      </c>
      <c r="E31" s="8" t="n">
        <v>5</v>
      </c>
      <c r="F31" s="8" t="n">
        <v>7</v>
      </c>
      <c r="G31" s="8" t="n">
        <v>8</v>
      </c>
      <c r="H31" s="8" t="n">
        <v>6</v>
      </c>
    </row>
    <row r="32" customFormat="false" ht="15" hidden="false" customHeight="false" outlineLevel="0" collapsed="false">
      <c r="B32" s="10" t="s">
        <v>105</v>
      </c>
    </row>
    <row r="34" customFormat="false" ht="15" hidden="false" customHeight="false" outlineLevel="0" collapsed="false">
      <c r="A34" s="7" t="s">
        <v>26</v>
      </c>
      <c r="B34" s="7" t="s">
        <v>119</v>
      </c>
    </row>
    <row r="35" customFormat="false" ht="68.65" hidden="false" customHeight="false" outlineLevel="0" collapsed="false">
      <c r="B35" s="7" t="s">
        <v>120</v>
      </c>
      <c r="C35" s="8" t="s">
        <v>121</v>
      </c>
      <c r="J35" s="8" t="s">
        <v>122</v>
      </c>
    </row>
    <row r="36" customFormat="false" ht="35.05" hidden="false" customHeight="false" outlineLevel="0" collapsed="false">
      <c r="C36" s="8" t="str">
        <f aca="false">C23</f>
        <v>Consistency with Existing Reports</v>
      </c>
      <c r="D36" s="8" t="str">
        <f aca="false">D23</f>
        <v>Department Acceptance</v>
      </c>
      <c r="E36" s="8" t="str">
        <f aca="false">E23</f>
        <v>Development Effort</v>
      </c>
      <c r="F36" s="8" t="str">
        <f aca="false">F23</f>
        <v>Data Comparability</v>
      </c>
      <c r="G36" s="8" t="str">
        <f aca="false">G23</f>
        <v>Flexibility for PM-Poshan-Specific Needs</v>
      </c>
      <c r="H36" s="8" t="str">
        <f aca="false">H23</f>
        <v>Risk of Confusion</v>
      </c>
      <c r="I36" s="7" t="s">
        <v>123</v>
      </c>
      <c r="J36" s="7" t="s">
        <v>124</v>
      </c>
      <c r="K36" s="7" t="s">
        <v>125</v>
      </c>
      <c r="L36" s="7" t="s">
        <v>126</v>
      </c>
      <c r="M36" s="7" t="s">
        <v>127</v>
      </c>
      <c r="N36" s="7" t="s">
        <v>128</v>
      </c>
      <c r="O36" s="7" t="s">
        <v>129</v>
      </c>
      <c r="P36" s="7" t="s">
        <v>130</v>
      </c>
      <c r="Q36" s="7" t="s">
        <v>131</v>
      </c>
    </row>
    <row r="37" customFormat="false" ht="46.25" hidden="false" customHeight="false" outlineLevel="0" collapsed="false">
      <c r="B37" s="8" t="str">
        <f aca="false">B24</f>
        <v>Fully independent bespoke PM Poshan form (no reference to MGNREGA fields)</v>
      </c>
      <c r="C37" s="8" t="n">
        <f aca="false">IF(C24="&lt;grade&gt;","tbd",C$31*C24)</f>
        <v>14</v>
      </c>
      <c r="D37" s="8" t="n">
        <f aca="false">IF(D24="&lt;grade&gt;","tbd",D$31*D24)</f>
        <v>24</v>
      </c>
      <c r="E37" s="8" t="n">
        <f aca="false">IF(E24="&lt;grade&gt;","tbd",E$31*E24)</f>
        <v>20</v>
      </c>
      <c r="F37" s="8" t="n">
        <f aca="false">IF(F24="&lt;grade&gt;","tbd",F$31*F24)</f>
        <v>14</v>
      </c>
      <c r="G37" s="8" t="n">
        <f aca="false">IF(G24="&lt;grade&gt;","tbd",G$31*G24)</f>
        <v>40</v>
      </c>
      <c r="H37" s="8" t="n">
        <f aca="false">IF(H24="&lt;grade&gt;","tbd",H$31*H24)</f>
        <v>24</v>
      </c>
      <c r="I37" s="8" t="n">
        <f aca="false">SUM(C37:H37)</f>
        <v>136</v>
      </c>
      <c r="J37" s="8"/>
      <c r="K37" s="8"/>
      <c r="L37" s="8"/>
      <c r="M37" s="8"/>
    </row>
    <row r="38" customFormat="false" ht="382.05" hidden="false" customHeight="false" outlineLevel="0" collapsed="false">
      <c r="B38" s="8" t="str">
        <f aca="false">B25</f>
        <v>PM Poshan form with select overlapping fields aligned to MGNREGA format (e.g. built-area/sq.ft. convention), rest bespoke</v>
      </c>
      <c r="C38" s="8" t="n">
        <f aca="false">IF(C25="&lt;grade&gt;","tbd",C$31*C25)</f>
        <v>28</v>
      </c>
      <c r="D38" s="8" t="n">
        <f aca="false">IF(D25="&lt;grade&gt;","tbd",D$31*D25)</f>
        <v>40</v>
      </c>
      <c r="E38" s="8" t="n">
        <f aca="false">IF(E25="&lt;grade&gt;","tbd",E$31*E25)</f>
        <v>15</v>
      </c>
      <c r="F38" s="8" t="n">
        <f aca="false">IF(F25="&lt;grade&gt;","tbd",F$31*F25)</f>
        <v>28</v>
      </c>
      <c r="G38" s="8" t="n">
        <f aca="false">IF(G25="&lt;grade&gt;","tbd",G$31*G25)</f>
        <v>32</v>
      </c>
      <c r="H38" s="8" t="n">
        <f aca="false">IF(H25="&lt;grade&gt;","tbd",H$31*H25)</f>
        <v>24</v>
      </c>
      <c r="I38" s="8" t="n">
        <f aca="false">SUM(C38:H38)</f>
        <v>167</v>
      </c>
      <c r="J38" s="8" t="s">
        <v>103</v>
      </c>
      <c r="K38" s="8"/>
      <c r="L38" s="8"/>
      <c r="M38" s="8"/>
      <c r="O38" s="11" t="s">
        <v>86</v>
      </c>
      <c r="P38" s="8" t="s">
        <v>86</v>
      </c>
      <c r="Q38" s="8" t="s">
        <v>132</v>
      </c>
    </row>
    <row r="39" customFormat="false" ht="15" hidden="false" customHeight="false" outlineLevel="0" collapsed="false">
      <c r="B39" s="8" t="s">
        <v>116</v>
      </c>
      <c r="C39" s="8" t="s">
        <v>133</v>
      </c>
      <c r="D39" s="8" t="s">
        <v>133</v>
      </c>
      <c r="E39" s="8" t="s">
        <v>133</v>
      </c>
      <c r="F39" s="8" t="s">
        <v>133</v>
      </c>
      <c r="G39" s="8" t="s">
        <v>133</v>
      </c>
      <c r="H39" s="8" t="s">
        <v>133</v>
      </c>
      <c r="I39" s="8" t="n">
        <v>0</v>
      </c>
    </row>
    <row r="40" customFormat="false" ht="15" hidden="false" customHeight="false" outlineLevel="0" collapsed="false">
      <c r="B40" s="8" t="s">
        <v>116</v>
      </c>
      <c r="C40" s="8" t="s">
        <v>133</v>
      </c>
      <c r="D40" s="8" t="s">
        <v>133</v>
      </c>
      <c r="E40" s="8" t="s">
        <v>133</v>
      </c>
      <c r="F40" s="8" t="s">
        <v>133</v>
      </c>
      <c r="G40" s="8" t="s">
        <v>133</v>
      </c>
      <c r="H40" s="8" t="s">
        <v>133</v>
      </c>
      <c r="I40" s="8" t="n">
        <v>0</v>
      </c>
    </row>
    <row r="41" customFormat="false" ht="15" hidden="false" customHeight="false" outlineLevel="0" collapsed="false">
      <c r="B41" s="8" t="s">
        <v>116</v>
      </c>
      <c r="C41" s="8" t="s">
        <v>133</v>
      </c>
      <c r="D41" s="8" t="s">
        <v>133</v>
      </c>
      <c r="E41" s="8" t="s">
        <v>133</v>
      </c>
      <c r="F41" s="8" t="s">
        <v>133</v>
      </c>
      <c r="G41" s="8" t="s">
        <v>133</v>
      </c>
      <c r="H41" s="8" t="s">
        <v>133</v>
      </c>
      <c r="I41" s="8" t="n">
        <v>0</v>
      </c>
    </row>
    <row r="42" customFormat="false" ht="15" hidden="false" customHeight="false" outlineLevel="0" collapsed="false">
      <c r="B42" s="8" t="s">
        <v>116</v>
      </c>
      <c r="C42" s="8" t="s">
        <v>133</v>
      </c>
      <c r="D42" s="8" t="s">
        <v>133</v>
      </c>
      <c r="E42" s="8" t="s">
        <v>133</v>
      </c>
      <c r="F42" s="8" t="s">
        <v>133</v>
      </c>
      <c r="G42" s="8" t="s">
        <v>133</v>
      </c>
      <c r="H42" s="8" t="s">
        <v>133</v>
      </c>
      <c r="I42" s="8" t="n">
        <v>0</v>
      </c>
    </row>
    <row r="43" customFormat="false" ht="15" hidden="false" customHeight="false" outlineLevel="0" collapsed="false">
      <c r="B43" s="8" t="s">
        <v>116</v>
      </c>
      <c r="C43" s="8" t="s">
        <v>133</v>
      </c>
      <c r="D43" s="8" t="s">
        <v>133</v>
      </c>
      <c r="E43" s="8" t="s">
        <v>133</v>
      </c>
      <c r="F43" s="8" t="s">
        <v>133</v>
      </c>
      <c r="G43" s="8" t="s">
        <v>133</v>
      </c>
      <c r="H43" s="8" t="s">
        <v>133</v>
      </c>
      <c r="I43" s="8" t="n">
        <v>0</v>
      </c>
    </row>
    <row r="45" customFormat="false" ht="15" hidden="false" customHeight="false" outlineLevel="0" collapsed="false">
      <c r="B45" s="7" t="s">
        <v>134</v>
      </c>
    </row>
    <row r="46" customFormat="false" ht="113.4" hidden="false" customHeight="false" outlineLevel="0" collapsed="false">
      <c r="C46" s="8" t="s">
        <v>135</v>
      </c>
    </row>
    <row r="47" customFormat="false" ht="135.8" hidden="false" customHeight="false" outlineLevel="0" collapsed="false">
      <c r="C47" s="8" t="s">
        <v>136</v>
      </c>
    </row>
    <row r="48" customFormat="false" ht="113.4" hidden="false" customHeight="false" outlineLevel="0" collapsed="false">
      <c r="C48" s="8" t="s">
        <v>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2026-08-27T05:23:19Z</dcterms:created>
  <dc:creator>openpyxl</dc:creator>
  <dc:description/>
  <dc:language>en-US</dc:language>
  <cp:lastModifiedBy/>
  <dcterms:modified xsi:type="dcterms:W3CDTF">2026-08-27T05:23:19Z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