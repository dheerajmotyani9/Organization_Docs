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 sheetId="1" state="visible" r:id="rId3"/>
    <sheet name="Instructions" sheetId="2" state="visible" r:id="rId4"/>
    <sheet name="Areas that need DAR" sheetId="3" state="visible" r:id="rId5"/>
    <sheet name="DAR - Form Standardiza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<sst xmlns="http://schemas.openxmlformats.org/spreadsheetml/2006/main" count="285" uniqueCount="141">
  <si>
    <t xml:space="preserve">Version</t>
  </si>
  <si>
    <t xml:space="preserve">Date</t>
  </si>
  <si>
    <t xml:space="preserve">Description</t>
  </si>
  <si>
    <t xml:space="preserve">Prepared by</t>
  </si>
  <si>
    <t xml:space="preserve">Reviewed by</t>
  </si>
  <si>
    <t xml:space="preserve">24-Aug-2026</t>
  </si>
  <si>
    <t xml:space="preserve">DAR for the CM Jan Vishwas Abhiyaan inspection-form strategy across all 55 Madhya Pradesh districts — common statewide form set vs. district-customized forms.</t>
  </si>
  <si>
    <t xml:space="preserve">Dheeraj Motiyani</t>
  </si>
  <si>
    <t xml:space="preserve">Rakesh Dubey (GIS Head)</t>
  </si>
  <si>
    <t xml:space="preserve">Instructions:</t>
  </si>
  <si>
    <t xml:space="preserve">Step #1:</t>
  </si>
  <si>
    <t xml:space="preserve">Define the problem statement or decision to be made.</t>
  </si>
  <si>
    <t xml:space="preserve">Step #2:</t>
  </si>
  <si>
    <t xml:space="preserve">Identify a broad range of possible alternatives that might solve the problem, without consideration to whether they are a valid solution. Then, based on any “must have” criteria, reduce the alternatives to those that would solve the problem. If there are no “must have” criteria skip to Step #3.</t>
  </si>
  <si>
    <t xml:space="preserve">Determine up to 10 possible alternative solutions (e.g. via brainstorming) and enter them under the heading “Alternatives”.</t>
  </si>
  <si>
    <t xml:space="preserve">Identify any “must have” criteria and enter them in the row beneath the heading “Must Have Criteria”.</t>
  </si>
  <si>
    <t xml:space="preserve">For each alternative answer “Yes” or “No” for each ”must have” criteria.</t>
  </si>
  <si>
    <t xml:space="preserve">In column titled “Valid?” enter “Yes” for each alternative that meets every must have criteria. Enter “No” for each alternative that does not meet any of the “must have” criteria.</t>
  </si>
  <si>
    <t xml:space="preserve">Document any Assumptions made during the identification of Valid Alternatives at the bottom of the template.</t>
  </si>
  <si>
    <t xml:space="preserve">Step #3</t>
  </si>
  <si>
    <t xml:space="preserve">For each alternative that meets all the must have criteria, compare them against each other, based upon evaluation criteria, and determine the most appropriate alternative.</t>
  </si>
  <si>
    <t xml:space="preserve">Enter each Valid Alternative (from Step #2) beneath the heading “Valid Alternatives”.</t>
  </si>
  <si>
    <t xml:space="preserve">Identify up to six evaluation criteria that will be used to differentiate between the Valid Alternatives and enter them below the heading Evaluation Criteria. These should be able to be “graded” on a numeric scale (e.g. 1-5).</t>
  </si>
  <si>
    <t xml:space="preserve">For each Valid Alternative grade them against the evaluation criteria, using the agreed upon grading scale (e.g. 1-5).</t>
  </si>
  <si>
    <t xml:space="preserve">Determine if any of the evaluation criteria should be weighted higher/lower than the others, and enter the corresponding weight in the row labeled Weights.</t>
  </si>
  <si>
    <t xml:space="preserve">Document any Assumptions made during the grading of the Valid Alternatives at the bottom of the template.</t>
  </si>
  <si>
    <t xml:space="preserve">Step #4</t>
  </si>
  <si>
    <t xml:space="preserve">Compare the results of the weighted grading and determine the most appropriate alternative. If more than one of the top alternatives is very close together in Total score, conduct a Risk Analysis.</t>
  </si>
  <si>
    <t xml:space="preserve">Each Valid Alternative and its weighted grade will be automatically transferred from the Valid Alternative Decision Input Table to the Decision Analysis Table.</t>
  </si>
  <si>
    <t xml:space="preserve">Compare the Total scores for each alternative.</t>
  </si>
  <si>
    <t xml:space="preserve">Use Risk Analysis, if necessary, to differentiate between any closely scored top alternatives.</t>
  </si>
  <si>
    <t xml:space="preserve">Identify the Proposed Selection by entering “Yes” in the appropriate row.</t>
  </si>
  <si>
    <t xml:space="preserve">Indicate if the decision was ratified (“Yes”/”No” or enter a date) when applicable.</t>
  </si>
  <si>
    <t xml:space="preserve">Enter any Comments about the decision selection.</t>
  </si>
  <si>
    <t xml:space="preserve">Document any Assumptions made during Decision Analysis.</t>
  </si>
  <si>
    <t xml:space="preserve">Store the completed template in the Records repository.</t>
  </si>
  <si>
    <t xml:space="preserve">Areas that need DAR</t>
  </si>
  <si>
    <t xml:space="preserve">Decision Owner</t>
  </si>
  <si>
    <t xml:space="preserve">Decision Participant</t>
  </si>
  <si>
    <t xml:space="preserve">Decision Approver</t>
  </si>
  <si>
    <t xml:space="preserve">Senior Management</t>
  </si>
  <si>
    <t xml:space="preserve">Modification of organizational processes</t>
  </si>
  <si>
    <t xml:space="preserve">Department Manager</t>
  </si>
  <si>
    <t xml:space="preserve">SME / Middle Managers</t>
  </si>
  <si>
    <t xml:space="preserve">Top Management</t>
  </si>
  <si>
    <t xml:space="preserve">Cost benefit analysis of proposal</t>
  </si>
  <si>
    <t xml:space="preserve">Proposal Manager</t>
  </si>
  <si>
    <t xml:space="preserve">SME</t>
  </si>
  <si>
    <t xml:space="preserve">Investment in new industry/product for future market</t>
  </si>
  <si>
    <t xml:space="preserve">Business Development Manager</t>
  </si>
  <si>
    <t xml:space="preserve">Top Management / Department Manager</t>
  </si>
  <si>
    <t xml:space="preserve">Decision for outsourcing</t>
  </si>
  <si>
    <t xml:space="preserve">Program/Project Manager</t>
  </si>
  <si>
    <t xml:space="preserve">Project prioritization</t>
  </si>
  <si>
    <t xml:space="preserve">Middle Managers</t>
  </si>
  <si>
    <t xml:space="preserve">Organization restructuring decision</t>
  </si>
  <si>
    <t xml:space="preserve">Selection of organizational tools</t>
  </si>
  <si>
    <t xml:space="preserve">Introduce new technology</t>
  </si>
  <si>
    <t xml:space="preserve">Process Improvement</t>
  </si>
  <si>
    <t xml:space="preserve">Process improvement proposal and its priorities</t>
  </si>
  <si>
    <t xml:space="preserve">SME / Department Manager</t>
  </si>
  <si>
    <t xml:space="preserve">Piloting decision for tools and processes</t>
  </si>
  <si>
    <t xml:space="preserve">Department Manager / Middle Managers</t>
  </si>
  <si>
    <t xml:space="preserve">Program/project management</t>
  </si>
  <si>
    <t xml:space="preserve">Select project management methodology</t>
  </si>
  <si>
    <t xml:space="preserve">Project/Program manager</t>
  </si>
  <si>
    <t xml:space="preserve">Section Manager</t>
  </si>
  <si>
    <t xml:space="preserve">Vendor/supplier selection</t>
  </si>
  <si>
    <t xml:space="preserve">Budget prioritization</t>
  </si>
  <si>
    <t xml:space="preserve">Tools/Infrastructure and Technology selection</t>
  </si>
  <si>
    <t xml:space="preserve">Resource allocation and optimization</t>
  </si>
  <si>
    <t xml:space="preserve">Risk and issue trade off</t>
  </si>
  <si>
    <t xml:space="preserve">Middle Managers / Department Manager</t>
  </si>
  <si>
    <t xml:space="preserve">Make/buy/reuse decisions</t>
  </si>
  <si>
    <t xml:space="preserve">Significant architectural changes</t>
  </si>
  <si>
    <t xml:space="preserve">Significant schedule slip</t>
  </si>
  <si>
    <t xml:space="preserve">Selection of third party solution providers</t>
  </si>
  <si>
    <t xml:space="preserve">SME / Section Manager</t>
  </si>
  <si>
    <t xml:space="preserve">Project Name</t>
  </si>
  <si>
    <t xml:space="preserve">District GIS Parakh — CM Jan Vishwas Abhiyaan Module</t>
  </si>
  <si>
    <t xml:space="preserve">Facilitator</t>
  </si>
  <si>
    <t xml:space="preserve">Dheeraj Motiyani (Senior BA)</t>
  </si>
  <si>
    <t xml:space="preserve">Participants</t>
  </si>
  <si>
    <t xml:space="preserve">MPSeDC GIS Team, District e-Governance Managers (multi-district)</t>
  </si>
  <si>
    <t xml:space="preserve">Evaluation Methods used: Tick if Yes</t>
  </si>
  <si>
    <t xml:space="preserve">Brainstorming</t>
  </si>
  <si>
    <t xml:space="preserve">Yes</t>
  </si>
  <si>
    <t xml:space="preserve">Nominal Group Technique</t>
  </si>
  <si>
    <t xml:space="preserve">Pareto Analysis</t>
  </si>
  <si>
    <t xml:space="preserve">Step #1</t>
  </si>
  <si>
    <t xml:space="preserve">Problem Statement:</t>
  </si>
  <si>
    <t xml:space="preserve">Selection of the inspection-form strategy for the Mukhyamantri Jan Vishwas Abhiyaan rollout across all 55 districts — how many form variants to maintain and at what level of standardisation</t>
  </si>
  <si>
    <t xml:space="preserve">Step #2</t>
  </si>
  <si>
    <t xml:space="preserve">Identify Valid Alternatives</t>
  </si>
  <si>
    <t xml:space="preserve">Skip this step if there are no “must have” criteria that a “Yes/No” answer can be applied to.</t>
  </si>
  <si>
    <t xml:space="preserve">Alternatives</t>
  </si>
  <si>
    <t xml:space="preserve">“Must Have” Criteria</t>
  </si>
  <si>
    <t xml:space="preserve">Valid?</t>
  </si>
  <si>
    <t xml:space="preserve">Deployable to all 55 districts within campaign window</t>
  </si>
  <si>
    <t xml:space="preserve">Central version control feasible</t>
  </si>
  <si>
    <t xml:space="preserve">Covers existing sector inspection needs</t>
  </si>
  <si>
    <t xml:space="preserve">meets all
"must have"
criteria</t>
  </si>
  <si>
    <t xml:space="preserve">Fully district-customized forms (each district designs its own)</t>
  </si>
  <si>
    <t xml:space="preserve">No</t>
  </si>
  <si>
    <t xml:space="preserve">One common statewide form set (15 sector-wise forms), no local customization</t>
  </si>
  <si>
    <t xml:space="preserve">Common statewide form set (15 sector forms) with limited, centrally-approved local field additions</t>
  </si>
  <si>
    <t xml:space="preserve">Blue = User Entered Values</t>
  </si>
  <si>
    <t xml:space="preserve">Valid Alternative Decision
Input Table</t>
  </si>
  <si>
    <t xml:space="preserve">Enter each valid alternative (from the table above) and grade them against each evaluation criteria.</t>
  </si>
  <si>
    <t xml:space="preserve">Valid Alternatives</t>
  </si>
  <si>
    <t xml:space="preserve">Evaluation Criteria</t>
  </si>
  <si>
    <t xml:space="preserve">Cross-District Comparability</t>
  </si>
  <si>
    <t xml:space="preserve">Rollout Speed (55 districts)</t>
  </si>
  <si>
    <t xml:space="preserve">Local Relevance/Flexibility</t>
  </si>
  <si>
    <t xml:space="preserve">Maintenance Effort</t>
  </si>
  <si>
    <t xml:space="preserve">Training Simplicity</t>
  </si>
  <si>
    <t xml:space="preserve">Cost</t>
  </si>
  <si>
    <t xml:space="preserve"> </t>
  </si>
  <si>
    <t xml:space="preserve">&lt;grade&gt;</t>
  </si>
  <si>
    <t xml:space="preserve">Weights:</t>
  </si>
  <si>
    <t xml:space="preserve">Decision Analysis</t>
  </si>
  <si>
    <t xml:space="preserve">Weighted
Results</t>
  </si>
  <si>
    <t xml:space="preserve">Alternatives, Factors, and Weighted Scoring appears below based upon the input provided above.</t>
  </si>
  <si>
    <t xml:space="preserve">Use Risk Analysis to differentiate between
any closely scored top alternatives.</t>
  </si>
  <si>
    <t xml:space="preserve">Total</t>
  </si>
  <si>
    <t xml:space="preserve">Risk Analysis Needed?</t>
  </si>
  <si>
    <t xml:space="preserve">Risk Description</t>
  </si>
  <si>
    <t xml:space="preserve">Impact (over 10)</t>
  </si>
  <si>
    <t xml:space="preserve">Probability (out of 10)</t>
  </si>
  <si>
    <t xml:space="preserve">Risk Factor</t>
  </si>
  <si>
    <t xml:space="preserve">Proposed Selection</t>
  </si>
  <si>
    <t xml:space="preserve">Ratified?</t>
  </si>
  <si>
    <t xml:space="preserve">Comments</t>
  </si>
  <si>
    <t xml:space="preserve">Uncontrolled local additions could erode cross-district comparability over time if not centrally governed</t>
  </si>
  <si>
    <t xml:space="preserve">Yes — implemented (15-form set distributed statewide)</t>
  </si>
  <si>
    <t xml:space="preserve">A common 15-form sector set (Zila Panchayat/BBGRAMJI &amp; schemes, Water Supply, School, Anganwadi, Health, Fair Price Shop, Petrol/Diesel Pump, LPG Dealer, Liquor Shop, Hostel/Ashram, Agri-Credit Cooperative, Dairy/Animal Husbandry, plus Ayush, Gaushala, and Fisheries added subsequently) was finalized and distributed to all districts, including Damoh, rather than letting each of the 55 districts design its own. Any district-specific field needs are raised as centrally-reviewed additions rather than independent local forms, preserving the ability to aggregate and compare compliance data statewide — the core purpose of the Jan Vishwas Abhiyaan review cycle.</t>
  </si>
  <si>
    <t xml:space="preserve">tbd</t>
  </si>
  <si>
    <t xml:space="preserve">Assumptions:</t>
  </si>
  <si>
    <t xml:space="preserve">The "fully district-customized" alternative was rejected primarily because it defeats the state-level comparability objective explicitly named in the Sagar Collectorate circular (fortnightly TL-meeting review of aggregate progress).</t>
  </si>
  <si>
    <t xml:space="preserve">The "one rigid statewide form, zero customization" alternative was rejected because several sector forms (e.g. Krishi Sakh Sahakari Samiti) already showed real inconsistencies (duplicate section headings, missing section numbers) that districts flagged during initial use — some capacity for centrally-governed correction/addition was judged necessary.</t>
  </si>
  <si>
    <t xml:space="preserve">This DAR reflects the form-standardization decision as evidenced by the actual distributed 15-form package (see "CM Jan Vishwas Abhiyaan – Inspection forms – State wide for all districts"), not a literally minuted original meeting.</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</si>
</sst>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
      <sz val="10"/>
      <name val="Cambria"/>
      <family val="0"/>
      <charset val="1"/>
    </font>
    <font>
      <b val="true"/>
      <i val="true"/>
      <sz val="11"/>
      <name val="Cambria"/>
      <family val="0"/>
      <charset val="1"/>
    </font>
    <font>
      <b val="true"/>
      <sz val="10"/>
      <color rgb="FF000000"/>
      <name val="Cambria"/>
      <family val="0"/>
      <charset val="1"/>
    </font>
    <font>
      <sz val="10"/>
      <color rgb="FF000000"/>
      <name val="Cambria"/>
      <family val="0"/>
      <charset val="1"/>
    </font>
    <font>
      <strike val="true"/>
      <sz val="11"/>
      <color rgb="FFFF0000"/>
      <name val="Cambria"/>
      <family val="0"/>
      <charset val="1"/>
    </font>
    <font>
      <i val="true"/>
      <sz val="10"/>
      <color rgb="FF000000"/>
      <name val="Cambria"/>
      <family val="0"/>
      <charset val="1"/>
    </font>
  </fonts>
  <fills count="5">
    <fill>
      <patternFill patternType="none"/>
    </fill>
    <fill>
      <patternFill patternType="gray125"/>
    </fill>
    <fill>
      <patternFill patternType="solid">
        <fgColor rgb="FF2E74B5"/>
        <bgColor rgb="FF0066CC"/>
      </patternFill>
    </fill>
    <fill>
      <patternFill patternType="solid">
        <fgColor rgb="FFDDEBF7"/>
        <bgColor rgb="FFCCFFFF"/>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2E74B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55"/>
    <col collapsed="false" customWidth="true" hidden="false" outlineLevel="0" max="5" min="4" style="0" width="22"/>
  </cols>
  <sheetData>
    <row r="1" customFormat="false" ht="15" hidden="false" customHeight="false" outlineLevel="0" collapsed="false">
      <c r="A1" s="1" t="s">
        <v>0</v>
      </c>
      <c r="B1" s="1" t="s">
        <v>1</v>
      </c>
      <c r="C1" s="1" t="s">
        <v>2</v>
      </c>
      <c r="D1" s="1" t="s">
        <v>3</v>
      </c>
      <c r="E1" s="1" t="s">
        <v>4</v>
      </c>
    </row>
    <row r="2" customFormat="false" ht="39.75" hidden="false" customHeight="true" outlineLevel="0" collapsed="false">
      <c r="A2" s="2" t="n">
        <v>1</v>
      </c>
      <c r="B2" s="2" t="s">
        <v>5</v>
      </c>
      <c r="C2" s="2" t="s">
        <v>6</v>
      </c>
      <c r="D2" s="2" t="s">
        <v>7</v>
      </c>
      <c r="E2"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true" outlineLevel="0" collapsed="false">
      <c r="A1" s="3" t="s">
        <v>9</v>
      </c>
    </row>
    <row r="2" customFormat="false" ht="15" hidden="false" customHeight="true" outlineLevel="0" collapsed="false">
      <c r="A2" s="3" t="s">
        <v>10</v>
      </c>
    </row>
    <row r="3" customFormat="false" ht="15" hidden="false" customHeight="true" outlineLevel="0" collapsed="false">
      <c r="A3" s="4" t="s">
        <v>11</v>
      </c>
    </row>
    <row r="4" customFormat="false" ht="15" hidden="false" customHeight="true" outlineLevel="0" collapsed="false">
      <c r="A4" s="3" t="s">
        <v>12</v>
      </c>
    </row>
    <row r="5" customFormat="false" ht="30" hidden="false" customHeight="true" outlineLevel="0" collapsed="false">
      <c r="A5" s="4" t="s">
        <v>13</v>
      </c>
    </row>
    <row r="6" customFormat="false" ht="30" hidden="false" customHeight="true" outlineLevel="0" collapsed="false">
      <c r="A6" s="4" t="s">
        <v>14</v>
      </c>
    </row>
    <row r="7" customFormat="false" ht="30" hidden="false" customHeight="true" outlineLevel="0" collapsed="false">
      <c r="A7" s="4" t="s">
        <v>15</v>
      </c>
    </row>
    <row r="8" customFormat="false" ht="15" hidden="false" customHeight="true" outlineLevel="0" collapsed="false">
      <c r="A8" s="4" t="s">
        <v>16</v>
      </c>
    </row>
    <row r="9" customFormat="false" ht="30" hidden="false" customHeight="true" outlineLevel="0" collapsed="false">
      <c r="A9" s="4" t="s">
        <v>17</v>
      </c>
    </row>
    <row r="10" customFormat="false" ht="30" hidden="false" customHeight="true" outlineLevel="0" collapsed="false">
      <c r="A10" s="4" t="s">
        <v>18</v>
      </c>
    </row>
    <row r="11" customFormat="false" ht="15" hidden="false" customHeight="true" outlineLevel="0" collapsed="false">
      <c r="A11" s="3" t="s">
        <v>19</v>
      </c>
    </row>
    <row r="12" customFormat="false" ht="30" hidden="false" customHeight="true" outlineLevel="0" collapsed="false">
      <c r="A12" s="4" t="s">
        <v>20</v>
      </c>
    </row>
    <row r="13" customFormat="false" ht="30" hidden="false" customHeight="true" outlineLevel="0" collapsed="false">
      <c r="A13" s="4" t="s">
        <v>21</v>
      </c>
    </row>
    <row r="14" customFormat="false" ht="30" hidden="false" customHeight="true" outlineLevel="0" collapsed="false">
      <c r="A14" s="4" t="s">
        <v>22</v>
      </c>
    </row>
    <row r="15" customFormat="false" ht="30" hidden="false" customHeight="true" outlineLevel="0" collapsed="false">
      <c r="A15" s="4" t="s">
        <v>23</v>
      </c>
    </row>
    <row r="16" customFormat="false" ht="30" hidden="false" customHeight="true" outlineLevel="0" collapsed="false">
      <c r="A16" s="4" t="s">
        <v>24</v>
      </c>
    </row>
    <row r="17" customFormat="false" ht="30" hidden="false" customHeight="true" outlineLevel="0" collapsed="false">
      <c r="A17" s="4" t="s">
        <v>25</v>
      </c>
    </row>
    <row r="18" customFormat="false" ht="15" hidden="false" customHeight="true" outlineLevel="0" collapsed="false">
      <c r="A18" s="3" t="s">
        <v>26</v>
      </c>
    </row>
    <row r="19" customFormat="false" ht="30" hidden="false" customHeight="true" outlineLevel="0" collapsed="false">
      <c r="A19" s="4" t="s">
        <v>27</v>
      </c>
    </row>
    <row r="20" customFormat="false" ht="30" hidden="false" customHeight="true" outlineLevel="0" collapsed="false">
      <c r="A20" s="4" t="s">
        <v>28</v>
      </c>
    </row>
    <row r="21" customFormat="false" ht="15" hidden="false" customHeight="true" outlineLevel="0" collapsed="false">
      <c r="A21" s="4" t="s">
        <v>29</v>
      </c>
    </row>
    <row r="22" customFormat="false" ht="30" hidden="false" customHeight="true" outlineLevel="0" collapsed="false">
      <c r="A22" s="4" t="s">
        <v>30</v>
      </c>
    </row>
    <row r="23" customFormat="false" ht="15" hidden="false" customHeight="true" outlineLevel="0" collapsed="false">
      <c r="A23" s="4" t="s">
        <v>31</v>
      </c>
    </row>
    <row r="24" customFormat="false" ht="30" hidden="false" customHeight="true" outlineLevel="0" collapsed="false">
      <c r="A24" s="4" t="s">
        <v>32</v>
      </c>
    </row>
    <row r="25" customFormat="false" ht="15" hidden="false" customHeight="true" outlineLevel="0" collapsed="false">
      <c r="A25" s="4" t="s">
        <v>33</v>
      </c>
    </row>
    <row r="26" customFormat="false" ht="15" hidden="false" customHeight="true" outlineLevel="0" collapsed="false">
      <c r="A26" s="4" t="s">
        <v>34</v>
      </c>
    </row>
    <row r="27" customFormat="false" ht="15" hidden="false" customHeight="true" outlineLevel="0" collapsed="false">
      <c r="A27"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6"/>
    <col collapsed="false" customWidth="true" hidden="false" outlineLevel="0" max="4" min="4" style="0" width="30"/>
  </cols>
  <sheetData>
    <row r="1" customFormat="false" ht="15" hidden="false" customHeight="false" outlineLevel="0" collapsed="false">
      <c r="A1" s="5" t="s">
        <v>36</v>
      </c>
      <c r="B1" s="5" t="s">
        <v>37</v>
      </c>
      <c r="C1" s="5" t="s">
        <v>38</v>
      </c>
      <c r="D1" s="5" t="s">
        <v>39</v>
      </c>
    </row>
    <row r="2" customFormat="false" ht="15" hidden="false" customHeight="false" outlineLevel="0" collapsed="false">
      <c r="A2" s="6" t="s">
        <v>40</v>
      </c>
      <c r="B2" s="2"/>
      <c r="C2" s="2"/>
      <c r="D2" s="2"/>
    </row>
    <row r="3" customFormat="false" ht="15" hidden="false" customHeight="false" outlineLevel="0" collapsed="false">
      <c r="A3" s="2" t="s">
        <v>41</v>
      </c>
      <c r="B3" s="2" t="s">
        <v>42</v>
      </c>
      <c r="C3" s="2" t="s">
        <v>43</v>
      </c>
      <c r="D3" s="2" t="s">
        <v>44</v>
      </c>
    </row>
    <row r="4" customFormat="false" ht="15" hidden="false" customHeight="false" outlineLevel="0" collapsed="false">
      <c r="A4" s="2" t="s">
        <v>45</v>
      </c>
      <c r="B4" s="2" t="s">
        <v>46</v>
      </c>
      <c r="C4" s="2" t="s">
        <v>47</v>
      </c>
      <c r="D4" s="2" t="s">
        <v>42</v>
      </c>
    </row>
    <row r="5" customFormat="false" ht="28.35" hidden="false" customHeight="false" outlineLevel="0" collapsed="false">
      <c r="A5" s="2" t="s">
        <v>48</v>
      </c>
      <c r="B5" s="2" t="s">
        <v>49</v>
      </c>
      <c r="C5" s="2" t="s">
        <v>43</v>
      </c>
      <c r="D5" s="2" t="s">
        <v>50</v>
      </c>
    </row>
    <row r="6" customFormat="false" ht="15" hidden="false" customHeight="false" outlineLevel="0" collapsed="false">
      <c r="A6" s="2" t="s">
        <v>51</v>
      </c>
      <c r="B6" s="2" t="s">
        <v>52</v>
      </c>
      <c r="C6" s="2" t="s">
        <v>43</v>
      </c>
      <c r="D6" s="2" t="s">
        <v>42</v>
      </c>
    </row>
    <row r="7" customFormat="false" ht="15" hidden="false" customHeight="false" outlineLevel="0" collapsed="false">
      <c r="A7" s="2" t="s">
        <v>53</v>
      </c>
      <c r="B7" s="2" t="s">
        <v>42</v>
      </c>
      <c r="C7" s="2" t="s">
        <v>54</v>
      </c>
      <c r="D7" s="2" t="s">
        <v>44</v>
      </c>
    </row>
    <row r="8" customFormat="false" ht="15" hidden="false" customHeight="false" outlineLevel="0" collapsed="false">
      <c r="A8" s="2" t="s">
        <v>55</v>
      </c>
      <c r="B8" s="2" t="s">
        <v>42</v>
      </c>
      <c r="C8" s="2" t="s">
        <v>43</v>
      </c>
      <c r="D8" s="2" t="s">
        <v>44</v>
      </c>
    </row>
    <row r="9" customFormat="false" ht="15" hidden="false" customHeight="false" outlineLevel="0" collapsed="false">
      <c r="A9" s="2" t="s">
        <v>56</v>
      </c>
      <c r="B9" s="2" t="s">
        <v>47</v>
      </c>
      <c r="C9" s="2" t="s">
        <v>54</v>
      </c>
      <c r="D9" s="2" t="s">
        <v>44</v>
      </c>
    </row>
    <row r="10" customFormat="false" ht="15" hidden="false" customHeight="false" outlineLevel="0" collapsed="false">
      <c r="A10" s="2" t="s">
        <v>57</v>
      </c>
      <c r="B10" s="2"/>
      <c r="C10" s="2" t="s">
        <v>42</v>
      </c>
      <c r="D10" s="2"/>
    </row>
    <row r="11" customFormat="false" ht="15" hidden="false" customHeight="false" outlineLevel="0" collapsed="false">
      <c r="A11" s="6" t="s">
        <v>58</v>
      </c>
      <c r="B11" s="2"/>
      <c r="C11" s="2"/>
      <c r="D11" s="2"/>
    </row>
    <row r="12" customFormat="false" ht="28.35" hidden="false" customHeight="false" outlineLevel="0" collapsed="false">
      <c r="A12" s="2" t="s">
        <v>59</v>
      </c>
      <c r="B12" s="2" t="s">
        <v>49</v>
      </c>
      <c r="C12" s="2" t="s">
        <v>60</v>
      </c>
      <c r="D12" s="2" t="s">
        <v>44</v>
      </c>
    </row>
    <row r="13" customFormat="false" ht="28.35" hidden="false" customHeight="false" outlineLevel="0" collapsed="false">
      <c r="A13" s="2" t="s">
        <v>61</v>
      </c>
      <c r="B13" s="2" t="s">
        <v>47</v>
      </c>
      <c r="C13" s="2" t="s">
        <v>62</v>
      </c>
      <c r="D13" s="2" t="s">
        <v>44</v>
      </c>
    </row>
    <row r="14" customFormat="false" ht="15" hidden="false" customHeight="false" outlineLevel="0" collapsed="false">
      <c r="A14" s="6" t="s">
        <v>63</v>
      </c>
      <c r="B14" s="2"/>
      <c r="C14" s="2"/>
      <c r="D14" s="2"/>
    </row>
    <row r="15" customFormat="false" ht="15" hidden="false" customHeight="false" outlineLevel="0" collapsed="false">
      <c r="A15" s="2" t="s">
        <v>64</v>
      </c>
      <c r="B15" s="2" t="s">
        <v>65</v>
      </c>
      <c r="C15" s="2" t="s">
        <v>47</v>
      </c>
      <c r="D15" s="2" t="s">
        <v>66</v>
      </c>
    </row>
    <row r="16" customFormat="false" ht="15" hidden="false" customHeight="false" outlineLevel="0" collapsed="false">
      <c r="A16" s="2" t="s">
        <v>67</v>
      </c>
      <c r="B16" s="2" t="s">
        <v>65</v>
      </c>
      <c r="C16" s="2" t="s">
        <v>47</v>
      </c>
      <c r="D16" s="2" t="s">
        <v>42</v>
      </c>
    </row>
    <row r="17" customFormat="false" ht="28.35" hidden="false" customHeight="false" outlineLevel="0" collapsed="false">
      <c r="A17" s="2" t="s">
        <v>68</v>
      </c>
      <c r="B17" s="2" t="s">
        <v>65</v>
      </c>
      <c r="C17" s="2" t="s">
        <v>43</v>
      </c>
      <c r="D17" s="2" t="s">
        <v>50</v>
      </c>
    </row>
    <row r="18" customFormat="false" ht="15" hidden="false" customHeight="false" outlineLevel="0" collapsed="false">
      <c r="A18" s="2" t="s">
        <v>69</v>
      </c>
      <c r="B18" s="2" t="s">
        <v>47</v>
      </c>
      <c r="C18" s="2" t="s">
        <v>43</v>
      </c>
      <c r="D18" s="2" t="s">
        <v>65</v>
      </c>
    </row>
    <row r="19" customFormat="false" ht="15" hidden="false" customHeight="false" outlineLevel="0" collapsed="false">
      <c r="A19" s="2" t="s">
        <v>70</v>
      </c>
      <c r="B19" s="2" t="s">
        <v>65</v>
      </c>
      <c r="C19" s="2" t="s">
        <v>43</v>
      </c>
      <c r="D19" s="2" t="s">
        <v>42</v>
      </c>
    </row>
    <row r="20" customFormat="false" ht="28.35" hidden="false" customHeight="false" outlineLevel="0" collapsed="false">
      <c r="A20" s="2" t="s">
        <v>71</v>
      </c>
      <c r="B20" s="2" t="s">
        <v>65</v>
      </c>
      <c r="C20" s="2" t="s">
        <v>54</v>
      </c>
      <c r="D20" s="2" t="s">
        <v>72</v>
      </c>
    </row>
    <row r="21" customFormat="false" ht="15" hidden="false" customHeight="false" outlineLevel="0" collapsed="false">
      <c r="A21" s="2" t="s">
        <v>73</v>
      </c>
      <c r="B21" s="2" t="s">
        <v>47</v>
      </c>
      <c r="C21" s="2" t="s">
        <v>54</v>
      </c>
      <c r="D21" s="2" t="s">
        <v>65</v>
      </c>
    </row>
    <row r="22" customFormat="false" ht="15" hidden="false" customHeight="false" outlineLevel="0" collapsed="false">
      <c r="A22" s="2" t="s">
        <v>74</v>
      </c>
      <c r="B22" s="2" t="s">
        <v>47</v>
      </c>
      <c r="C22" s="2" t="s">
        <v>54</v>
      </c>
      <c r="D22" s="2" t="s">
        <v>65</v>
      </c>
    </row>
    <row r="23" customFormat="false" ht="15" hidden="false" customHeight="false" outlineLevel="0" collapsed="false">
      <c r="A23" s="2" t="s">
        <v>75</v>
      </c>
      <c r="B23" s="2" t="s">
        <v>65</v>
      </c>
      <c r="C23" s="2" t="s">
        <v>54</v>
      </c>
      <c r="D23" s="2" t="s">
        <v>42</v>
      </c>
    </row>
    <row r="24" customFormat="false" ht="28.35" hidden="false" customHeight="false" outlineLevel="0" collapsed="false">
      <c r="A24" s="2" t="s">
        <v>76</v>
      </c>
      <c r="B24" s="2" t="s">
        <v>65</v>
      </c>
      <c r="C24" s="2" t="s">
        <v>77</v>
      </c>
      <c r="D24" s="2"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8" min="3" style="0" width="16"/>
    <col collapsed="false" customWidth="true" hidden="false" outlineLevel="0" max="9" min="9" style="0" width="10"/>
    <col collapsed="false" customWidth="true" hidden="false" outlineLevel="0" max="17" min="10" style="0" width="16"/>
  </cols>
  <sheetData>
    <row r="1" customFormat="false" ht="35.05" hidden="false" customHeight="false" outlineLevel="0" collapsed="false">
      <c r="B1" s="7" t="s">
        <v>78</v>
      </c>
      <c r="C1" s="8" t="s">
        <v>79</v>
      </c>
    </row>
    <row r="2" customFormat="false" ht="15" hidden="false" customHeight="false" outlineLevel="0" collapsed="false">
      <c r="B2" s="7" t="s">
        <v>1</v>
      </c>
      <c r="C2" s="8" t="s">
        <v>5</v>
      </c>
    </row>
    <row r="3" customFormat="false" ht="23.85" hidden="false" customHeight="false" outlineLevel="0" collapsed="false">
      <c r="B3" s="7" t="s">
        <v>80</v>
      </c>
      <c r="C3" s="8" t="s">
        <v>81</v>
      </c>
    </row>
    <row r="4" customFormat="false" ht="57.45" hidden="false" customHeight="false" outlineLevel="0" collapsed="false">
      <c r="B4" s="7" t="s">
        <v>82</v>
      </c>
      <c r="C4" s="8" t="s">
        <v>83</v>
      </c>
    </row>
    <row r="6" customFormat="false" ht="23.85" hidden="false" customHeight="false" outlineLevel="0" collapsed="false">
      <c r="B6" s="7" t="s">
        <v>84</v>
      </c>
    </row>
    <row r="7" customFormat="false" ht="15" hidden="false" customHeight="false" outlineLevel="0" collapsed="false">
      <c r="B7" s="8" t="s">
        <v>85</v>
      </c>
      <c r="D7" s="8" t="s">
        <v>86</v>
      </c>
    </row>
    <row r="8" customFormat="false" ht="23.85" hidden="false" customHeight="false" outlineLevel="0" collapsed="false">
      <c r="B8" s="8" t="s">
        <v>87</v>
      </c>
    </row>
    <row r="9" customFormat="false" ht="15" hidden="false" customHeight="false" outlineLevel="0" collapsed="false">
      <c r="B9" s="8" t="s">
        <v>88</v>
      </c>
      <c r="D9" s="8" t="s">
        <v>86</v>
      </c>
    </row>
    <row r="11" customFormat="false" ht="124.6" hidden="false" customHeight="false" outlineLevel="0" collapsed="false">
      <c r="A11" s="7" t="s">
        <v>89</v>
      </c>
      <c r="B11" s="7" t="s">
        <v>90</v>
      </c>
      <c r="C11" s="8" t="s">
        <v>91</v>
      </c>
    </row>
    <row r="13" customFormat="false" ht="57.45" hidden="false" customHeight="false" outlineLevel="0" collapsed="false">
      <c r="A13" s="7" t="s">
        <v>92</v>
      </c>
      <c r="B13" s="7" t="s">
        <v>93</v>
      </c>
      <c r="C13" s="8" t="s">
        <v>94</v>
      </c>
    </row>
    <row r="14" customFormat="false" ht="23.85" hidden="false" customHeight="false" outlineLevel="0" collapsed="false">
      <c r="B14" s="7" t="s">
        <v>95</v>
      </c>
      <c r="C14" s="7" t="s">
        <v>96</v>
      </c>
      <c r="F14" s="7" t="s">
        <v>97</v>
      </c>
    </row>
    <row r="15" customFormat="false" ht="35.05" hidden="false" customHeight="false" outlineLevel="0" collapsed="false">
      <c r="C15" s="7" t="s">
        <v>98</v>
      </c>
      <c r="D15" s="7" t="s">
        <v>99</v>
      </c>
      <c r="E15" s="7" t="s">
        <v>100</v>
      </c>
      <c r="F15" s="7" t="s">
        <v>101</v>
      </c>
    </row>
    <row r="16" customFormat="false" ht="55.2" hidden="false" customHeight="false" outlineLevel="0" collapsed="false">
      <c r="B16" s="9" t="s">
        <v>102</v>
      </c>
      <c r="C16" s="8" t="s">
        <v>103</v>
      </c>
      <c r="D16" s="8" t="s">
        <v>103</v>
      </c>
      <c r="E16" s="8" t="s">
        <v>86</v>
      </c>
      <c r="F16" s="9" t="s">
        <v>103</v>
      </c>
    </row>
    <row r="17" customFormat="false" ht="55.2" hidden="false" customHeight="false" outlineLevel="0" collapsed="false">
      <c r="B17" s="9" t="s">
        <v>104</v>
      </c>
      <c r="C17" s="8" t="s">
        <v>86</v>
      </c>
      <c r="D17" s="8" t="s">
        <v>86</v>
      </c>
      <c r="E17" s="8" t="s">
        <v>103</v>
      </c>
      <c r="F17" s="9" t="s">
        <v>103</v>
      </c>
    </row>
    <row r="18" customFormat="false" ht="57.45" hidden="false" customHeight="false" outlineLevel="0" collapsed="false">
      <c r="B18" s="8" t="s">
        <v>105</v>
      </c>
      <c r="C18" s="8" t="s">
        <v>86</v>
      </c>
      <c r="D18" s="8" t="s">
        <v>86</v>
      </c>
      <c r="E18" s="8" t="s">
        <v>86</v>
      </c>
      <c r="F18" s="8" t="s">
        <v>86</v>
      </c>
    </row>
    <row r="19" customFormat="false" ht="15" hidden="false" customHeight="false" outlineLevel="0" collapsed="false">
      <c r="B19" s="10" t="s">
        <v>106</v>
      </c>
    </row>
    <row r="21" customFormat="false" ht="68.65" hidden="false" customHeight="false" outlineLevel="0" collapsed="false">
      <c r="A21" s="7" t="s">
        <v>19</v>
      </c>
      <c r="B21" s="7" t="s">
        <v>107</v>
      </c>
      <c r="C21" s="8" t="s">
        <v>108</v>
      </c>
    </row>
    <row r="22" customFormat="false" ht="15" hidden="false" customHeight="false" outlineLevel="0" collapsed="false">
      <c r="B22" s="7" t="s">
        <v>109</v>
      </c>
      <c r="C22" s="7" t="s">
        <v>110</v>
      </c>
    </row>
    <row r="23" customFormat="false" ht="35.05" hidden="false" customHeight="false" outlineLevel="0" collapsed="false">
      <c r="C23" s="7" t="s">
        <v>111</v>
      </c>
      <c r="D23" s="7" t="s">
        <v>112</v>
      </c>
      <c r="E23" s="7" t="s">
        <v>113</v>
      </c>
      <c r="F23" s="7" t="s">
        <v>114</v>
      </c>
      <c r="G23" s="7" t="s">
        <v>115</v>
      </c>
      <c r="H23" s="7" t="s">
        <v>116</v>
      </c>
    </row>
    <row r="24" customFormat="false" ht="57.45" hidden="false" customHeight="false" outlineLevel="0" collapsed="false">
      <c r="B24" s="8" t="s">
        <v>105</v>
      </c>
      <c r="C24" s="8" t="n">
        <v>5</v>
      </c>
      <c r="D24" s="8" t="n">
        <v>4</v>
      </c>
      <c r="E24" s="8" t="n">
        <v>4</v>
      </c>
      <c r="F24" s="8" t="n">
        <v>4</v>
      </c>
      <c r="G24" s="8" t="n">
        <v>4</v>
      </c>
      <c r="H24" s="8" t="n">
        <v>5</v>
      </c>
    </row>
    <row r="25" customFormat="false" ht="15" hidden="false" customHeight="false" outlineLevel="0" collapsed="false">
      <c r="B25" s="8" t="s">
        <v>117</v>
      </c>
      <c r="C25" s="8" t="s">
        <v>118</v>
      </c>
      <c r="D25" s="8" t="s">
        <v>118</v>
      </c>
      <c r="E25" s="8" t="s">
        <v>118</v>
      </c>
      <c r="F25" s="8" t="s">
        <v>118</v>
      </c>
      <c r="G25" s="8" t="s">
        <v>118</v>
      </c>
      <c r="H25" s="8" t="s">
        <v>118</v>
      </c>
    </row>
    <row r="26" customFormat="false" ht="15" hidden="false" customHeight="false" outlineLevel="0" collapsed="false">
      <c r="B26" s="8" t="s">
        <v>117</v>
      </c>
      <c r="C26" s="8" t="s">
        <v>118</v>
      </c>
      <c r="D26" s="8" t="s">
        <v>118</v>
      </c>
      <c r="E26" s="8" t="s">
        <v>118</v>
      </c>
      <c r="F26" s="8" t="s">
        <v>118</v>
      </c>
      <c r="G26" s="8" t="s">
        <v>118</v>
      </c>
      <c r="H26" s="8" t="s">
        <v>118</v>
      </c>
    </row>
    <row r="27" customFormat="false" ht="15" hidden="false" customHeight="false" outlineLevel="0" collapsed="false">
      <c r="B27" s="8" t="s">
        <v>117</v>
      </c>
      <c r="C27" s="8" t="s">
        <v>118</v>
      </c>
      <c r="D27" s="8" t="s">
        <v>118</v>
      </c>
      <c r="E27" s="8" t="s">
        <v>118</v>
      </c>
      <c r="F27" s="8" t="s">
        <v>118</v>
      </c>
      <c r="G27" s="8" t="s">
        <v>118</v>
      </c>
      <c r="H27" s="8" t="s">
        <v>118</v>
      </c>
    </row>
    <row r="28" customFormat="false" ht="15" hidden="false" customHeight="false" outlineLevel="0" collapsed="false">
      <c r="B28" s="8" t="s">
        <v>117</v>
      </c>
      <c r="C28" s="8" t="s">
        <v>118</v>
      </c>
      <c r="D28" s="8" t="s">
        <v>118</v>
      </c>
      <c r="E28" s="8" t="s">
        <v>118</v>
      </c>
      <c r="F28" s="8" t="s">
        <v>118</v>
      </c>
      <c r="G28" s="8" t="s">
        <v>118</v>
      </c>
      <c r="H28" s="8" t="s">
        <v>118</v>
      </c>
    </row>
    <row r="29" customFormat="false" ht="15" hidden="false" customHeight="false" outlineLevel="0" collapsed="false">
      <c r="B29" s="8" t="s">
        <v>117</v>
      </c>
      <c r="C29" s="8" t="s">
        <v>118</v>
      </c>
      <c r="D29" s="8" t="s">
        <v>118</v>
      </c>
      <c r="E29" s="8" t="s">
        <v>118</v>
      </c>
      <c r="F29" s="8" t="s">
        <v>118</v>
      </c>
      <c r="G29" s="8" t="s">
        <v>118</v>
      </c>
      <c r="H29" s="8" t="s">
        <v>118</v>
      </c>
    </row>
    <row r="30" customFormat="false" ht="15" hidden="false" customHeight="false" outlineLevel="0" collapsed="false">
      <c r="B30" s="8" t="s">
        <v>117</v>
      </c>
      <c r="C30" s="8" t="s">
        <v>118</v>
      </c>
      <c r="D30" s="8" t="s">
        <v>118</v>
      </c>
      <c r="E30" s="8" t="s">
        <v>118</v>
      </c>
      <c r="F30" s="8" t="s">
        <v>118</v>
      </c>
      <c r="G30" s="8" t="s">
        <v>118</v>
      </c>
      <c r="H30" s="8" t="s">
        <v>118</v>
      </c>
    </row>
    <row r="31" customFormat="false" ht="15" hidden="false" customHeight="false" outlineLevel="0" collapsed="false">
      <c r="B31" s="7" t="s">
        <v>119</v>
      </c>
      <c r="C31" s="8" t="n">
        <v>9</v>
      </c>
      <c r="D31" s="8" t="n">
        <v>9</v>
      </c>
      <c r="E31" s="8" t="n">
        <v>6</v>
      </c>
      <c r="F31" s="8" t="n">
        <v>7</v>
      </c>
      <c r="G31" s="8" t="n">
        <v>6</v>
      </c>
      <c r="H31" s="8" t="n">
        <v>5</v>
      </c>
    </row>
    <row r="32" customFormat="false" ht="15" hidden="false" customHeight="false" outlineLevel="0" collapsed="false">
      <c r="B32" s="10" t="s">
        <v>106</v>
      </c>
    </row>
    <row r="34" customFormat="false" ht="15" hidden="false" customHeight="false" outlineLevel="0" collapsed="false">
      <c r="A34" s="7" t="s">
        <v>26</v>
      </c>
      <c r="B34" s="7" t="s">
        <v>120</v>
      </c>
    </row>
    <row r="35" customFormat="false" ht="68.65" hidden="false" customHeight="false" outlineLevel="0" collapsed="false">
      <c r="B35" s="7" t="s">
        <v>121</v>
      </c>
      <c r="C35" s="8" t="s">
        <v>122</v>
      </c>
      <c r="J35" s="8" t="s">
        <v>123</v>
      </c>
    </row>
    <row r="36" customFormat="false" ht="35.05" hidden="false" customHeight="false" outlineLevel="0" collapsed="false">
      <c r="C36" s="8" t="str">
        <f aca="false">C23</f>
        <v>Cross-District Comparability</v>
      </c>
      <c r="D36" s="8" t="str">
        <f aca="false">D23</f>
        <v>Rollout Speed (55 districts)</v>
      </c>
      <c r="E36" s="8" t="str">
        <f aca="false">E23</f>
        <v>Local Relevance/Flexibility</v>
      </c>
      <c r="F36" s="8" t="str">
        <f aca="false">F23</f>
        <v>Maintenance Effort</v>
      </c>
      <c r="G36" s="8" t="str">
        <f aca="false">G23</f>
        <v>Training Simplicity</v>
      </c>
      <c r="H36" s="8" t="str">
        <f aca="false">H23</f>
        <v>Cost</v>
      </c>
      <c r="I36" s="7" t="s">
        <v>124</v>
      </c>
      <c r="J36" s="7" t="s">
        <v>125</v>
      </c>
      <c r="K36" s="7" t="s">
        <v>126</v>
      </c>
      <c r="L36" s="7" t="s">
        <v>127</v>
      </c>
      <c r="M36" s="7" t="s">
        <v>128</v>
      </c>
      <c r="N36" s="7" t="s">
        <v>129</v>
      </c>
      <c r="O36" s="7" t="s">
        <v>130</v>
      </c>
      <c r="P36" s="7" t="s">
        <v>131</v>
      </c>
      <c r="Q36" s="7" t="s">
        <v>132</v>
      </c>
    </row>
    <row r="37" customFormat="false" ht="449.25" hidden="false" customHeight="false" outlineLevel="0" collapsed="false">
      <c r="B37" s="8" t="str">
        <f aca="false">B24</f>
        <v>Common statewide form set (15 sector forms) with limited, centrally-approved local field additions</v>
      </c>
      <c r="C37" s="8" t="n">
        <f aca="false">IF(C24="&lt;grade&gt;","tbd",C$31*C24)</f>
        <v>45</v>
      </c>
      <c r="D37" s="8" t="n">
        <f aca="false">IF(D24="&lt;grade&gt;","tbd",D$31*D24)</f>
        <v>36</v>
      </c>
      <c r="E37" s="8" t="n">
        <f aca="false">IF(E24="&lt;grade&gt;","tbd",E$31*E24)</f>
        <v>24</v>
      </c>
      <c r="F37" s="8" t="n">
        <f aca="false">IF(F24="&lt;grade&gt;","tbd",F$31*F24)</f>
        <v>28</v>
      </c>
      <c r="G37" s="8" t="n">
        <f aca="false">IF(G24="&lt;grade&gt;","tbd",G$31*G24)</f>
        <v>24</v>
      </c>
      <c r="H37" s="8" t="n">
        <f aca="false">IF(H24="&lt;grade&gt;","tbd",H$31*H24)</f>
        <v>25</v>
      </c>
      <c r="I37" s="8" t="n">
        <f aca="false">SUM(C37:H37)</f>
        <v>182</v>
      </c>
      <c r="J37" s="8" t="s">
        <v>86</v>
      </c>
      <c r="K37" s="8" t="s">
        <v>133</v>
      </c>
      <c r="L37" s="8" t="n">
        <v>6</v>
      </c>
      <c r="M37" s="8" t="n">
        <v>4</v>
      </c>
      <c r="N37" s="8" t="n">
        <f aca="false">L37*M37</f>
        <v>24</v>
      </c>
      <c r="O37" s="11" t="s">
        <v>86</v>
      </c>
      <c r="P37" s="8" t="s">
        <v>134</v>
      </c>
      <c r="Q37" s="8" t="s">
        <v>135</v>
      </c>
    </row>
    <row r="38" customFormat="false" ht="15" hidden="false" customHeight="false" outlineLevel="0" collapsed="false">
      <c r="B38" s="8" t="s">
        <v>117</v>
      </c>
      <c r="C38" s="8" t="s">
        <v>136</v>
      </c>
      <c r="D38" s="8" t="s">
        <v>136</v>
      </c>
      <c r="E38" s="8" t="s">
        <v>136</v>
      </c>
      <c r="F38" s="8" t="s">
        <v>136</v>
      </c>
      <c r="G38" s="8" t="s">
        <v>136</v>
      </c>
      <c r="H38" s="8" t="s">
        <v>136</v>
      </c>
      <c r="I38" s="8" t="n">
        <v>0</v>
      </c>
    </row>
    <row r="39" customFormat="false" ht="15" hidden="false" customHeight="false" outlineLevel="0" collapsed="false">
      <c r="B39" s="8" t="s">
        <v>117</v>
      </c>
      <c r="C39" s="8" t="s">
        <v>136</v>
      </c>
      <c r="D39" s="8" t="s">
        <v>136</v>
      </c>
      <c r="E39" s="8" t="s">
        <v>136</v>
      </c>
      <c r="F39" s="8" t="s">
        <v>136</v>
      </c>
      <c r="G39" s="8" t="s">
        <v>136</v>
      </c>
      <c r="H39" s="8" t="s">
        <v>136</v>
      </c>
      <c r="I39" s="8" t="n">
        <v>0</v>
      </c>
    </row>
    <row r="40" customFormat="false" ht="15" hidden="false" customHeight="false" outlineLevel="0" collapsed="false">
      <c r="B40" s="8" t="s">
        <v>117</v>
      </c>
      <c r="C40" s="8" t="s">
        <v>136</v>
      </c>
      <c r="D40" s="8" t="s">
        <v>136</v>
      </c>
      <c r="E40" s="8" t="s">
        <v>136</v>
      </c>
      <c r="F40" s="8" t="s">
        <v>136</v>
      </c>
      <c r="G40" s="8" t="s">
        <v>136</v>
      </c>
      <c r="H40" s="8" t="s">
        <v>136</v>
      </c>
      <c r="I40" s="8" t="n">
        <v>0</v>
      </c>
    </row>
    <row r="41" customFormat="false" ht="15" hidden="false" customHeight="false" outlineLevel="0" collapsed="false">
      <c r="B41" s="8" t="s">
        <v>117</v>
      </c>
      <c r="C41" s="8" t="s">
        <v>136</v>
      </c>
      <c r="D41" s="8" t="s">
        <v>136</v>
      </c>
      <c r="E41" s="8" t="s">
        <v>136</v>
      </c>
      <c r="F41" s="8" t="s">
        <v>136</v>
      </c>
      <c r="G41" s="8" t="s">
        <v>136</v>
      </c>
      <c r="H41" s="8" t="s">
        <v>136</v>
      </c>
      <c r="I41" s="8" t="n">
        <v>0</v>
      </c>
    </row>
    <row r="42" customFormat="false" ht="15" hidden="false" customHeight="false" outlineLevel="0" collapsed="false">
      <c r="B42" s="8" t="s">
        <v>117</v>
      </c>
      <c r="C42" s="8" t="s">
        <v>136</v>
      </c>
      <c r="D42" s="8" t="s">
        <v>136</v>
      </c>
      <c r="E42" s="8" t="s">
        <v>136</v>
      </c>
      <c r="F42" s="8" t="s">
        <v>136</v>
      </c>
      <c r="G42" s="8" t="s">
        <v>136</v>
      </c>
      <c r="H42" s="8" t="s">
        <v>136</v>
      </c>
      <c r="I42" s="8" t="n">
        <v>0</v>
      </c>
    </row>
    <row r="43" customFormat="false" ht="15" hidden="false" customHeight="false" outlineLevel="0" collapsed="false">
      <c r="B43" s="8" t="s">
        <v>117</v>
      </c>
      <c r="C43" s="8" t="s">
        <v>136</v>
      </c>
      <c r="D43" s="8" t="s">
        <v>136</v>
      </c>
      <c r="E43" s="8" t="s">
        <v>136</v>
      </c>
      <c r="F43" s="8" t="s">
        <v>136</v>
      </c>
      <c r="G43" s="8" t="s">
        <v>136</v>
      </c>
      <c r="H43" s="8" t="s">
        <v>136</v>
      </c>
      <c r="I43" s="8" t="n">
        <v>0</v>
      </c>
    </row>
    <row r="45" customFormat="false" ht="15" hidden="false" customHeight="false" outlineLevel="0" collapsed="false">
      <c r="B45" s="7" t="s">
        <v>137</v>
      </c>
    </row>
    <row r="46" customFormat="false" ht="147" hidden="false" customHeight="false" outlineLevel="0" collapsed="false">
      <c r="C46" s="8" t="s">
        <v>138</v>
      </c>
    </row>
    <row r="47" customFormat="false" ht="225.35" hidden="false" customHeight="false" outlineLevel="0" collapsed="false">
      <c r="C47" s="8" t="s">
        <v>139</v>
      </c>
    </row>
    <row r="48" customFormat="false" ht="158.2" hidden="false" customHeight="false" outlineLevel="0" collapsed="false">
      <c r="C48" s="8"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2026-08-27T05:22:59Z</dcterms:created>
  <dc:creator>openpyxl</dc:creator>
  <dc:description/>
  <dc:language>en-US</dc:language>
  <cp:lastModifiedBy/>
  <dcterms:modified xsi:type="dcterms:W3CDTF">2026-08-27T05:22:59Z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