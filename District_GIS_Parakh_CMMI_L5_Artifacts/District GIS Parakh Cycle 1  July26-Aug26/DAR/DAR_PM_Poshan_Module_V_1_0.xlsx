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M Poshan Mo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sz val="8"/>
    </font>
    <font>
      <name val="Arial"/>
      <family val="2"/>
      <sz val="8"/>
    </font>
    <font>
      <name val="Arial Bold"/>
      <b val="1"/>
      <sz val="8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2" applyAlignment="1" applyProtection="1" pivotButton="0" quotePrefix="0" xfId="0">
      <alignment vertical="center"/>
      <protection locked="0" hidden="0"/>
    </xf>
    <xf numFmtId="0" fontId="4" fillId="0" borderId="10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vertical="center"/>
      <protection locked="0" hidden="0"/>
    </xf>
    <xf numFmtId="0" fontId="0" fillId="0" borderId="5" applyAlignment="1" applyProtection="1" pivotButton="0" quotePrefix="0" xfId="0">
      <alignment vertical="center"/>
      <protection locked="0" hidden="0"/>
    </xf>
    <xf numFmtId="0" fontId="3" fillId="2" borderId="3" applyAlignment="1" applyProtection="1" pivotButton="0" quotePrefix="0" xfId="0">
      <alignment vertical="center"/>
      <protection locked="0" hidden="0"/>
    </xf>
    <xf numFmtId="0" fontId="3" fillId="2" borderId="6" applyAlignment="1" pivotButton="0" quotePrefix="0" xfId="0">
      <alignment horizontal="left" vertical="center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3" fillId="2" borderId="6" applyAlignment="1" applyProtection="1" pivotButton="0" quotePrefix="0" xfId="0">
      <alignment horizontal="left" vertical="center"/>
      <protection locked="0" hidden="0"/>
    </xf>
    <xf numFmtId="14" fontId="4" fillId="0" borderId="6" applyAlignment="1" applyProtection="1" pivotButton="0" quotePrefix="0" xfId="0">
      <alignment horizontal="center" vertical="center"/>
      <protection locked="0" hidden="0"/>
    </xf>
    <xf numFmtId="0" fontId="4" fillId="0" borderId="6" applyAlignment="1" applyProtection="1" pivotButton="0" quotePrefix="0" xfId="0">
      <alignment horizontal="left" vertical="center"/>
      <protection locked="0" hidden="0"/>
    </xf>
    <xf numFmtId="0" fontId="3" fillId="2" borderId="6" applyAlignment="1" pivotButton="0" quotePrefix="0" xfId="0">
      <alignment vertical="center"/>
    </xf>
    <xf numFmtId="0" fontId="3" fillId="2" borderId="9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4" fillId="0" borderId="6" applyAlignment="1" applyProtection="1" pivotButton="0" quotePrefix="0" xfId="0">
      <alignment horizontal="left" vertical="center" wrapText="1"/>
      <protection locked="0" hidden="0"/>
    </xf>
    <xf numFmtId="0" fontId="5" fillId="2" borderId="6" applyAlignment="1" pivotButton="0" quotePrefix="0" xfId="0">
      <alignment horizontal="center" vertical="center" wrapText="1"/>
    </xf>
    <xf numFmtId="0" fontId="4" fillId="0" borderId="6" applyAlignment="1" applyProtection="1" pivotButton="0" quotePrefix="0" xfId="0">
      <alignment horizontal="center" vertical="center" wrapText="1"/>
      <protection locked="0" hidden="0"/>
    </xf>
    <xf numFmtId="0" fontId="5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5" fillId="2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left" vertical="center" wrapText="1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4" fillId="3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2" fontId="3" fillId="3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IQVIA">
      <a:dk1>
        <a:srgbClr val="2B3A42"/>
      </a:dk1>
      <a:lt1>
        <a:srgbClr val="FFFFFF"/>
      </a:lt1>
      <a:dk2>
        <a:srgbClr val="2B3A42"/>
      </a:dk2>
      <a:lt2>
        <a:srgbClr val="F0B323"/>
      </a:lt2>
      <a:accent1>
        <a:srgbClr val="00A3E0"/>
      </a:accent1>
      <a:accent2>
        <a:srgbClr val="005587"/>
      </a:accent2>
      <a:accent3>
        <a:srgbClr val="FE8A12"/>
      </a:accent3>
      <a:accent4>
        <a:srgbClr val="43B02A"/>
      </a:accent4>
      <a:accent5>
        <a:srgbClr val="027223"/>
      </a:accent5>
      <a:accent6>
        <a:srgbClr val="00BFB3"/>
      </a:accent6>
      <a:hlink>
        <a:srgbClr val="00A3E0"/>
      </a:hlink>
      <a:folHlink>
        <a:srgbClr val="00558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topLeftCell="A38" workbookViewId="0">
      <selection activeCell="I48" activeCellId="1" sqref="C38:I38 I48"/>
    </sheetView>
  </sheetViews>
  <sheetFormatPr baseColWidth="8" defaultColWidth="21.77734375" defaultRowHeight="13.8"/>
  <cols>
    <col width="21.77734375" customWidth="1" style="4" min="1" max="3"/>
    <col width="11.77734375" customWidth="1" style="4" min="4" max="4"/>
    <col width="21.77734375" customWidth="1" style="4" min="5" max="5"/>
    <col width="21.77734375" customWidth="1" style="4" min="6" max="16384"/>
  </cols>
  <sheetData>
    <row r="1" ht="19.5" customHeight="1" thickBot="1">
      <c r="A1" s="1" t="inlineStr">
        <is>
          <t>DAR Form</t>
        </is>
      </c>
      <c r="B1" s="40" t="n"/>
      <c r="C1" s="40" t="n"/>
      <c r="D1" s="40" t="n"/>
      <c r="E1" s="40" t="n"/>
      <c r="F1" s="40" t="n"/>
      <c r="G1" s="40" t="n"/>
      <c r="H1" s="40" t="n"/>
      <c r="I1" s="41" t="n"/>
    </row>
    <row r="2" ht="19.5" customHeight="1">
      <c r="A2" s="5" t="inlineStr">
        <is>
          <t>Group Name</t>
        </is>
      </c>
      <c r="B2" s="6" t="inlineStr">
        <is>
          <t>PM Poshan State Coordination Team / Mandla District GIS Cell</t>
        </is>
      </c>
      <c r="C2" s="42" t="n"/>
      <c r="D2" s="43" t="n"/>
      <c r="E2" s="5" t="inlineStr">
        <is>
          <t>Project Name</t>
        </is>
      </c>
      <c r="F2" s="9" t="n"/>
      <c r="G2" s="6" t="inlineStr">
        <is>
          <t>District GIS Parakh – PM Poshan Social Audit Module</t>
        </is>
      </c>
      <c r="H2" s="42" t="n"/>
      <c r="I2" s="43" t="n"/>
    </row>
    <row r="3" ht="19.5" customHeight="1">
      <c r="A3" s="10" t="inlineStr">
        <is>
          <t>Decision Seeker</t>
        </is>
      </c>
      <c r="B3" s="29" t="inlineStr">
        <is>
          <t>Ankita Soni (GIS Executive)</t>
        </is>
      </c>
      <c r="C3" s="44" t="n"/>
      <c r="D3" s="45" t="n"/>
      <c r="E3" s="14" t="inlineStr">
        <is>
          <t>Evaluation Date</t>
        </is>
      </c>
      <c r="F3" s="45" t="n"/>
      <c r="G3" s="15" t="n">
        <v>46258</v>
      </c>
      <c r="H3" s="44" t="n"/>
      <c r="I3" s="45" t="n"/>
    </row>
    <row r="4" ht="19.5" customHeight="1">
      <c r="A4" s="10" t="inlineStr">
        <is>
          <t>Problem Statement</t>
        </is>
      </c>
      <c r="B4" s="16" t="inlineStr">
        <is>
          <t>Selection of field-design approach for the PM Poshan (Mid-Day Meal) Social Audit inspection form — independent bespoke form vs. alignment with the existing MGNREGA inspection form fields.</t>
        </is>
      </c>
      <c r="C4" s="44" t="n"/>
      <c r="D4" s="44" t="n"/>
      <c r="E4" s="44" t="n"/>
      <c r="F4" s="44" t="n"/>
      <c r="G4" s="44" t="n"/>
      <c r="H4" s="44" t="n"/>
      <c r="I4" s="45" t="n"/>
    </row>
    <row r="5" ht="19.5" customHeight="1">
      <c r="A5" s="17" t="inlineStr">
        <is>
          <t>Scope of DAR</t>
        </is>
      </c>
      <c r="B5" s="16" t="inlineStr">
        <is>
          <t>Covers the field-level design decision for the PM Poshan Social Audit form on District GIS Parakh, specifically whether/where to align its fields with the existing MGNREGA inspection form; does not cover a full form merger between the two modules.</t>
        </is>
      </c>
      <c r="C5" s="44" t="n"/>
      <c r="D5" s="44" t="n"/>
      <c r="E5" s="44" t="n"/>
      <c r="F5" s="44" t="n"/>
      <c r="G5" s="44" t="n"/>
      <c r="H5" s="44" t="n"/>
      <c r="I5" s="45" t="n"/>
    </row>
    <row r="6" ht="19.5" customHeight="1">
      <c r="A6" s="18" t="inlineStr">
        <is>
          <t>DAR Team Members</t>
        </is>
      </c>
      <c r="B6" s="16" t="inlineStr">
        <is>
          <t>PM Poshan State Coordination Team, Mandla District GIS Cell</t>
        </is>
      </c>
      <c r="C6" s="44" t="n"/>
      <c r="D6" s="44" t="n"/>
      <c r="E6" s="44" t="n"/>
      <c r="F6" s="44" t="n"/>
      <c r="G6" s="44" t="n"/>
      <c r="H6" s="44" t="n"/>
      <c r="I6" s="45" t="n"/>
    </row>
    <row r="7" ht="19.5" customHeight="1">
      <c r="A7" s="31" t="inlineStr">
        <is>
          <t>Alternatives</t>
        </is>
      </c>
      <c r="B7" s="46" t="n"/>
      <c r="C7" s="47" t="n"/>
      <c r="D7" s="31" t="inlineStr">
        <is>
          <t>Source of Alternatives</t>
        </is>
      </c>
      <c r="E7" s="46" t="n"/>
      <c r="F7" s="47" t="n"/>
      <c r="G7" s="31" t="inlineStr">
        <is>
          <t>Remarks</t>
        </is>
      </c>
      <c r="H7" s="46" t="n"/>
      <c r="I7" s="47" t="n"/>
    </row>
    <row r="8" ht="44.4" customHeight="1">
      <c r="A8" s="22" t="inlineStr">
        <is>
          <t>A1 – Fully independent bespoke PM Poshan form (no reference to MGNREGA fields)</t>
        </is>
      </c>
      <c r="B8" s="44" t="n"/>
      <c r="C8" s="45" t="n"/>
      <c r="D8" s="22" t="inlineStr">
        <is>
          <t>Derived from the PM Poshan-specific data requirements (meal quality, beneficiary count, stock register) that have no direct equivalent in the MGNREGA form.</t>
        </is>
      </c>
      <c r="E8" s="44" t="n"/>
      <c r="F8" s="45" t="n"/>
      <c r="G8" s="29" t="inlineStr">
        <is>
          <t>Valid but not selected — meets both must-have criteria but scores lower overall (Total 136 vs 167) on department acceptance and consistency with existing reports.</t>
        </is>
      </c>
      <c r="H8" s="44" t="n"/>
      <c r="I8" s="45" t="n"/>
    </row>
    <row r="9" ht="49.8" customHeight="1">
      <c r="A9" s="22" t="inlineStr">
        <is>
          <t>A2 – Fully reuse the MGNREGA inspection form as-is for PM Poshan</t>
        </is>
      </c>
      <c r="B9" s="44" t="n"/>
      <c r="C9" s="45" t="n"/>
      <c r="D9" s="22" t="inlineStr">
        <is>
          <t>Derived from the initial instinct to avoid building a new form when one already exists on Parakh.</t>
        </is>
      </c>
      <c r="E9" s="44" t="n"/>
      <c r="F9" s="45" t="n"/>
      <c r="G9" s="29" t="inlineStr">
        <is>
          <t>Rejected — fails the must-have criterion of capturing PM Poshan-specific data (meal quality, beneficiary count, stock register).</t>
        </is>
      </c>
      <c r="H9" s="44" t="n"/>
      <c r="I9" s="45" t="n"/>
    </row>
    <row r="10" ht="43.2" customHeight="1">
      <c r="A10" s="22" t="inlineStr">
        <is>
          <t>A3 – PM Poshan form with select overlapping fields aligned to MGNREGA format (e.g. built-area/sq. ft. convention), rest bespoke</t>
        </is>
      </c>
      <c r="B10" s="44" t="n"/>
      <c r="C10" s="45" t="n"/>
      <c r="D10" s="22" t="inlineStr">
        <is>
          <t>Derived from the specific request from Mandla district (1-Jul-2026, PSR Log) that the kitchen-shed/built-area question be aligned with the MGNREGA form's existing wording and units.</t>
        </is>
      </c>
      <c r="E10" s="44" t="n"/>
      <c r="F10" s="45" t="n"/>
      <c r="G10" s="29" t="inlineStr">
        <is>
          <t>Selected — meets both must-have criteria and scores highest overall (Total 167). Implemented.</t>
        </is>
      </c>
      <c r="H10" s="44" t="n"/>
      <c r="I10" s="45" t="n"/>
    </row>
    <row r="11" ht="19.5" customHeight="1">
      <c r="A11" s="27" t="inlineStr">
        <is>
          <t>Criteria for Evaluation</t>
        </is>
      </c>
      <c r="B11" s="47" t="n"/>
      <c r="C11" s="27" t="inlineStr">
        <is>
          <t>Weightage 
 (1 = Least important and 5 = Most important)</t>
        </is>
      </c>
      <c r="D11" s="47" t="n"/>
      <c r="E11" s="27" t="inlineStr">
        <is>
          <t>Rationale for Criteria and Weightage Selection</t>
        </is>
      </c>
      <c r="F11" s="46" t="n"/>
      <c r="G11" s="46" t="n"/>
      <c r="H11" s="46" t="n"/>
      <c r="I11" s="47" t="n"/>
    </row>
    <row r="12" ht="19.5" customHeight="1">
      <c r="A12" s="22" t="inlineStr">
        <is>
          <t>Consistency with Existing Reports</t>
        </is>
      </c>
      <c r="B12" s="45" t="n"/>
      <c r="C12" s="24" t="n">
        <v>7</v>
      </c>
      <c r="D12" s="45" t="n"/>
      <c r="E12" s="22" t="inlineStr">
        <is>
          <t>Weighted to keep cross-module reporting comparable where fields genuinely overlap with MGNREGA.</t>
        </is>
      </c>
      <c r="F12" s="44" t="n"/>
      <c r="G12" s="44" t="n"/>
      <c r="H12" s="44" t="n"/>
      <c r="I12" s="45" t="n"/>
    </row>
    <row r="13" ht="19.5" customHeight="1">
      <c r="A13" s="22" t="inlineStr">
        <is>
          <t>Department Acceptance</t>
        </is>
      </c>
      <c r="B13" s="45" t="n"/>
      <c r="C13" s="24" t="n">
        <v>8</v>
      </c>
      <c r="D13" s="45" t="n"/>
      <c r="E13" s="22" t="inlineStr">
        <is>
          <t>Weighted highly — the alignment was specifically requested by Mandla district, so department buy-in matters.</t>
        </is>
      </c>
      <c r="F13" s="44" t="n"/>
      <c r="G13" s="44" t="n"/>
      <c r="H13" s="44" t="n"/>
      <c r="I13" s="45" t="n"/>
    </row>
    <row r="14" ht="19.5" customHeight="1">
      <c r="A14" s="22" t="inlineStr">
        <is>
          <t>Development Effort</t>
        </is>
      </c>
      <c r="B14" s="45" t="n"/>
      <c r="C14" s="24" t="n">
        <v>5</v>
      </c>
      <c r="D14" s="45" t="n"/>
      <c r="E14" s="22" t="inlineStr">
        <is>
          <t>Lower weight — this is a field-level alignment, not a full rebuild, so development effort is a secondary factor.</t>
        </is>
      </c>
      <c r="F14" s="44" t="n"/>
      <c r="G14" s="44" t="n"/>
      <c r="H14" s="44" t="n"/>
      <c r="I14" s="45" t="n"/>
    </row>
    <row r="15" ht="19.5" customHeight="1">
      <c r="A15" s="22" t="inlineStr">
        <is>
          <t>Data Comparability</t>
        </is>
      </c>
      <c r="B15" s="45" t="n"/>
      <c r="C15" s="24" t="n">
        <v>7</v>
      </c>
      <c r="D15" s="45" t="n"/>
      <c r="E15" s="22" t="inlineStr">
        <is>
          <t>Weighted to support comparing overlapping metrics (e.g. built-area) across modules where relevant.</t>
        </is>
      </c>
      <c r="F15" s="44" t="n"/>
      <c r="G15" s="44" t="n"/>
      <c r="H15" s="44" t="n"/>
      <c r="I15" s="45" t="n"/>
    </row>
    <row r="16" ht="19.5" customHeight="1">
      <c r="A16" s="22" t="inlineStr">
        <is>
          <t>Flexibility for PM-Poshan-Specific Needs</t>
        </is>
      </c>
      <c r="B16" s="45" t="n"/>
      <c r="C16" s="24" t="n">
        <v>8</v>
      </c>
      <c r="D16" s="45" t="n"/>
      <c r="E16" s="22" t="inlineStr">
        <is>
          <t>Weighted highly — the form must still fully capture PM Poshan-specific data not present in MGNREGA.</t>
        </is>
      </c>
      <c r="F16" s="44" t="n"/>
      <c r="G16" s="44" t="n"/>
      <c r="H16" s="44" t="n"/>
      <c r="I16" s="45" t="n"/>
    </row>
    <row r="17" ht="19.5" customHeight="1">
      <c r="A17" s="22" t="inlineStr">
        <is>
          <t>Risk of Confusion</t>
        </is>
      </c>
      <c r="B17" s="45" t="n"/>
      <c r="C17" s="24" t="n">
        <v>6</v>
      </c>
      <c r="D17" s="45" t="n"/>
      <c r="E17" s="22" t="inlineStr">
        <is>
          <t>Moderate weight — partial alignment must not blur the distinction between PM Poshan and MGNREGA as separate modules.</t>
        </is>
      </c>
      <c r="F17" s="44" t="n"/>
      <c r="G17" s="44" t="n"/>
      <c r="H17" s="44" t="n"/>
      <c r="I17" s="45" t="n"/>
    </row>
    <row r="18" ht="19.5" customHeight="1">
      <c r="A18" s="22" t="n"/>
      <c r="B18" s="45" t="n"/>
      <c r="C18" s="24" t="n"/>
      <c r="D18" s="45" t="n"/>
      <c r="E18" s="22" t="n"/>
      <c r="F18" s="44" t="n"/>
      <c r="G18" s="44" t="n"/>
      <c r="H18" s="44" t="n"/>
      <c r="I18" s="45" t="n"/>
    </row>
    <row r="19" ht="19.5" customHeight="1">
      <c r="A19" s="22" t="n"/>
      <c r="B19" s="45" t="n"/>
      <c r="C19" s="24" t="n"/>
      <c r="D19" s="45" t="n"/>
      <c r="E19" s="22" t="n"/>
      <c r="F19" s="44" t="n"/>
      <c r="G19" s="44" t="n"/>
      <c r="H19" s="44" t="n"/>
      <c r="I19" s="45" t="n"/>
    </row>
    <row r="20" ht="19.5" customHeight="1">
      <c r="A20" s="27" t="inlineStr">
        <is>
          <t>Criteria for Evaluation</t>
        </is>
      </c>
      <c r="B20" s="25">
        <f>IF(NOT(ISBLANK(A8)),A8,"NA")</f>
        <v/>
      </c>
      <c r="C20" s="47" t="n"/>
      <c r="D20" s="25">
        <f>IF(NOT(ISBLANK(A9)),A9,"NA")</f>
        <v/>
      </c>
      <c r="E20" s="47" t="n"/>
      <c r="F20" s="25">
        <f>IF(NOT(ISBLANK(A10)),A10,"NA")</f>
        <v/>
      </c>
      <c r="G20" s="47" t="n"/>
    </row>
    <row r="21" ht="19.5" customHeight="1">
      <c r="A21" s="48" t="n"/>
      <c r="B21" s="27" t="inlineStr">
        <is>
          <t>Score</t>
        </is>
      </c>
      <c r="C21" s="27" t="inlineStr">
        <is>
          <t>Weighted Score</t>
        </is>
      </c>
      <c r="D21" s="27" t="inlineStr">
        <is>
          <t>Score</t>
        </is>
      </c>
      <c r="E21" s="27" t="inlineStr">
        <is>
          <t>Weighted Score</t>
        </is>
      </c>
      <c r="F21" s="27" t="inlineStr">
        <is>
          <t>Score</t>
        </is>
      </c>
      <c r="G21" s="27" t="inlineStr">
        <is>
          <t>Weighted Score</t>
        </is>
      </c>
    </row>
    <row r="22" ht="19.5" customHeight="1">
      <c r="A22" s="28">
        <f>IF(NOT(ISBLANK(A12)),A12,"")</f>
        <v/>
      </c>
      <c r="B22" s="29" t="n">
        <v>2</v>
      </c>
      <c r="C22" s="35">
        <f>IF(NOT(ISBLANK(A12)),B22*C12,"")</f>
        <v/>
      </c>
      <c r="D22" s="29" t="n"/>
      <c r="E22" s="35">
        <f>IF(NOT(ISBLANK(A12)),D22*C12,"")</f>
        <v/>
      </c>
      <c r="F22" s="29" t="n">
        <v>4</v>
      </c>
      <c r="G22" s="35">
        <f>IF(NOT(ISBLANK(A12)),F22*C12,"")</f>
        <v/>
      </c>
    </row>
    <row r="23" ht="19.5" customHeight="1">
      <c r="A23" s="28">
        <f>IF(NOT(ISBLANK(A13)),A13,"")</f>
        <v/>
      </c>
      <c r="B23" s="29" t="n">
        <v>3</v>
      </c>
      <c r="C23" s="35">
        <f>IF(NOT(ISBLANK(A13)),B23*C13,"")</f>
        <v/>
      </c>
      <c r="D23" s="29" t="n"/>
      <c r="E23" s="35">
        <f>IF(NOT(ISBLANK(A13)),D23*C13,"")</f>
        <v/>
      </c>
      <c r="F23" s="29" t="n">
        <v>5</v>
      </c>
      <c r="G23" s="35">
        <f>IF(NOT(ISBLANK(A13)),F23*C13,"")</f>
        <v/>
      </c>
    </row>
    <row r="24" ht="19.5" customHeight="1">
      <c r="A24" s="28">
        <f>IF(NOT(ISBLANK(A14)),A14,"")</f>
        <v/>
      </c>
      <c r="B24" s="29" t="n">
        <v>4</v>
      </c>
      <c r="C24" s="35">
        <f>IF(NOT(ISBLANK(A14)),B24*C14,"")</f>
        <v/>
      </c>
      <c r="D24" s="29" t="n"/>
      <c r="E24" s="35">
        <f>IF(NOT(ISBLANK(A14)),D24*C14,"")</f>
        <v/>
      </c>
      <c r="F24" s="29" t="n">
        <v>3</v>
      </c>
      <c r="G24" s="35">
        <f>IF(NOT(ISBLANK(A14)),F24*C14,"")</f>
        <v/>
      </c>
    </row>
    <row r="25" ht="28.2" customHeight="1">
      <c r="A25" s="28">
        <f>IF(NOT(ISBLANK(A15)),A15,"")</f>
        <v/>
      </c>
      <c r="B25" s="29" t="n">
        <v>2</v>
      </c>
      <c r="C25" s="35">
        <f>IF(NOT(ISBLANK(A15)),B25*C15,"")</f>
        <v/>
      </c>
      <c r="D25" s="29" t="n"/>
      <c r="E25" s="35">
        <f>IF(NOT(ISBLANK(A15)),D25*C15,"")</f>
        <v/>
      </c>
      <c r="F25" s="29" t="n">
        <v>4</v>
      </c>
      <c r="G25" s="35">
        <f>IF(NOT(ISBLANK(A15)),F25*C15,"")</f>
        <v/>
      </c>
    </row>
    <row r="26" ht="28.8" customHeight="1">
      <c r="A26" s="28">
        <f>IF(NOT(ISBLANK(A16)),A16,"")</f>
        <v/>
      </c>
      <c r="B26" s="29" t="n">
        <v>5</v>
      </c>
      <c r="C26" s="35">
        <f>IF(NOT(ISBLANK(A16)),B26*C16,"")</f>
        <v/>
      </c>
      <c r="D26" s="29" t="n"/>
      <c r="E26" s="35">
        <f>IF(NOT(ISBLANK(A16)),D26*C16,"")</f>
        <v/>
      </c>
      <c r="F26" s="29" t="n">
        <v>4</v>
      </c>
      <c r="G26" s="35">
        <f>IF(NOT(ISBLANK(A16)),F26*C16,"")</f>
        <v/>
      </c>
    </row>
    <row r="27" ht="19.5" customHeight="1">
      <c r="A27" s="28">
        <f>IF(NOT(ISBLANK(A17)),A17,"")</f>
        <v/>
      </c>
      <c r="B27" s="29" t="n">
        <v>4</v>
      </c>
      <c r="C27" s="35">
        <f>IF(NOT(ISBLANK(A17)),B27*C17,"")</f>
        <v/>
      </c>
      <c r="D27" s="29" t="n"/>
      <c r="E27" s="35">
        <f>IF(NOT(ISBLANK(A17)),D27*C17,"")</f>
        <v/>
      </c>
      <c r="F27" s="29" t="n">
        <v>4</v>
      </c>
      <c r="G27" s="35">
        <f>IF(NOT(ISBLANK(A17)),F27*C17,"")</f>
        <v/>
      </c>
    </row>
    <row r="28" ht="19.5" customHeight="1">
      <c r="A28" s="28">
        <f>IF(NOT(ISBLANK(A18)),A18,"")</f>
        <v/>
      </c>
      <c r="B28" s="29" t="n"/>
      <c r="C28" s="35">
        <f>IF(NOT(ISBLANK(A18)),B28*C18,"")</f>
        <v/>
      </c>
      <c r="D28" s="29" t="n"/>
      <c r="E28" s="35">
        <f>IF(NOT(ISBLANK(A18)),D28*C18,"")</f>
        <v/>
      </c>
      <c r="F28" s="29" t="n"/>
      <c r="G28" s="35">
        <f>IF(NOT(ISBLANK(A18)),F28*C18,"")</f>
        <v/>
      </c>
    </row>
    <row r="29" ht="19.5" customHeight="1">
      <c r="A29" s="28" t="n"/>
      <c r="B29" s="29" t="n"/>
      <c r="C29" s="35">
        <f>IF(NOT(ISBLANK(A19)),B29*C19,"")</f>
        <v/>
      </c>
      <c r="D29" s="29" t="n"/>
      <c r="E29" s="35">
        <f>IF(NOT(ISBLANK(A19)),D29*C19,"")</f>
        <v/>
      </c>
      <c r="F29" s="29" t="n"/>
      <c r="G29" s="35">
        <f>IF(NOT(ISBLANK(A19)),F29*C19,"")</f>
        <v/>
      </c>
    </row>
    <row r="30" ht="19.5" customHeight="1">
      <c r="A30" s="31" t="inlineStr">
        <is>
          <t>Average Weighted Score</t>
        </is>
      </c>
      <c r="B30" s="29" t="n"/>
      <c r="C30" s="32">
        <f>IF(B20="NA","",AVERAGE(C22:C29))</f>
        <v/>
      </c>
      <c r="D30" s="29" t="n"/>
      <c r="E30" s="32">
        <f>IF(D20="NA","",AVERAGE(E22:E29))</f>
        <v/>
      </c>
      <c r="F30" s="29" t="n"/>
      <c r="G30" s="32">
        <f>IF(F20="NA","",AVERAGE(G22:G29))</f>
        <v/>
      </c>
    </row>
    <row r="31" ht="19.5" customHeight="1">
      <c r="A31" s="33" t="inlineStr">
        <is>
          <t>Score Range (1 - 5) :  ( 1 = Minimum rating and 5 = Maximum rating)</t>
        </is>
      </c>
      <c r="B31" s="46" t="n"/>
      <c r="C31" s="46" t="n"/>
      <c r="D31" s="46" t="n"/>
      <c r="E31" s="46" t="n"/>
      <c r="F31" s="46" t="n"/>
      <c r="G31" s="46" t="n"/>
      <c r="H31" s="46" t="n"/>
      <c r="I31" s="47" t="n"/>
    </row>
    <row r="32" ht="19.5" customHeight="1">
      <c r="A32" s="31" t="inlineStr">
        <is>
          <t>Alternatives</t>
        </is>
      </c>
      <c r="B32" s="46" t="n"/>
      <c r="C32" s="47" t="n"/>
      <c r="D32" s="31" t="inlineStr">
        <is>
          <t>Order (1 = Highest, 4 = Lowest)</t>
        </is>
      </c>
      <c r="E32" s="46" t="n"/>
      <c r="F32" s="47" t="n"/>
      <c r="G32" s="31" t="inlineStr">
        <is>
          <t>Result</t>
        </is>
      </c>
      <c r="H32" s="46" t="n"/>
      <c r="I32" s="47" t="n"/>
    </row>
    <row r="33" ht="48" customHeight="1">
      <c r="A33" s="34">
        <f>IF(B20="NA","",A8)</f>
        <v/>
      </c>
      <c r="B33" s="46" t="n"/>
      <c r="C33" s="47" t="n"/>
      <c r="D33" s="35">
        <f>IF(B20="NA","",RANK(C30,$C$30:$G$30,0))</f>
        <v/>
      </c>
      <c r="E33" s="46" t="n"/>
      <c r="F33" s="47" t="n"/>
      <c r="G33" s="35">
        <f>IF(AND(NOT(ISBLANK(D33)),ISNUMBER(D33)),IF(D33=1,"Accept","Reject"),"")</f>
        <v/>
      </c>
      <c r="H33" s="46" t="n"/>
      <c r="I33" s="47" t="n"/>
    </row>
    <row r="34" ht="48" customHeight="1">
      <c r="A34" s="34">
        <f>IF(D20="NA","",A9)</f>
        <v/>
      </c>
      <c r="B34" s="46" t="n"/>
      <c r="C34" s="47" t="n"/>
      <c r="D34" s="35">
        <f>IF(D20="NA","",RANK(E30,$C$30:$G$30,0))</f>
        <v/>
      </c>
      <c r="E34" s="46" t="n"/>
      <c r="F34" s="47" t="n"/>
      <c r="G34" s="35">
        <f>IF(AND(NOT(ISBLANK(D34)),ISNUMBER(D34)),IF(D34=1,"Accept","Reject"),"")</f>
        <v/>
      </c>
      <c r="H34" s="46" t="n"/>
      <c r="I34" s="47" t="n"/>
    </row>
    <row r="35" ht="48" customHeight="1">
      <c r="A35" s="34">
        <f>IF(F20="NA","",A10)</f>
        <v/>
      </c>
      <c r="B35" s="46" t="n"/>
      <c r="C35" s="47" t="n"/>
      <c r="D35" s="35">
        <f>IF(F20="NA","",RANK(G30,$C$30:$G$30,0))</f>
        <v/>
      </c>
      <c r="E35" s="46" t="n"/>
      <c r="F35" s="47" t="n"/>
      <c r="G35" s="35">
        <f>IF(AND(NOT(ISBLANK(D35)),ISNUMBER(D35)),IF(D35=1,"Accept","Reject"),"")</f>
        <v/>
      </c>
      <c r="H35" s="46" t="n"/>
      <c r="I35" s="47" t="n"/>
    </row>
    <row r="36" ht="43.8" customHeight="1">
      <c r="A36" s="36" t="inlineStr">
        <is>
          <t>Solution Decision 
(Decision Authority)</t>
        </is>
      </c>
      <c r="B36" s="47" t="n"/>
      <c r="C36" s="22" t="inlineStr">
        <is>
          <t>PM Poshan form with select overlapping fields aligned to MGNREGA format (e.g. the built-area/sq. ft. convention), with the rest of the form remaining bespoke (Alternative A3), is selected. Following the request from Mandla district (1-Jul-2026, PSR Log), the kitchen-shed/built-area question was updated to match MGNREGA's existing wording and units rather than left as an independently-worded field.</t>
        </is>
      </c>
      <c r="D36" s="44" t="n"/>
      <c r="E36" s="44" t="n"/>
      <c r="F36" s="44" t="n"/>
      <c r="G36" s="44" t="n"/>
      <c r="H36" s="44" t="n"/>
      <c r="I36" s="45" t="n"/>
    </row>
    <row r="37" ht="121.8" customHeight="1">
      <c r="A37" s="36" t="inlineStr">
        <is>
          <t>Risk anticipated</t>
        </is>
      </c>
      <c r="B37" s="47" t="n"/>
      <c r="C37" s="22" t="inlineStr">
        <is>
          <t>Partial field alignment with MGNREGA could create confusion between the two modules if not clearly labelled; PM Poshan Social Audit remains a distinct form/module from MGNREGA on Parakh.</t>
        </is>
      </c>
      <c r="D37" s="44" t="n"/>
      <c r="E37" s="44" t="n"/>
      <c r="F37" s="44" t="n"/>
      <c r="G37" s="44" t="n"/>
      <c r="H37" s="44" t="n"/>
      <c r="I37" s="45" t="n"/>
    </row>
    <row r="38" ht="123" customHeight="1">
      <c r="A38" s="36" t="inlineStr">
        <is>
          <t>Assumptions</t>
        </is>
      </c>
      <c r="B38" s="47" t="n"/>
      <c r="C38" s="22" t="inlineStr">
        <is>
          <t>This DAR documents a field-level alignment decision, not a full form merger — PM Poshan Social Audit remains a distinct form/module from MGNREGA on Parakh.
The 'fully reuse MGNREGA form' alternative was rejected as it does not capture PM Poshan-specific data (meal quality, beneficiary counts, stock register) and therefore fails a must-have criterion outright.
This alignment specifically resolves the correction Mandla requested to the built-area question; no other MGNREGA fields were assessed for alignment at this time.</t>
        </is>
      </c>
      <c r="D38" s="44" t="n"/>
      <c r="E38" s="44" t="n"/>
      <c r="F38" s="44" t="n"/>
      <c r="G38" s="44" t="n"/>
      <c r="H38" s="44" t="n"/>
      <c r="I38" s="45" t="n"/>
    </row>
    <row r="39" ht="19.8" customHeight="1">
      <c r="A39" s="37" t="inlineStr">
        <is>
          <t>Remarks</t>
        </is>
      </c>
      <c r="B39" s="47" t="n"/>
      <c r="C39" s="22" t="inlineStr">
        <is>
          <t>The PM Poshan Social Audit form retains its independent identity while aligning one overlapping field (built-area/sq. ft. convention) with the existing MGNREGA form, following a specific district request. This balances department familiarity/acceptance against the need to capture PM Poshan-specific meal-quality and stock data.</t>
        </is>
      </c>
      <c r="D39" s="44" t="n"/>
      <c r="E39" s="44" t="n"/>
      <c r="F39" s="44" t="n"/>
      <c r="G39" s="44" t="n"/>
      <c r="H39" s="44" t="n"/>
      <c r="I39" s="45" t="n"/>
    </row>
    <row r="40" ht="41.4" customHeight="1">
      <c r="A40" s="37" t="inlineStr">
        <is>
          <t>Decision Authority</t>
        </is>
      </c>
      <c r="B40" s="47" t="n"/>
      <c r="C40" s="22" t="inlineStr">
        <is>
          <t>PM Poshan State Coordination Team, in consultation with the Mandla District GIS Cell — authorized to approve the field-alignment decision for the PM Poshan Social Audit module.</t>
        </is>
      </c>
      <c r="D40" s="44" t="n"/>
      <c r="E40" s="44" t="n"/>
      <c r="F40" s="45" t="n"/>
      <c r="G40" s="38" t="inlineStr">
        <is>
          <t>Date</t>
        </is>
      </c>
      <c r="H40" s="15" t="n">
        <v>46258</v>
      </c>
      <c r="I40" s="45" t="n"/>
    </row>
    <row r="41" ht="19.5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</row>
    <row r="42" ht="19.5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</row>
    <row r="43" ht="19.5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</row>
    <row r="44" ht="19.5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</row>
  </sheetData>
  <mergeCells count="76">
    <mergeCell ref="C36:I36"/>
    <mergeCell ref="D20:E20"/>
    <mergeCell ref="E12:I12"/>
    <mergeCell ref="G10:I10"/>
    <mergeCell ref="A15:B15"/>
    <mergeCell ref="C15:D15"/>
    <mergeCell ref="C39:I39"/>
    <mergeCell ref="D32:F32"/>
    <mergeCell ref="A11:B11"/>
    <mergeCell ref="A36:B36"/>
    <mergeCell ref="C14:D14"/>
    <mergeCell ref="G3:I3"/>
    <mergeCell ref="C38:I38"/>
    <mergeCell ref="G34:I34"/>
    <mergeCell ref="D7:F7"/>
    <mergeCell ref="E14:I14"/>
    <mergeCell ref="H40:I40"/>
    <mergeCell ref="E17:I17"/>
    <mergeCell ref="G33:I33"/>
    <mergeCell ref="C37:I37"/>
    <mergeCell ref="A33:C33"/>
    <mergeCell ref="A16:B16"/>
    <mergeCell ref="C16:D16"/>
    <mergeCell ref="A32:C32"/>
    <mergeCell ref="A8:C8"/>
    <mergeCell ref="F20:G20"/>
    <mergeCell ref="A37:B37"/>
    <mergeCell ref="E19:I19"/>
    <mergeCell ref="G35:I35"/>
    <mergeCell ref="D9:F9"/>
    <mergeCell ref="E13:I13"/>
    <mergeCell ref="B2:D2"/>
    <mergeCell ref="A35:C35"/>
    <mergeCell ref="A18:B18"/>
    <mergeCell ref="D8:F8"/>
    <mergeCell ref="D33:F33"/>
    <mergeCell ref="A12:B12"/>
    <mergeCell ref="A10:C10"/>
    <mergeCell ref="C12:D12"/>
    <mergeCell ref="G32:I32"/>
    <mergeCell ref="E15:I15"/>
    <mergeCell ref="C11:D11"/>
    <mergeCell ref="D35:F35"/>
    <mergeCell ref="A9:C9"/>
    <mergeCell ref="G9:I9"/>
    <mergeCell ref="E11:I11"/>
    <mergeCell ref="A20:A21"/>
    <mergeCell ref="A31:I31"/>
    <mergeCell ref="A14:B14"/>
    <mergeCell ref="A34:C34"/>
    <mergeCell ref="A17:B17"/>
    <mergeCell ref="C17:D17"/>
    <mergeCell ref="D34:F34"/>
    <mergeCell ref="D10:F10"/>
    <mergeCell ref="C40:F40"/>
    <mergeCell ref="G2:I2"/>
    <mergeCell ref="A38:B38"/>
    <mergeCell ref="B3:D3"/>
    <mergeCell ref="E16:I16"/>
    <mergeCell ref="A19:B19"/>
    <mergeCell ref="B20:C20"/>
    <mergeCell ref="B6:I6"/>
    <mergeCell ref="C19:D19"/>
    <mergeCell ref="A1:I1"/>
    <mergeCell ref="G8:I8"/>
    <mergeCell ref="A13:B13"/>
    <mergeCell ref="B5:I5"/>
    <mergeCell ref="C13:D13"/>
    <mergeCell ref="E3:F3"/>
    <mergeCell ref="C18:D18"/>
    <mergeCell ref="A39:B39"/>
    <mergeCell ref="A7:C7"/>
    <mergeCell ref="G7:I7"/>
    <mergeCell ref="B4:I4"/>
    <mergeCell ref="E18:I18"/>
    <mergeCell ref="A40:B40"/>
  </mergeCells>
  <dataValidations count="1">
    <dataValidation sqref="B22:B29 D22:D29 F22:F29" showDropDown="0" showInputMessage="1" showErrorMessage="1" allowBlank="1" type="list">
      <formula1>"1,2,3, 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Venu Maheshwari</dc:creator>
  <dcterms:created xmlns:dcterms="http://purl.org/dc/terms/" xmlns:xsi="http://www.w3.org/2001/XMLSchema-instance" xsi:type="dcterms:W3CDTF">2017-11-13T13:56:00Z</dcterms:created>
  <dcterms:modified xmlns:dcterms="http://purl.org/dc/terms/" xmlns:xsi="http://www.w3.org/2001/XMLSchema-instance" xsi:type="dcterms:W3CDTF">2026-08-27T05:41:41Z</dcterms:modified>
  <cp:lastModifiedBy>rupa malviya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0x0101008ED21E2ABB2D2C4FB0E5A91234516DC0</vt:lpwstr>
  </property>
</Properties>
</file>