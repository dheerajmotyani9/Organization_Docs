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Organization_Docs\District_GIS_Parakh_CMMI_L5_Artifacts\District GIS Parakh Cycle 1  July26-Aug26\DAR\"/>
    </mc:Choice>
  </mc:AlternateContent>
  <xr:revisionPtr revIDLastSave="0" documentId="13_ncr:1_{51813FA2-9C7E-46CC-8EF7-FC538E16EAC7}" xr6:coauthVersionLast="47" xr6:coauthVersionMax="47" xr10:uidLastSave="{00000000-0000-0000-0000-000000000000}"/>
  <bookViews>
    <workbookView xWindow="-108" yWindow="-108" windowWidth="23256" windowHeight="13896" tabRatio="500" activeTab="3" xr2:uid="{00000000-000D-0000-FFFF-FFFF00000000}"/>
  </bookViews>
  <sheets>
    <sheet name="Version" sheetId="1" r:id="rId1"/>
    <sheet name="Instructions" sheetId="2" r:id="rId2"/>
    <sheet name="Areas that need DAR" sheetId="3" r:id="rId3"/>
    <sheet name="DAR for Web Technology" sheetId="4" r:id="rId4"/>
    <sheet name="DAR for Mobile Platfor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6" i="5" l="1"/>
  <c r="H36" i="5"/>
  <c r="G36" i="5"/>
  <c r="F36" i="5"/>
  <c r="E36" i="5"/>
  <c r="D36" i="5"/>
  <c r="C36" i="5"/>
  <c r="B36" i="5"/>
  <c r="H35" i="5"/>
  <c r="G35" i="5"/>
  <c r="F35" i="5"/>
  <c r="E35" i="5"/>
  <c r="D35" i="5"/>
  <c r="C35" i="5"/>
  <c r="H32" i="4"/>
  <c r="G32" i="4"/>
  <c r="F32" i="4"/>
  <c r="E32" i="4"/>
  <c r="D32" i="4"/>
  <c r="C32" i="4"/>
  <c r="B32" i="4"/>
  <c r="H31" i="4"/>
  <c r="G31" i="4"/>
  <c r="F31" i="4"/>
  <c r="E31" i="4"/>
  <c r="D31" i="4"/>
  <c r="C31" i="4"/>
  <c r="I32" i="4" l="1"/>
</calcChain>
</file>

<file path=xl/sharedStrings.xml><?xml version="1.0" encoding="utf-8"?>
<sst xmlns="http://schemas.openxmlformats.org/spreadsheetml/2006/main" count="392" uniqueCount="147">
  <si>
    <t>Version</t>
  </si>
  <si>
    <t>Date</t>
  </si>
  <si>
    <t>Description</t>
  </si>
  <si>
    <t>Prepared by</t>
  </si>
  <si>
    <t>Reviewed by</t>
  </si>
  <si>
    <t>24-Aug-2026</t>
  </si>
  <si>
    <t>Retrospective DAR documenting the web-technology and mobile-platform selection rationale for District GIS Parakh, prepared for CMMI Level 5 documentation completeness (decisions were originally made at project inception; this record reconstructs them using the organization's standard DAR methodology and reflects the technology actually implemented in the live platform).</t>
  </si>
  <si>
    <t>Dheeraj Motiyani</t>
  </si>
  <si>
    <t>Rakesh Dubey (GIS Head)</t>
  </si>
  <si>
    <t>Instructions:</t>
  </si>
  <si>
    <t>Step #1:</t>
  </si>
  <si>
    <t>Define the problem statement or decision to be made.</t>
  </si>
  <si>
    <t>Step #2:</t>
  </si>
  <si>
    <t>Identify a broad range of possible alternatives that might solve the problem, without consideration to whether they are a valid solution. Then, based on any “must have” criteria, reduce the alternatives to those that would solve the problem. If there are no “must have” criteria skip to Step #3.</t>
  </si>
  <si>
    <t>Determine up to 10 possible alternative solutions (e.g. via brainstorming) and enter them under the heading “Alternatives”.</t>
  </si>
  <si>
    <t>Identify any “must have” criteria and enter them in the row beneath the heading “Must Have Criteria”.</t>
  </si>
  <si>
    <t>For each alternative answer “Yes” or “No” for each ”must have” criteria.</t>
  </si>
  <si>
    <t>In column titled “Valid?” enter “Yes” for each alternative that meets every must have criteria. Enter “No” for each alternative that does not meet any of the “must have” criteria.</t>
  </si>
  <si>
    <t>Document any Assumptions made during the identification of Valid Alternatives at the bottom of the template.</t>
  </si>
  <si>
    <t>Step #3</t>
  </si>
  <si>
    <t>For each alternative that meets all the must have criteria, compare them against each other, based upon evaluation criteria, and determine the most appropriate alternative.</t>
  </si>
  <si>
    <t>Enter each Valid Alternative (from Step #2) beneath the heading “Valid Alternatives”.</t>
  </si>
  <si>
    <t>Identify up to six evaluation criteria that will be used to differentiate between the Valid Alternatives and enter them below the heading Evaluation Criteria. These should be able to be “graded” on a numeric scale (e.g. 1-5).</t>
  </si>
  <si>
    <t>For each Valid Alternative grade them against the evaluation criteria, using the agreed upon grading scale (e.g. 1-5).</t>
  </si>
  <si>
    <t>Determine if any of the evaluation criteria should be weighted higher/lower than the others, and enter the corresponding weight in the row labeled Weights.</t>
  </si>
  <si>
    <t>Document any Assumptions made during the grading of the Valid Alternatives at the bottom of the template.</t>
  </si>
  <si>
    <t>Step #4</t>
  </si>
  <si>
    <t>Compare the results of the weighted grading and determine the most appropriate alternative. If more than one of the top alternatives is very close together in Total score, conduct a Risk Analysis.</t>
  </si>
  <si>
    <t>Each Valid Alternative and its weighted grade will be automatically transferred from the Valid Alternative Decision Input Table to the Decision Analysis Table.</t>
  </si>
  <si>
    <t>Compare the Total scores for each alternative.</t>
  </si>
  <si>
    <t>Use Risk Analysis, if necessary, to differentiate between any closely scored top alternatives.</t>
  </si>
  <si>
    <t>Identify the Proposed Selection by entering “Yes” in the appropriate row.</t>
  </si>
  <si>
    <t>Indicate if the decision was ratified (“Yes”/”No” or enter a date) when applicable.</t>
  </si>
  <si>
    <t>Enter any Comments about the decision selection.</t>
  </si>
  <si>
    <t>Document any Assumptions made during Decision Analysis.</t>
  </si>
  <si>
    <t>Store the completed template in the Records repository.</t>
  </si>
  <si>
    <t>Areas that need DAR</t>
  </si>
  <si>
    <t>Decision Owner</t>
  </si>
  <si>
    <t>Decision Participant</t>
  </si>
  <si>
    <t>Decision Approver</t>
  </si>
  <si>
    <t>Senior Management</t>
  </si>
  <si>
    <t>Modification of organizational processes</t>
  </si>
  <si>
    <t>Department Manager</t>
  </si>
  <si>
    <t>SME / Middle Managers</t>
  </si>
  <si>
    <t>Top Management</t>
  </si>
  <si>
    <t>Cost benefit analysis of proposal</t>
  </si>
  <si>
    <t>Proposal Manager</t>
  </si>
  <si>
    <t>SME</t>
  </si>
  <si>
    <t>Investment in new industry/product for future market</t>
  </si>
  <si>
    <t>Business Development Manager</t>
  </si>
  <si>
    <t>Top Management / Department Manager</t>
  </si>
  <si>
    <t>Decision for outsourcing</t>
  </si>
  <si>
    <t>Program/Project Manager</t>
  </si>
  <si>
    <t>Project prioritization</t>
  </si>
  <si>
    <t>Middle Managers</t>
  </si>
  <si>
    <t>Organization restructuring decision</t>
  </si>
  <si>
    <t>Selection of organizational tools</t>
  </si>
  <si>
    <t>Introduce new technology</t>
  </si>
  <si>
    <t>Process Improvement</t>
  </si>
  <si>
    <t>Process improvement proposal and its priorities</t>
  </si>
  <si>
    <t>SME / Department Manager</t>
  </si>
  <si>
    <t>Piloting decision for tools and processes</t>
  </si>
  <si>
    <t>Department Manager / Middle Managers</t>
  </si>
  <si>
    <t>Program/project management</t>
  </si>
  <si>
    <t>Select project management methodology</t>
  </si>
  <si>
    <t>Project/Program manager</t>
  </si>
  <si>
    <t>Section Manager</t>
  </si>
  <si>
    <t>Vendor/supplier selection</t>
  </si>
  <si>
    <t>Budget prioritization</t>
  </si>
  <si>
    <t>Tools/Infrastructure and Technology selection</t>
  </si>
  <si>
    <t>Resource allocation and optimization</t>
  </si>
  <si>
    <t>Risk and issue trade off</t>
  </si>
  <si>
    <t>Middle Managers / Department Manager</t>
  </si>
  <si>
    <t>Make/buy/reuse decisions</t>
  </si>
  <si>
    <t>Significant architectural changes</t>
  </si>
  <si>
    <t>Significant schedule slip</t>
  </si>
  <si>
    <t>Selection of third party solution providers</t>
  </si>
  <si>
    <t>SME / Section Manager</t>
  </si>
  <si>
    <t>Project Name</t>
  </si>
  <si>
    <t>District GIS Parakh</t>
  </si>
  <si>
    <t>24-Aug-2026 (retrospective)</t>
  </si>
  <si>
    <t>Facilitator</t>
  </si>
  <si>
    <t>MPSSDI GIS Team</t>
  </si>
  <si>
    <t>Participants</t>
  </si>
  <si>
    <t>MPSeDC Technical Team</t>
  </si>
  <si>
    <t>Evaluation Methods used: Tick if Yes</t>
  </si>
  <si>
    <t>Brainstorming</t>
  </si>
  <si>
    <t>Yes</t>
  </si>
  <si>
    <t>Nominal Group Technique</t>
  </si>
  <si>
    <t>Pareto Analysis</t>
  </si>
  <si>
    <t>Step #1</t>
  </si>
  <si>
    <t>Problem Statement:</t>
  </si>
  <si>
    <t>Selection of technology for District GIS Parakh web portal development</t>
  </si>
  <si>
    <t>Step #2</t>
  </si>
  <si>
    <t>Identify Valid Alternatives</t>
  </si>
  <si>
    <t>Skip this step if there are no “must have” criteria that a “Yes/No” answer can be applied to.</t>
  </si>
  <si>
    <t>Alternatives</t>
  </si>
  <si>
    <t>“Must Have” Criteria</t>
  </si>
  <si>
    <t>Valid?</t>
  </si>
  <si>
    <t>License Cost</t>
  </si>
  <si>
    <t>Past Exp</t>
  </si>
  <si>
    <t>Availability of resource</t>
  </si>
  <si>
    <t>Availability of skill set</t>
  </si>
  <si>
    <t>Reusability</t>
  </si>
  <si>
    <t>Flexibility/adaptability to future changes</t>
  </si>
  <si>
    <t>meets all
"must have"
criteria</t>
  </si>
  <si>
    <t>PHP</t>
  </si>
  <si>
    <t>No</t>
  </si>
  <si>
    <t>.Net</t>
  </si>
  <si>
    <t>Java</t>
  </si>
  <si>
    <t>Angular (frontend only)</t>
  </si>
  <si>
    <t>Blue = User Entered Values</t>
  </si>
  <si>
    <t>Valid Alternative Decision
Input Table</t>
  </si>
  <si>
    <t>Enter each valid alternative (from the table above) and grade them against each evaluation criteria.</t>
  </si>
  <si>
    <t>Valid Alternatives</t>
  </si>
  <si>
    <t>Evaluation Criteria</t>
  </si>
  <si>
    <t>Flexibility/adaptability</t>
  </si>
  <si>
    <t xml:space="preserve"> </t>
  </si>
  <si>
    <t>&lt;grade&gt;</t>
  </si>
  <si>
    <t>Weights:</t>
  </si>
  <si>
    <t>Decision Analysis</t>
  </si>
  <si>
    <t>Weighted
Results</t>
  </si>
  <si>
    <t>Alternatives, Factors, and Weighted Scoring appears below based upon the input provided above.</t>
  </si>
  <si>
    <t>Use Risk Analysis to differentiate between
any closely scored top alternatives.</t>
  </si>
  <si>
    <t>Total</t>
  </si>
  <si>
    <t>Risk Analysis Needed?</t>
  </si>
  <si>
    <t>Risk Description</t>
  </si>
  <si>
    <t>Impact (over 10)</t>
  </si>
  <si>
    <t>Probability (out of 10)</t>
  </si>
  <si>
    <t>Risk Factor</t>
  </si>
  <si>
    <t>Proposed Selection</t>
  </si>
  <si>
    <t>Ratified?</t>
  </si>
  <si>
    <t>Comments</t>
  </si>
  <si>
    <t>Consistent with the technology stack already used across other MPSSDI/MPSeDC GIS platforms (e.g. Jal Rekha), easing resource sharing across projects and reducing onboarding time for developers moving between platforms.</t>
  </si>
  <si>
    <t>tbd</t>
  </si>
  <si>
    <t>Assumptions:</t>
  </si>
  <si>
    <t>This DAR reconstructs the rationale for a decision already implemented in the live District GIS Parakh web portal; it was not contemporaneously minuted at project inception.</t>
  </si>
  <si>
    <t>Evaluation criteria and weights mirror those used in the sister Jal Rekha DAR Start Project (same organization, same technical team pool), since both platforms share MPSSDI's GIS development practice.</t>
  </si>
  <si>
    <t>Selection of mobile platform for District GIS Parakh field inspection/survey app</t>
  </si>
  <si>
    <t>iOS (native)</t>
  </si>
  <si>
    <t>Android (native)</t>
  </si>
  <si>
    <t>Android was selected given (a) the overwhelmingly higher share of Android devices among Madhya Pradesh government field staff and citizens compared to iOS, and (b) zero developer-licensing cost versus Apple's paid developer program. The app is published on Google Play as "District GIS Parakh" (package: com.mpssdi.parakh); no iOS build exists as of this writing.</t>
  </si>
  <si>
    <t>This DAR reconstructs the rationale for a decision already implemented (District GIS Parakh mobile app is Android-only, live on Google Play Store).</t>
  </si>
  <si>
    <t>iOS was not pursued further given negligible departmental iOS device penetration among field Inspectors/Reporting Officers in Madhya Pradesh districts.</t>
  </si>
  <si>
    <t>Should a future requirement for iOS access emerge (e.g. for citizen-facing General Forms on iPhone users), this DAR would need to be revisited with updated device-penetration data.</t>
  </si>
  <si>
    <t>Angular</t>
  </si>
  <si>
    <t>Availability of in-house skilled resources on stack was the deciding factor over .NET, which scored highest on raw weighted total but did not meet the "Availability of resource" and "Reusability" must-have gates at the time of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</si>
</sst>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Cambria"/>
      <charset val="1"/>
    </font>
    <font>
      <b/>
      <sz val="11"/>
      <name val="Cambria"/>
      <charset val="1"/>
    </font>
    <font>
      <sz val="10"/>
      <name val="Cambria"/>
      <charset val="1"/>
    </font>
    <font>
      <b/>
      <i/>
      <sz val="11"/>
      <name val="Cambria"/>
      <charset val="1"/>
    </font>
    <font>
      <b/>
      <sz val="10"/>
      <color rgb="FF000000"/>
      <name val="Cambria"/>
      <charset val="1"/>
    </font>
    <font>
      <sz val="10"/>
      <color rgb="FF000000"/>
      <name val="Cambria"/>
      <charset val="1"/>
    </font>
    <font>
      <strike/>
      <sz val="11"/>
      <color rgb="FFFF0000"/>
      <name val="Cambria"/>
      <charset val="1"/>
    </font>
    <font>
      <i/>
      <sz val="10"/>
      <color rgb="FF000000"/>
      <name val="Cambria"/>
      <charset val="1"/>
    </font>
  </fonts>
  <fills count="5">
    <fill>
      <patternFill patternType="none"/>
    </fill>
    <fill>
      <patternFill patternType="gray125"/>
    </fill>
    <fill>
      <patternFill patternType="solid">
        <fgColor rgb="FF2E74B5"/>
        <bgColor rgb="FF0066CC"/>
      </patternFill>
    </fill>
    <fill>
      <patternFill patternType="solid">
        <fgColor rgb="FFDDEBF7"/>
        <bgColor rgb="FFCCFFFF"/>
      </patternFill>
    </fill>
    <fill>
      <patternFill patternType="solid">
        <fgColor rgb="FFC6E0B4"/>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xf numFmtId="0" fontId="0" fillId="0" borderId="1" xfId="0"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2" borderId="1" xfId="0" applyFont="1" applyFill="1" applyBorder="1" applyAlignment="1">
      <alignment vertical="top" wrapText="1"/>
    </xf>
    <xf numFmtId="0" fontId="4" fillId="3" borderId="1" xfId="0" applyFont="1" applyFill="1" applyBorder="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5" fillId="4"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2E74B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zoomScaleNormal="100" workbookViewId="0"/>
  </sheetViews>
  <sheetFormatPr defaultColWidth="8.6640625" defaultRowHeight="14.4" x14ac:dyDescent="0.3"/>
  <cols>
    <col min="1" max="1" width="10" customWidth="1"/>
    <col min="2" max="2" width="14" customWidth="1"/>
    <col min="3" max="3" width="55" customWidth="1"/>
    <col min="4" max="5" width="22" customWidth="1"/>
  </cols>
  <sheetData>
    <row r="1" spans="1:5" x14ac:dyDescent="0.3">
      <c r="A1" s="1" t="s">
        <v>0</v>
      </c>
      <c r="B1" s="1" t="s">
        <v>1</v>
      </c>
      <c r="C1" s="1" t="s">
        <v>2</v>
      </c>
      <c r="D1" s="1" t="s">
        <v>3</v>
      </c>
      <c r="E1" s="1" t="s">
        <v>4</v>
      </c>
    </row>
    <row r="2" spans="1:5" ht="39.75" customHeight="1" x14ac:dyDescent="0.3">
      <c r="A2" s="2">
        <v>1</v>
      </c>
      <c r="B2" s="2" t="s">
        <v>5</v>
      </c>
      <c r="C2" s="2" t="s">
        <v>6</v>
      </c>
      <c r="D2" s="2" t="s">
        <v>7</v>
      </c>
      <c r="E2" s="2" t="s">
        <v>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7"/>
  <sheetViews>
    <sheetView zoomScaleNormal="100" workbookViewId="0"/>
  </sheetViews>
  <sheetFormatPr defaultColWidth="8.6640625" defaultRowHeight="14.4" x14ac:dyDescent="0.3"/>
  <cols>
    <col min="1" max="1" width="130" customWidth="1"/>
  </cols>
  <sheetData>
    <row r="1" spans="1:1" ht="15" customHeight="1" x14ac:dyDescent="0.3">
      <c r="A1" s="3" t="s">
        <v>9</v>
      </c>
    </row>
    <row r="2" spans="1:1" ht="15" customHeight="1" x14ac:dyDescent="0.3">
      <c r="A2" s="3" t="s">
        <v>10</v>
      </c>
    </row>
    <row r="3" spans="1:1" ht="15" customHeight="1" x14ac:dyDescent="0.3">
      <c r="A3" s="4" t="s">
        <v>11</v>
      </c>
    </row>
    <row r="4" spans="1:1" ht="15" customHeight="1" x14ac:dyDescent="0.3">
      <c r="A4" s="3" t="s">
        <v>12</v>
      </c>
    </row>
    <row r="5" spans="1:1" ht="30" customHeight="1" x14ac:dyDescent="0.3">
      <c r="A5" s="4" t="s">
        <v>13</v>
      </c>
    </row>
    <row r="6" spans="1:1" ht="30" customHeight="1" x14ac:dyDescent="0.3">
      <c r="A6" s="4" t="s">
        <v>14</v>
      </c>
    </row>
    <row r="7" spans="1:1" ht="30" customHeight="1" x14ac:dyDescent="0.3">
      <c r="A7" s="4" t="s">
        <v>15</v>
      </c>
    </row>
    <row r="8" spans="1:1" ht="15" customHeight="1" x14ac:dyDescent="0.3">
      <c r="A8" s="4" t="s">
        <v>16</v>
      </c>
    </row>
    <row r="9" spans="1:1" ht="30" customHeight="1" x14ac:dyDescent="0.3">
      <c r="A9" s="4" t="s">
        <v>17</v>
      </c>
    </row>
    <row r="10" spans="1:1" ht="30" customHeight="1" x14ac:dyDescent="0.3">
      <c r="A10" s="4" t="s">
        <v>18</v>
      </c>
    </row>
    <row r="11" spans="1:1" ht="15" customHeight="1" x14ac:dyDescent="0.3">
      <c r="A11" s="3" t="s">
        <v>19</v>
      </c>
    </row>
    <row r="12" spans="1:1" ht="30" customHeight="1" x14ac:dyDescent="0.3">
      <c r="A12" s="4" t="s">
        <v>20</v>
      </c>
    </row>
    <row r="13" spans="1:1" ht="30" customHeight="1" x14ac:dyDescent="0.3">
      <c r="A13" s="4" t="s">
        <v>21</v>
      </c>
    </row>
    <row r="14" spans="1:1" ht="30" customHeight="1" x14ac:dyDescent="0.3">
      <c r="A14" s="4" t="s">
        <v>22</v>
      </c>
    </row>
    <row r="15" spans="1:1" ht="30" customHeight="1" x14ac:dyDescent="0.3">
      <c r="A15" s="4" t="s">
        <v>23</v>
      </c>
    </row>
    <row r="16" spans="1:1" ht="30" customHeight="1" x14ac:dyDescent="0.3">
      <c r="A16" s="4" t="s">
        <v>24</v>
      </c>
    </row>
    <row r="17" spans="1:1" ht="30" customHeight="1" x14ac:dyDescent="0.3">
      <c r="A17" s="4" t="s">
        <v>25</v>
      </c>
    </row>
    <row r="18" spans="1:1" ht="15" customHeight="1" x14ac:dyDescent="0.3">
      <c r="A18" s="3" t="s">
        <v>26</v>
      </c>
    </row>
    <row r="19" spans="1:1" ht="30" customHeight="1" x14ac:dyDescent="0.3">
      <c r="A19" s="4" t="s">
        <v>27</v>
      </c>
    </row>
    <row r="20" spans="1:1" ht="30" customHeight="1" x14ac:dyDescent="0.3">
      <c r="A20" s="4" t="s">
        <v>28</v>
      </c>
    </row>
    <row r="21" spans="1:1" ht="15" customHeight="1" x14ac:dyDescent="0.3">
      <c r="A21" s="4" t="s">
        <v>29</v>
      </c>
    </row>
    <row r="22" spans="1:1" ht="30" customHeight="1" x14ac:dyDescent="0.3">
      <c r="A22" s="4" t="s">
        <v>30</v>
      </c>
    </row>
    <row r="23" spans="1:1" ht="15" customHeight="1" x14ac:dyDescent="0.3">
      <c r="A23" s="4" t="s">
        <v>31</v>
      </c>
    </row>
    <row r="24" spans="1:1" ht="30" customHeight="1" x14ac:dyDescent="0.3">
      <c r="A24" s="4" t="s">
        <v>32</v>
      </c>
    </row>
    <row r="25" spans="1:1" ht="15" customHeight="1" x14ac:dyDescent="0.3">
      <c r="A25" s="4" t="s">
        <v>33</v>
      </c>
    </row>
    <row r="26" spans="1:1" ht="15" customHeight="1" x14ac:dyDescent="0.3">
      <c r="A26" s="4" t="s">
        <v>34</v>
      </c>
    </row>
    <row r="27" spans="1:1" ht="15" customHeight="1" x14ac:dyDescent="0.3">
      <c r="A27" s="4" t="s">
        <v>35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zoomScaleNormal="100" workbookViewId="0"/>
  </sheetViews>
  <sheetFormatPr defaultColWidth="8.6640625" defaultRowHeight="14.4" x14ac:dyDescent="0.3"/>
  <cols>
    <col min="1" max="1" width="42" customWidth="1"/>
    <col min="2" max="3" width="26" customWidth="1"/>
    <col min="4" max="4" width="30" customWidth="1"/>
  </cols>
  <sheetData>
    <row r="1" spans="1:4" x14ac:dyDescent="0.3">
      <c r="A1" s="5" t="s">
        <v>36</v>
      </c>
      <c r="B1" s="5" t="s">
        <v>37</v>
      </c>
      <c r="C1" s="5" t="s">
        <v>38</v>
      </c>
      <c r="D1" s="5" t="s">
        <v>39</v>
      </c>
    </row>
    <row r="2" spans="1:4" x14ac:dyDescent="0.3">
      <c r="A2" s="6" t="s">
        <v>40</v>
      </c>
      <c r="B2" s="2"/>
      <c r="C2" s="2"/>
      <c r="D2" s="2"/>
    </row>
    <row r="3" spans="1:4" x14ac:dyDescent="0.3">
      <c r="A3" s="2" t="s">
        <v>41</v>
      </c>
      <c r="B3" s="2" t="s">
        <v>42</v>
      </c>
      <c r="C3" s="2" t="s">
        <v>43</v>
      </c>
      <c r="D3" s="2" t="s">
        <v>44</v>
      </c>
    </row>
    <row r="4" spans="1:4" x14ac:dyDescent="0.3">
      <c r="A4" s="2" t="s">
        <v>45</v>
      </c>
      <c r="B4" s="2" t="s">
        <v>46</v>
      </c>
      <c r="C4" s="2" t="s">
        <v>47</v>
      </c>
      <c r="D4" s="2" t="s">
        <v>42</v>
      </c>
    </row>
    <row r="5" spans="1:4" ht="28.8" x14ac:dyDescent="0.3">
      <c r="A5" s="2" t="s">
        <v>48</v>
      </c>
      <c r="B5" s="2" t="s">
        <v>49</v>
      </c>
      <c r="C5" s="2" t="s">
        <v>43</v>
      </c>
      <c r="D5" s="2" t="s">
        <v>50</v>
      </c>
    </row>
    <row r="6" spans="1:4" x14ac:dyDescent="0.3">
      <c r="A6" s="2" t="s">
        <v>51</v>
      </c>
      <c r="B6" s="2" t="s">
        <v>52</v>
      </c>
      <c r="C6" s="2" t="s">
        <v>43</v>
      </c>
      <c r="D6" s="2" t="s">
        <v>42</v>
      </c>
    </row>
    <row r="7" spans="1:4" x14ac:dyDescent="0.3">
      <c r="A7" s="2" t="s">
        <v>53</v>
      </c>
      <c r="B7" s="2" t="s">
        <v>42</v>
      </c>
      <c r="C7" s="2" t="s">
        <v>54</v>
      </c>
      <c r="D7" s="2" t="s">
        <v>44</v>
      </c>
    </row>
    <row r="8" spans="1:4" x14ac:dyDescent="0.3">
      <c r="A8" s="2" t="s">
        <v>55</v>
      </c>
      <c r="B8" s="2" t="s">
        <v>42</v>
      </c>
      <c r="C8" s="2" t="s">
        <v>43</v>
      </c>
      <c r="D8" s="2" t="s">
        <v>44</v>
      </c>
    </row>
    <row r="9" spans="1:4" x14ac:dyDescent="0.3">
      <c r="A9" s="2" t="s">
        <v>56</v>
      </c>
      <c r="B9" s="2" t="s">
        <v>47</v>
      </c>
      <c r="C9" s="2" t="s">
        <v>54</v>
      </c>
      <c r="D9" s="2" t="s">
        <v>44</v>
      </c>
    </row>
    <row r="10" spans="1:4" x14ac:dyDescent="0.3">
      <c r="A10" s="2" t="s">
        <v>57</v>
      </c>
      <c r="B10" s="2"/>
      <c r="C10" s="2" t="s">
        <v>42</v>
      </c>
      <c r="D10" s="2"/>
    </row>
    <row r="11" spans="1:4" x14ac:dyDescent="0.3">
      <c r="A11" s="6" t="s">
        <v>58</v>
      </c>
      <c r="B11" s="2"/>
      <c r="C11" s="2"/>
      <c r="D11" s="2"/>
    </row>
    <row r="12" spans="1:4" ht="28.8" x14ac:dyDescent="0.3">
      <c r="A12" s="2" t="s">
        <v>59</v>
      </c>
      <c r="B12" s="2" t="s">
        <v>49</v>
      </c>
      <c r="C12" s="2" t="s">
        <v>60</v>
      </c>
      <c r="D12" s="2" t="s">
        <v>44</v>
      </c>
    </row>
    <row r="13" spans="1:4" ht="28.8" x14ac:dyDescent="0.3">
      <c r="A13" s="2" t="s">
        <v>61</v>
      </c>
      <c r="B13" s="2" t="s">
        <v>47</v>
      </c>
      <c r="C13" s="2" t="s">
        <v>62</v>
      </c>
      <c r="D13" s="2" t="s">
        <v>44</v>
      </c>
    </row>
    <row r="14" spans="1:4" x14ac:dyDescent="0.3">
      <c r="A14" s="6" t="s">
        <v>63</v>
      </c>
      <c r="B14" s="2"/>
      <c r="C14" s="2"/>
      <c r="D14" s="2"/>
    </row>
    <row r="15" spans="1:4" x14ac:dyDescent="0.3">
      <c r="A15" s="2" t="s">
        <v>64</v>
      </c>
      <c r="B15" s="2" t="s">
        <v>65</v>
      </c>
      <c r="C15" s="2" t="s">
        <v>47</v>
      </c>
      <c r="D15" s="2" t="s">
        <v>66</v>
      </c>
    </row>
    <row r="16" spans="1:4" x14ac:dyDescent="0.3">
      <c r="A16" s="2" t="s">
        <v>67</v>
      </c>
      <c r="B16" s="2" t="s">
        <v>65</v>
      </c>
      <c r="C16" s="2" t="s">
        <v>47</v>
      </c>
      <c r="D16" s="2" t="s">
        <v>42</v>
      </c>
    </row>
    <row r="17" spans="1:4" ht="28.8" x14ac:dyDescent="0.3">
      <c r="A17" s="2" t="s">
        <v>68</v>
      </c>
      <c r="B17" s="2" t="s">
        <v>65</v>
      </c>
      <c r="C17" s="2" t="s">
        <v>43</v>
      </c>
      <c r="D17" s="2" t="s">
        <v>50</v>
      </c>
    </row>
    <row r="18" spans="1:4" x14ac:dyDescent="0.3">
      <c r="A18" s="2" t="s">
        <v>69</v>
      </c>
      <c r="B18" s="2" t="s">
        <v>47</v>
      </c>
      <c r="C18" s="2" t="s">
        <v>43</v>
      </c>
      <c r="D18" s="2" t="s">
        <v>65</v>
      </c>
    </row>
    <row r="19" spans="1:4" x14ac:dyDescent="0.3">
      <c r="A19" s="2" t="s">
        <v>70</v>
      </c>
      <c r="B19" s="2" t="s">
        <v>65</v>
      </c>
      <c r="C19" s="2" t="s">
        <v>43</v>
      </c>
      <c r="D19" s="2" t="s">
        <v>42</v>
      </c>
    </row>
    <row r="20" spans="1:4" ht="28.8" x14ac:dyDescent="0.3">
      <c r="A20" s="2" t="s">
        <v>71</v>
      </c>
      <c r="B20" s="2" t="s">
        <v>65</v>
      </c>
      <c r="C20" s="2" t="s">
        <v>54</v>
      </c>
      <c r="D20" s="2" t="s">
        <v>72</v>
      </c>
    </row>
    <row r="21" spans="1:4" x14ac:dyDescent="0.3">
      <c r="A21" s="2" t="s">
        <v>73</v>
      </c>
      <c r="B21" s="2" t="s">
        <v>47</v>
      </c>
      <c r="C21" s="2" t="s">
        <v>54</v>
      </c>
      <c r="D21" s="2" t="s">
        <v>65</v>
      </c>
    </row>
    <row r="22" spans="1:4" x14ac:dyDescent="0.3">
      <c r="A22" s="2" t="s">
        <v>74</v>
      </c>
      <c r="B22" s="2" t="s">
        <v>47</v>
      </c>
      <c r="C22" s="2" t="s">
        <v>54</v>
      </c>
      <c r="D22" s="2" t="s">
        <v>65</v>
      </c>
    </row>
    <row r="23" spans="1:4" x14ac:dyDescent="0.3">
      <c r="A23" s="2" t="s">
        <v>75</v>
      </c>
      <c r="B23" s="2" t="s">
        <v>65</v>
      </c>
      <c r="C23" s="2" t="s">
        <v>54</v>
      </c>
      <c r="D23" s="2" t="s">
        <v>42</v>
      </c>
    </row>
    <row r="24" spans="1:4" ht="28.8" x14ac:dyDescent="0.3">
      <c r="A24" s="2" t="s">
        <v>76</v>
      </c>
      <c r="B24" s="2" t="s">
        <v>65</v>
      </c>
      <c r="C24" s="2" t="s">
        <v>77</v>
      </c>
      <c r="D24" s="2" t="s">
        <v>50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8"/>
  <sheetViews>
    <sheetView tabSelected="1" zoomScaleNormal="100" workbookViewId="0">
      <selection activeCell="D38" sqref="D38"/>
    </sheetView>
  </sheetViews>
  <sheetFormatPr defaultColWidth="8.6640625" defaultRowHeight="14.4" x14ac:dyDescent="0.3"/>
  <cols>
    <col min="1" max="1" width="8" customWidth="1"/>
    <col min="2" max="2" width="20" customWidth="1"/>
    <col min="3" max="8" width="16" customWidth="1"/>
    <col min="9" max="9" width="10" customWidth="1"/>
    <col min="10" max="17" width="16" customWidth="1"/>
  </cols>
  <sheetData>
    <row r="1" spans="1:9" ht="26.4" x14ac:dyDescent="0.3">
      <c r="B1" s="7" t="s">
        <v>78</v>
      </c>
      <c r="C1" s="8" t="s">
        <v>79</v>
      </c>
    </row>
    <row r="2" spans="1:9" ht="26.4" x14ac:dyDescent="0.3">
      <c r="B2" s="7" t="s">
        <v>1</v>
      </c>
      <c r="C2" s="8" t="s">
        <v>80</v>
      </c>
    </row>
    <row r="3" spans="1:9" x14ac:dyDescent="0.3">
      <c r="B3" s="7" t="s">
        <v>81</v>
      </c>
      <c r="C3" s="8" t="s">
        <v>82</v>
      </c>
    </row>
    <row r="4" spans="1:9" ht="26.4" x14ac:dyDescent="0.3">
      <c r="B4" s="7" t="s">
        <v>83</v>
      </c>
      <c r="C4" s="8" t="s">
        <v>84</v>
      </c>
    </row>
    <row r="6" spans="1:9" ht="26.4" x14ac:dyDescent="0.3">
      <c r="B6" s="7" t="s">
        <v>85</v>
      </c>
    </row>
    <row r="7" spans="1:9" x14ac:dyDescent="0.3">
      <c r="B7" s="8" t="s">
        <v>86</v>
      </c>
      <c r="D7" s="8" t="s">
        <v>87</v>
      </c>
    </row>
    <row r="8" spans="1:9" ht="26.4" x14ac:dyDescent="0.3">
      <c r="B8" s="8" t="s">
        <v>88</v>
      </c>
    </row>
    <row r="9" spans="1:9" x14ac:dyDescent="0.3">
      <c r="B9" s="8" t="s">
        <v>89</v>
      </c>
    </row>
    <row r="11" spans="1:9" ht="66" x14ac:dyDescent="0.3">
      <c r="A11" s="7" t="s">
        <v>90</v>
      </c>
      <c r="B11" s="7" t="s">
        <v>91</v>
      </c>
      <c r="C11" s="8" t="s">
        <v>92</v>
      </c>
    </row>
    <row r="13" spans="1:9" ht="66" x14ac:dyDescent="0.3">
      <c r="A13" s="7" t="s">
        <v>93</v>
      </c>
      <c r="B13" s="7" t="s">
        <v>94</v>
      </c>
      <c r="C13" s="8" t="s">
        <v>95</v>
      </c>
    </row>
    <row r="14" spans="1:9" ht="26.4" x14ac:dyDescent="0.3">
      <c r="B14" s="7" t="s">
        <v>96</v>
      </c>
      <c r="C14" s="7" t="s">
        <v>97</v>
      </c>
      <c r="I14" s="7" t="s">
        <v>98</v>
      </c>
    </row>
    <row r="15" spans="1:9" ht="52.8" x14ac:dyDescent="0.3">
      <c r="C15" s="7" t="s">
        <v>99</v>
      </c>
      <c r="D15" s="7" t="s">
        <v>100</v>
      </c>
      <c r="E15" s="7" t="s">
        <v>101</v>
      </c>
      <c r="F15" s="7" t="s">
        <v>102</v>
      </c>
      <c r="G15" s="7" t="s">
        <v>103</v>
      </c>
      <c r="H15" s="7" t="s">
        <v>104</v>
      </c>
      <c r="I15" s="7" t="s">
        <v>105</v>
      </c>
    </row>
    <row r="16" spans="1:9" x14ac:dyDescent="0.3">
      <c r="B16" s="9" t="s">
        <v>106</v>
      </c>
      <c r="C16" s="8" t="s">
        <v>107</v>
      </c>
      <c r="D16" s="8" t="s">
        <v>107</v>
      </c>
      <c r="E16" s="8" t="s">
        <v>107</v>
      </c>
      <c r="F16" s="8" t="s">
        <v>107</v>
      </c>
      <c r="G16" s="8" t="s">
        <v>107</v>
      </c>
      <c r="H16" s="8" t="s">
        <v>107</v>
      </c>
      <c r="I16" s="9" t="s">
        <v>107</v>
      </c>
    </row>
    <row r="17" spans="1:17" x14ac:dyDescent="0.3">
      <c r="B17" s="9" t="s">
        <v>108</v>
      </c>
      <c r="C17" s="8" t="s">
        <v>87</v>
      </c>
      <c r="D17" s="8" t="s">
        <v>87</v>
      </c>
      <c r="E17" s="8" t="s">
        <v>107</v>
      </c>
      <c r="F17" s="8" t="s">
        <v>107</v>
      </c>
      <c r="G17" s="8" t="s">
        <v>107</v>
      </c>
      <c r="H17" s="8" t="s">
        <v>87</v>
      </c>
      <c r="I17" s="9" t="s">
        <v>107</v>
      </c>
    </row>
    <row r="18" spans="1:17" x14ac:dyDescent="0.3">
      <c r="B18" s="9" t="s">
        <v>109</v>
      </c>
      <c r="C18" s="8" t="s">
        <v>107</v>
      </c>
      <c r="D18" s="8" t="s">
        <v>107</v>
      </c>
      <c r="E18" s="8" t="s">
        <v>107</v>
      </c>
      <c r="F18" s="8" t="s">
        <v>107</v>
      </c>
      <c r="G18" s="8" t="s">
        <v>87</v>
      </c>
      <c r="H18" s="8" t="s">
        <v>87</v>
      </c>
      <c r="I18" s="9" t="s">
        <v>107</v>
      </c>
    </row>
    <row r="19" spans="1:17" ht="26.4" x14ac:dyDescent="0.3">
      <c r="B19" s="10" t="s">
        <v>110</v>
      </c>
      <c r="C19" s="8" t="s">
        <v>107</v>
      </c>
      <c r="D19" s="8" t="s">
        <v>87</v>
      </c>
      <c r="E19" s="8" t="s">
        <v>87</v>
      </c>
      <c r="F19" s="8" t="s">
        <v>87</v>
      </c>
      <c r="G19" s="8" t="s">
        <v>87</v>
      </c>
      <c r="H19" s="8" t="s">
        <v>87</v>
      </c>
      <c r="I19" s="8" t="s">
        <v>87</v>
      </c>
    </row>
    <row r="20" spans="1:17" ht="26.4" x14ac:dyDescent="0.3">
      <c r="B20" s="10" t="s">
        <v>111</v>
      </c>
    </row>
    <row r="22" spans="1:17" ht="92.4" x14ac:dyDescent="0.3">
      <c r="A22" s="7" t="s">
        <v>19</v>
      </c>
      <c r="B22" s="7" t="s">
        <v>112</v>
      </c>
      <c r="C22" s="8" t="s">
        <v>113</v>
      </c>
    </row>
    <row r="23" spans="1:17" ht="26.4" x14ac:dyDescent="0.3">
      <c r="B23" s="7" t="s">
        <v>114</v>
      </c>
      <c r="C23" s="7" t="s">
        <v>115</v>
      </c>
    </row>
    <row r="24" spans="1:17" ht="26.4" x14ac:dyDescent="0.3">
      <c r="C24" s="7" t="s">
        <v>99</v>
      </c>
      <c r="D24" s="7" t="s">
        <v>100</v>
      </c>
      <c r="E24" s="7" t="s">
        <v>101</v>
      </c>
      <c r="F24" s="7" t="s">
        <v>102</v>
      </c>
      <c r="G24" s="7" t="s">
        <v>103</v>
      </c>
      <c r="H24" s="7" t="s">
        <v>116</v>
      </c>
    </row>
    <row r="25" spans="1:17" x14ac:dyDescent="0.3">
      <c r="B25" s="8" t="s">
        <v>145</v>
      </c>
      <c r="C25" s="8">
        <v>1</v>
      </c>
      <c r="D25" s="8">
        <v>5</v>
      </c>
      <c r="E25" s="8">
        <v>3</v>
      </c>
      <c r="F25" s="8">
        <v>2</v>
      </c>
      <c r="G25" s="8">
        <v>1</v>
      </c>
      <c r="H25" s="8">
        <v>3</v>
      </c>
    </row>
    <row r="26" spans="1:17" x14ac:dyDescent="0.3">
      <c r="B26" s="7" t="s">
        <v>119</v>
      </c>
      <c r="C26" s="8">
        <v>4</v>
      </c>
      <c r="D26" s="8">
        <v>8</v>
      </c>
      <c r="E26" s="8">
        <v>8</v>
      </c>
      <c r="F26" s="8">
        <v>6</v>
      </c>
      <c r="G26" s="8">
        <v>10</v>
      </c>
      <c r="H26" s="8">
        <v>8</v>
      </c>
    </row>
    <row r="27" spans="1:17" ht="26.4" x14ac:dyDescent="0.3">
      <c r="B27" s="10" t="s">
        <v>111</v>
      </c>
    </row>
    <row r="29" spans="1:17" x14ac:dyDescent="0.3">
      <c r="A29" s="7" t="s">
        <v>26</v>
      </c>
      <c r="B29" s="7" t="s">
        <v>120</v>
      </c>
    </row>
    <row r="30" spans="1:17" ht="92.4" x14ac:dyDescent="0.3">
      <c r="B30" s="7" t="s">
        <v>121</v>
      </c>
      <c r="C30" s="8" t="s">
        <v>122</v>
      </c>
      <c r="J30" s="8" t="s">
        <v>123</v>
      </c>
    </row>
    <row r="31" spans="1:17" ht="26.4" x14ac:dyDescent="0.3">
      <c r="C31" s="8" t="str">
        <f t="shared" ref="C31:H31" si="0">C24</f>
        <v>License Cost</v>
      </c>
      <c r="D31" s="8" t="str">
        <f t="shared" si="0"/>
        <v>Past Exp</v>
      </c>
      <c r="E31" s="8" t="str">
        <f t="shared" si="0"/>
        <v>Availability of resource</v>
      </c>
      <c r="F31" s="8" t="str">
        <f t="shared" si="0"/>
        <v>Availability of skill set</v>
      </c>
      <c r="G31" s="8" t="str">
        <f t="shared" si="0"/>
        <v>Reusability</v>
      </c>
      <c r="H31" s="8" t="str">
        <f t="shared" si="0"/>
        <v>Flexibility/adaptability</v>
      </c>
      <c r="I31" s="7" t="s">
        <v>124</v>
      </c>
      <c r="J31" s="7" t="s">
        <v>125</v>
      </c>
      <c r="K31" s="7" t="s">
        <v>126</v>
      </c>
      <c r="L31" s="7" t="s">
        <v>127</v>
      </c>
      <c r="M31" s="7" t="s">
        <v>128</v>
      </c>
      <c r="N31" s="7" t="s">
        <v>129</v>
      </c>
      <c r="O31" s="7" t="s">
        <v>130</v>
      </c>
      <c r="P31" s="7" t="s">
        <v>131</v>
      </c>
      <c r="Q31" s="7" t="s">
        <v>132</v>
      </c>
    </row>
    <row r="32" spans="1:17" ht="184.8" x14ac:dyDescent="0.3">
      <c r="B32" s="8" t="str">
        <f>B25</f>
        <v>Angular</v>
      </c>
      <c r="C32" s="8">
        <f>IF(C25="&lt;grade&gt;","tbd",C$26*C25)</f>
        <v>4</v>
      </c>
      <c r="D32" s="8">
        <f>IF(D25="&lt;grade&gt;","tbd",D$26*D25)</f>
        <v>40</v>
      </c>
      <c r="E32" s="8">
        <f>IF(E25="&lt;grade&gt;","tbd",E$26*E25)</f>
        <v>24</v>
      </c>
      <c r="F32" s="8">
        <f>IF(F25="&lt;grade&gt;","tbd",F$26*F25)</f>
        <v>12</v>
      </c>
      <c r="G32" s="8">
        <f>IF(G25="&lt;grade&gt;","tbd",G$26*G25)</f>
        <v>10</v>
      </c>
      <c r="H32" s="8">
        <f>IF(H25="&lt;grade&gt;","tbd",H$26*H25)</f>
        <v>24</v>
      </c>
      <c r="I32" s="8">
        <f>SUM(C32:H32)</f>
        <v>114</v>
      </c>
      <c r="J32" s="8" t="s">
        <v>107</v>
      </c>
      <c r="K32" s="8"/>
      <c r="L32" s="8"/>
      <c r="M32" s="8"/>
      <c r="O32" s="11" t="s">
        <v>87</v>
      </c>
      <c r="P32" s="8" t="s">
        <v>87</v>
      </c>
      <c r="Q32" s="8" t="s">
        <v>133</v>
      </c>
    </row>
    <row r="33" spans="2:9" x14ac:dyDescent="0.3">
      <c r="B33" s="8" t="s">
        <v>117</v>
      </c>
      <c r="C33" s="8" t="s">
        <v>134</v>
      </c>
      <c r="D33" s="8" t="s">
        <v>134</v>
      </c>
      <c r="E33" s="8" t="s">
        <v>134</v>
      </c>
      <c r="F33" s="8" t="s">
        <v>134</v>
      </c>
      <c r="G33" s="8" t="s">
        <v>134</v>
      </c>
      <c r="H33" s="8" t="s">
        <v>134</v>
      </c>
      <c r="I33" s="8">
        <v>0</v>
      </c>
    </row>
    <row r="35" spans="2:9" x14ac:dyDescent="0.3">
      <c r="B35" s="7" t="s">
        <v>135</v>
      </c>
    </row>
    <row r="36" spans="2:9" ht="145.19999999999999" x14ac:dyDescent="0.3">
      <c r="C36" s="8" t="s">
        <v>136</v>
      </c>
    </row>
    <row r="37" spans="2:9" ht="184.8" x14ac:dyDescent="0.3">
      <c r="C37" s="8" t="s">
        <v>137</v>
      </c>
    </row>
    <row r="38" spans="2:9" ht="198" x14ac:dyDescent="0.3">
      <c r="C38" s="8" t="s">
        <v>146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7"/>
  <sheetViews>
    <sheetView zoomScaleNormal="100" workbookViewId="0">
      <selection activeCell="F19" sqref="F19"/>
    </sheetView>
  </sheetViews>
  <sheetFormatPr defaultColWidth="8.6640625" defaultRowHeight="14.4" x14ac:dyDescent="0.3"/>
  <cols>
    <col min="1" max="1" width="8" customWidth="1"/>
    <col min="2" max="2" width="20" customWidth="1"/>
    <col min="3" max="8" width="16" customWidth="1"/>
    <col min="9" max="9" width="10" customWidth="1"/>
    <col min="10" max="17" width="16" customWidth="1"/>
  </cols>
  <sheetData>
    <row r="1" spans="1:9" ht="26.4" x14ac:dyDescent="0.3">
      <c r="B1" s="7" t="s">
        <v>78</v>
      </c>
      <c r="C1" s="8" t="s">
        <v>79</v>
      </c>
    </row>
    <row r="2" spans="1:9" ht="26.4" x14ac:dyDescent="0.3">
      <c r="B2" s="7" t="s">
        <v>1</v>
      </c>
      <c r="C2" s="8" t="s">
        <v>80</v>
      </c>
    </row>
    <row r="3" spans="1:9" x14ac:dyDescent="0.3">
      <c r="B3" s="7" t="s">
        <v>81</v>
      </c>
      <c r="C3" s="8" t="s">
        <v>82</v>
      </c>
    </row>
    <row r="4" spans="1:9" ht="26.4" x14ac:dyDescent="0.3">
      <c r="B4" s="7" t="s">
        <v>83</v>
      </c>
      <c r="C4" s="8" t="s">
        <v>84</v>
      </c>
    </row>
    <row r="6" spans="1:9" ht="26.4" x14ac:dyDescent="0.3">
      <c r="B6" s="7" t="s">
        <v>85</v>
      </c>
    </row>
    <row r="7" spans="1:9" x14ac:dyDescent="0.3">
      <c r="B7" s="8" t="s">
        <v>86</v>
      </c>
      <c r="D7" s="8" t="s">
        <v>87</v>
      </c>
    </row>
    <row r="8" spans="1:9" ht="26.4" x14ac:dyDescent="0.3">
      <c r="B8" s="8" t="s">
        <v>88</v>
      </c>
    </row>
    <row r="9" spans="1:9" x14ac:dyDescent="0.3">
      <c r="B9" s="8" t="s">
        <v>89</v>
      </c>
    </row>
    <row r="11" spans="1:9" ht="79.2" x14ac:dyDescent="0.3">
      <c r="A11" s="7" t="s">
        <v>90</v>
      </c>
      <c r="B11" s="7" t="s">
        <v>91</v>
      </c>
      <c r="C11" s="8" t="s">
        <v>138</v>
      </c>
    </row>
    <row r="13" spans="1:9" ht="66" x14ac:dyDescent="0.3">
      <c r="A13" s="7" t="s">
        <v>93</v>
      </c>
      <c r="B13" s="7" t="s">
        <v>94</v>
      </c>
      <c r="C13" s="8" t="s">
        <v>95</v>
      </c>
    </row>
    <row r="14" spans="1:9" ht="26.4" x14ac:dyDescent="0.3">
      <c r="B14" s="7" t="s">
        <v>96</v>
      </c>
      <c r="C14" s="7" t="s">
        <v>97</v>
      </c>
      <c r="I14" s="7" t="s">
        <v>98</v>
      </c>
    </row>
    <row r="15" spans="1:9" ht="52.8" x14ac:dyDescent="0.3">
      <c r="C15" s="7" t="s">
        <v>99</v>
      </c>
      <c r="D15" s="7" t="s">
        <v>100</v>
      </c>
      <c r="E15" s="7" t="s">
        <v>101</v>
      </c>
      <c r="F15" s="7" t="s">
        <v>102</v>
      </c>
      <c r="G15" s="7" t="s">
        <v>103</v>
      </c>
      <c r="H15" s="7" t="s">
        <v>104</v>
      </c>
      <c r="I15" s="7" t="s">
        <v>105</v>
      </c>
    </row>
    <row r="16" spans="1:9" x14ac:dyDescent="0.3">
      <c r="B16" s="8" t="s">
        <v>139</v>
      </c>
      <c r="C16" s="8" t="s">
        <v>87</v>
      </c>
      <c r="D16" s="8" t="s">
        <v>87</v>
      </c>
      <c r="E16" s="8" t="s">
        <v>87</v>
      </c>
      <c r="F16" s="8" t="s">
        <v>87</v>
      </c>
      <c r="G16" s="8" t="s">
        <v>87</v>
      </c>
      <c r="H16" s="8" t="s">
        <v>87</v>
      </c>
      <c r="I16" s="8" t="s">
        <v>87</v>
      </c>
    </row>
    <row r="17" spans="1:9" x14ac:dyDescent="0.3">
      <c r="B17" s="8" t="s">
        <v>140</v>
      </c>
      <c r="C17" s="8" t="s">
        <v>87</v>
      </c>
      <c r="D17" s="8" t="s">
        <v>87</v>
      </c>
      <c r="E17" s="8" t="s">
        <v>87</v>
      </c>
      <c r="F17" s="8" t="s">
        <v>87</v>
      </c>
      <c r="G17" s="8" t="s">
        <v>87</v>
      </c>
      <c r="H17" s="8" t="s">
        <v>87</v>
      </c>
      <c r="I17" s="8" t="s">
        <v>87</v>
      </c>
    </row>
    <row r="18" spans="1:9" ht="26.4" x14ac:dyDescent="0.3">
      <c r="B18" s="10" t="s">
        <v>111</v>
      </c>
    </row>
    <row r="20" spans="1:9" ht="92.4" x14ac:dyDescent="0.3">
      <c r="A20" s="7" t="s">
        <v>19</v>
      </c>
      <c r="B20" s="7" t="s">
        <v>112</v>
      </c>
      <c r="C20" s="8" t="s">
        <v>113</v>
      </c>
    </row>
    <row r="21" spans="1:9" ht="26.4" x14ac:dyDescent="0.3">
      <c r="B21" s="7" t="s">
        <v>114</v>
      </c>
      <c r="C21" s="7" t="s">
        <v>115</v>
      </c>
    </row>
    <row r="22" spans="1:9" ht="26.4" x14ac:dyDescent="0.3">
      <c r="C22" s="7" t="s">
        <v>99</v>
      </c>
      <c r="D22" s="7" t="s">
        <v>100</v>
      </c>
      <c r="E22" s="7" t="s">
        <v>101</v>
      </c>
      <c r="F22" s="7" t="s">
        <v>102</v>
      </c>
      <c r="G22" s="7" t="s">
        <v>103</v>
      </c>
      <c r="H22" s="7" t="s">
        <v>116</v>
      </c>
    </row>
    <row r="23" spans="1:9" x14ac:dyDescent="0.3">
      <c r="B23" s="8" t="s">
        <v>140</v>
      </c>
      <c r="C23" s="8">
        <v>5</v>
      </c>
      <c r="D23" s="8">
        <v>5</v>
      </c>
      <c r="E23" s="8">
        <v>4</v>
      </c>
      <c r="F23" s="8">
        <v>5</v>
      </c>
      <c r="G23" s="8">
        <v>4</v>
      </c>
      <c r="H23" s="8">
        <v>5</v>
      </c>
    </row>
    <row r="24" spans="1:9" x14ac:dyDescent="0.3">
      <c r="B24" s="8" t="s">
        <v>117</v>
      </c>
      <c r="C24" s="8" t="s">
        <v>118</v>
      </c>
      <c r="D24" s="8" t="s">
        <v>118</v>
      </c>
      <c r="E24" s="8" t="s">
        <v>118</v>
      </c>
      <c r="F24" s="8" t="s">
        <v>118</v>
      </c>
      <c r="G24" s="8" t="s">
        <v>118</v>
      </c>
      <c r="H24" s="8" t="s">
        <v>118</v>
      </c>
    </row>
    <row r="25" spans="1:9" x14ac:dyDescent="0.3">
      <c r="B25" s="8" t="s">
        <v>117</v>
      </c>
      <c r="C25" s="8" t="s">
        <v>118</v>
      </c>
      <c r="D25" s="8" t="s">
        <v>118</v>
      </c>
      <c r="E25" s="8" t="s">
        <v>118</v>
      </c>
      <c r="F25" s="8" t="s">
        <v>118</v>
      </c>
      <c r="G25" s="8" t="s">
        <v>118</v>
      </c>
      <c r="H25" s="8" t="s">
        <v>118</v>
      </c>
    </row>
    <row r="26" spans="1:9" x14ac:dyDescent="0.3">
      <c r="B26" s="8" t="s">
        <v>117</v>
      </c>
      <c r="C26" s="8" t="s">
        <v>118</v>
      </c>
      <c r="D26" s="8" t="s">
        <v>118</v>
      </c>
      <c r="E26" s="8" t="s">
        <v>118</v>
      </c>
      <c r="F26" s="8" t="s">
        <v>118</v>
      </c>
      <c r="G26" s="8" t="s">
        <v>118</v>
      </c>
      <c r="H26" s="8" t="s">
        <v>118</v>
      </c>
    </row>
    <row r="27" spans="1:9" x14ac:dyDescent="0.3">
      <c r="B27" s="8" t="s">
        <v>117</v>
      </c>
      <c r="C27" s="8" t="s">
        <v>118</v>
      </c>
      <c r="D27" s="8" t="s">
        <v>118</v>
      </c>
      <c r="E27" s="8" t="s">
        <v>118</v>
      </c>
      <c r="F27" s="8" t="s">
        <v>118</v>
      </c>
      <c r="G27" s="8" t="s">
        <v>118</v>
      </c>
      <c r="H27" s="8" t="s">
        <v>118</v>
      </c>
    </row>
    <row r="28" spans="1:9" x14ac:dyDescent="0.3">
      <c r="B28" s="8" t="s">
        <v>117</v>
      </c>
      <c r="C28" s="8" t="s">
        <v>118</v>
      </c>
      <c r="D28" s="8" t="s">
        <v>118</v>
      </c>
      <c r="E28" s="8" t="s">
        <v>118</v>
      </c>
      <c r="F28" s="8" t="s">
        <v>118</v>
      </c>
      <c r="G28" s="8" t="s">
        <v>118</v>
      </c>
      <c r="H28" s="8" t="s">
        <v>118</v>
      </c>
    </row>
    <row r="29" spans="1:9" x14ac:dyDescent="0.3">
      <c r="B29" s="8" t="s">
        <v>117</v>
      </c>
      <c r="C29" s="8" t="s">
        <v>118</v>
      </c>
      <c r="D29" s="8" t="s">
        <v>118</v>
      </c>
      <c r="E29" s="8" t="s">
        <v>118</v>
      </c>
      <c r="F29" s="8" t="s">
        <v>118</v>
      </c>
      <c r="G29" s="8" t="s">
        <v>118</v>
      </c>
      <c r="H29" s="8" t="s">
        <v>118</v>
      </c>
    </row>
    <row r="30" spans="1:9" x14ac:dyDescent="0.3">
      <c r="B30" s="7" t="s">
        <v>119</v>
      </c>
      <c r="C30" s="8">
        <v>4</v>
      </c>
      <c r="D30" s="8">
        <v>8</v>
      </c>
      <c r="E30" s="8">
        <v>8</v>
      </c>
      <c r="F30" s="8">
        <v>6</v>
      </c>
      <c r="G30" s="8">
        <v>10</v>
      </c>
      <c r="H30" s="8">
        <v>8</v>
      </c>
    </row>
    <row r="31" spans="1:9" ht="26.4" x14ac:dyDescent="0.3">
      <c r="B31" s="10" t="s">
        <v>111</v>
      </c>
    </row>
    <row r="33" spans="1:17" x14ac:dyDescent="0.3">
      <c r="A33" s="7" t="s">
        <v>26</v>
      </c>
      <c r="B33" s="7" t="s">
        <v>120</v>
      </c>
    </row>
    <row r="34" spans="1:17" ht="92.4" x14ac:dyDescent="0.3">
      <c r="B34" s="7" t="s">
        <v>121</v>
      </c>
      <c r="C34" s="8" t="s">
        <v>122</v>
      </c>
      <c r="J34" s="8" t="s">
        <v>123</v>
      </c>
    </row>
    <row r="35" spans="1:17" ht="26.4" x14ac:dyDescent="0.3">
      <c r="C35" s="8" t="str">
        <f t="shared" ref="C35:H35" si="0">C22</f>
        <v>License Cost</v>
      </c>
      <c r="D35" s="8" t="str">
        <f t="shared" si="0"/>
        <v>Past Exp</v>
      </c>
      <c r="E35" s="8" t="str">
        <f t="shared" si="0"/>
        <v>Availability of resource</v>
      </c>
      <c r="F35" s="8" t="str">
        <f t="shared" si="0"/>
        <v>Availability of skill set</v>
      </c>
      <c r="G35" s="8" t="str">
        <f t="shared" si="0"/>
        <v>Reusability</v>
      </c>
      <c r="H35" s="8" t="str">
        <f t="shared" si="0"/>
        <v>Flexibility/adaptability</v>
      </c>
      <c r="I35" s="7" t="s">
        <v>124</v>
      </c>
      <c r="J35" s="7" t="s">
        <v>125</v>
      </c>
      <c r="K35" s="7" t="s">
        <v>126</v>
      </c>
      <c r="L35" s="7" t="s">
        <v>127</v>
      </c>
      <c r="M35" s="7" t="s">
        <v>128</v>
      </c>
      <c r="N35" s="7" t="s">
        <v>129</v>
      </c>
      <c r="O35" s="7" t="s">
        <v>130</v>
      </c>
      <c r="P35" s="7" t="s">
        <v>131</v>
      </c>
      <c r="Q35" s="7" t="s">
        <v>132</v>
      </c>
    </row>
    <row r="36" spans="1:17" ht="330" x14ac:dyDescent="0.3">
      <c r="B36" s="8" t="str">
        <f>B23</f>
        <v>Android (native)</v>
      </c>
      <c r="C36" s="8">
        <f t="shared" ref="C36:H36" si="1">IF(C23="&lt;grade&gt;","tbd",C$30*C23)</f>
        <v>20</v>
      </c>
      <c r="D36" s="8">
        <f t="shared" si="1"/>
        <v>40</v>
      </c>
      <c r="E36" s="8">
        <f t="shared" si="1"/>
        <v>32</v>
      </c>
      <c r="F36" s="8">
        <f t="shared" si="1"/>
        <v>30</v>
      </c>
      <c r="G36" s="8">
        <f t="shared" si="1"/>
        <v>40</v>
      </c>
      <c r="H36" s="8">
        <f t="shared" si="1"/>
        <v>40</v>
      </c>
      <c r="I36" s="8">
        <f>SUM(C36:H36)</f>
        <v>202</v>
      </c>
      <c r="J36" s="8" t="s">
        <v>107</v>
      </c>
      <c r="K36" s="8"/>
      <c r="L36" s="8"/>
      <c r="M36" s="8"/>
      <c r="O36" s="11" t="s">
        <v>87</v>
      </c>
      <c r="P36" s="8" t="s">
        <v>87</v>
      </c>
      <c r="Q36" s="8" t="s">
        <v>141</v>
      </c>
    </row>
    <row r="37" spans="1:17" x14ac:dyDescent="0.3">
      <c r="B37" s="8" t="s">
        <v>117</v>
      </c>
      <c r="C37" s="8" t="s">
        <v>134</v>
      </c>
      <c r="D37" s="8" t="s">
        <v>134</v>
      </c>
      <c r="E37" s="8" t="s">
        <v>134</v>
      </c>
      <c r="F37" s="8" t="s">
        <v>134</v>
      </c>
      <c r="G37" s="8" t="s">
        <v>134</v>
      </c>
      <c r="H37" s="8" t="s">
        <v>134</v>
      </c>
      <c r="I37" s="8">
        <v>0</v>
      </c>
    </row>
    <row r="38" spans="1:17" x14ac:dyDescent="0.3">
      <c r="B38" s="8" t="s">
        <v>117</v>
      </c>
      <c r="C38" s="8" t="s">
        <v>134</v>
      </c>
      <c r="D38" s="8" t="s">
        <v>134</v>
      </c>
      <c r="E38" s="8" t="s">
        <v>134</v>
      </c>
      <c r="F38" s="8" t="s">
        <v>134</v>
      </c>
      <c r="G38" s="8" t="s">
        <v>134</v>
      </c>
      <c r="H38" s="8" t="s">
        <v>134</v>
      </c>
      <c r="I38" s="8">
        <v>0</v>
      </c>
    </row>
    <row r="39" spans="1:17" x14ac:dyDescent="0.3">
      <c r="B39" s="8" t="s">
        <v>117</v>
      </c>
      <c r="C39" s="8" t="s">
        <v>134</v>
      </c>
      <c r="D39" s="8" t="s">
        <v>134</v>
      </c>
      <c r="E39" s="8" t="s">
        <v>134</v>
      </c>
      <c r="F39" s="8" t="s">
        <v>134</v>
      </c>
      <c r="G39" s="8" t="s">
        <v>134</v>
      </c>
      <c r="H39" s="8" t="s">
        <v>134</v>
      </c>
      <c r="I39" s="8">
        <v>0</v>
      </c>
    </row>
    <row r="40" spans="1:17" x14ac:dyDescent="0.3">
      <c r="B40" s="8" t="s">
        <v>117</v>
      </c>
      <c r="C40" s="8" t="s">
        <v>134</v>
      </c>
      <c r="D40" s="8" t="s">
        <v>134</v>
      </c>
      <c r="E40" s="8" t="s">
        <v>134</v>
      </c>
      <c r="F40" s="8" t="s">
        <v>134</v>
      </c>
      <c r="G40" s="8" t="s">
        <v>134</v>
      </c>
      <c r="H40" s="8" t="s">
        <v>134</v>
      </c>
      <c r="I40" s="8">
        <v>0</v>
      </c>
    </row>
    <row r="41" spans="1:17" x14ac:dyDescent="0.3">
      <c r="B41" s="8" t="s">
        <v>117</v>
      </c>
      <c r="C41" s="8" t="s">
        <v>134</v>
      </c>
      <c r="D41" s="8" t="s">
        <v>134</v>
      </c>
      <c r="E41" s="8" t="s">
        <v>134</v>
      </c>
      <c r="F41" s="8" t="s">
        <v>134</v>
      </c>
      <c r="G41" s="8" t="s">
        <v>134</v>
      </c>
      <c r="H41" s="8" t="s">
        <v>134</v>
      </c>
      <c r="I41" s="8">
        <v>0</v>
      </c>
    </row>
    <row r="42" spans="1:17" x14ac:dyDescent="0.3">
      <c r="B42" s="8" t="s">
        <v>117</v>
      </c>
      <c r="C42" s="8" t="s">
        <v>134</v>
      </c>
      <c r="D42" s="8" t="s">
        <v>134</v>
      </c>
      <c r="E42" s="8" t="s">
        <v>134</v>
      </c>
      <c r="F42" s="8" t="s">
        <v>134</v>
      </c>
      <c r="G42" s="8" t="s">
        <v>134</v>
      </c>
      <c r="H42" s="8" t="s">
        <v>134</v>
      </c>
      <c r="I42" s="8">
        <v>0</v>
      </c>
    </row>
    <row r="44" spans="1:17" x14ac:dyDescent="0.3">
      <c r="B44" s="7" t="s">
        <v>135</v>
      </c>
    </row>
    <row r="45" spans="1:17" ht="145.19999999999999" x14ac:dyDescent="0.3">
      <c r="C45" s="8" t="s">
        <v>142</v>
      </c>
    </row>
    <row r="46" spans="1:17" ht="145.19999999999999" x14ac:dyDescent="0.3">
      <c r="C46" s="8" t="s">
        <v>143</v>
      </c>
    </row>
    <row r="47" spans="1:17" ht="145.19999999999999" x14ac:dyDescent="0.3">
      <c r="C47" s="8" t="s">
        <v>144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vt:lpstr>
      <vt:lpstr>Instructions</vt:lpstr>
      <vt:lpstr>Areas that need DAR</vt:lpstr>
      <vt:lpstr>DAR for Web Technology</vt:lpstr>
      <vt:lpstr>DAR for Mobile Platform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Dheeraj Motiyani</cp:lastModifiedBy>
  <cp:revision>0</cp:revision>
  <dcterms:created xsi:type="dcterms:W3CDTF">2026-08-27T05:22:16Z</dcterms:created>
  <dcterms:modified xsi:type="dcterms:W3CDTF">2026-09-01T05:36:35Z</dcterms:modified>
  <dc:language>en-US</dc:language>
</cp:coreProperties>
</file>