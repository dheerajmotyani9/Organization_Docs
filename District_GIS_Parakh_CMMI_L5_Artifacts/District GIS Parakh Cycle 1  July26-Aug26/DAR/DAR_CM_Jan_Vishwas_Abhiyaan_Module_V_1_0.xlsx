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M Jan Vishwas Module" sheetId="1" state="visible" r:id="rId1"/>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color theme="1"/>
      <sz val="11"/>
    </font>
    <font>
      <name val="Arial"/>
      <family val="2"/>
      <color theme="1"/>
      <sz val="9"/>
    </font>
    <font>
      <name val="Arial"/>
      <family val="2"/>
      <b val="1"/>
      <color theme="1"/>
      <sz val="8"/>
    </font>
    <font>
      <name val="Arial"/>
      <family val="2"/>
      <color theme="1"/>
      <sz val="8"/>
    </font>
    <font>
      <name val="Arial"/>
      <family val="2"/>
      <b val="1"/>
      <sz val="8"/>
    </font>
    <font>
      <name val="Arial"/>
      <family val="2"/>
      <sz val="8"/>
    </font>
    <font>
      <name val="Arial Bold"/>
      <b val="1"/>
      <sz val="8"/>
    </font>
  </fonts>
  <fills count="5">
    <fill>
      <patternFill/>
    </fill>
    <fill>
      <patternFill patternType="gray125"/>
    </fill>
    <fill>
      <patternFill patternType="solid">
        <fgColor theme="4" tint="0.7999816888943144"/>
        <bgColor indexed="64"/>
      </patternFill>
    </fill>
    <fill>
      <patternFill patternType="solid">
        <fgColor theme="6" tint="0.7999816888943144"/>
        <bgColor indexed="64"/>
      </patternFill>
    </fill>
    <fill>
      <patternFill patternType="solid">
        <fgColor theme="0" tint="-0.0499893185216834"/>
        <bgColor indexed="64"/>
      </patternFill>
    </fill>
  </fills>
  <borders count="20">
    <border>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49">
    <xf numFmtId="0" fontId="0" fillId="0" borderId="0" pivotButton="0" quotePrefix="0" xfId="0"/>
    <xf numFmtId="0" fontId="3" fillId="2" borderId="1" applyAlignment="1" pivotButton="0" quotePrefix="0" xfId="0">
      <alignment horizontal="center" vertical="center"/>
    </xf>
    <xf numFmtId="0" fontId="0" fillId="0" borderId="11" applyAlignment="1" pivotButton="0" quotePrefix="0" xfId="0">
      <alignment vertical="center"/>
    </xf>
    <xf numFmtId="0" fontId="0" fillId="0" borderId="12" applyAlignment="1" pivotButton="0" quotePrefix="0" xfId="0">
      <alignment vertical="center"/>
    </xf>
    <xf numFmtId="0" fontId="1" fillId="0" borderId="0" applyAlignment="1" pivotButton="0" quotePrefix="0" xfId="0">
      <alignment vertical="center"/>
    </xf>
    <xf numFmtId="0" fontId="3" fillId="2" borderId="2" applyAlignment="1" applyProtection="1" pivotButton="0" quotePrefix="0" xfId="0">
      <alignment vertical="center"/>
      <protection locked="0" hidden="0"/>
    </xf>
    <xf numFmtId="0" fontId="4" fillId="0" borderId="10" applyAlignment="1" applyProtection="1" pivotButton="0" quotePrefix="0" xfId="0">
      <alignment horizontal="center" vertical="center"/>
      <protection locked="0" hidden="0"/>
    </xf>
    <xf numFmtId="0" fontId="0" fillId="0" borderId="4" applyAlignment="1" applyProtection="1" pivotButton="0" quotePrefix="0" xfId="0">
      <alignment vertical="center"/>
      <protection locked="0" hidden="0"/>
    </xf>
    <xf numFmtId="0" fontId="0" fillId="0" borderId="5" applyAlignment="1" applyProtection="1" pivotButton="0" quotePrefix="0" xfId="0">
      <alignment vertical="center"/>
      <protection locked="0" hidden="0"/>
    </xf>
    <xf numFmtId="0" fontId="3" fillId="2" borderId="3" applyAlignment="1" applyProtection="1" pivotButton="0" quotePrefix="0" xfId="0">
      <alignment vertical="center"/>
      <protection locked="0" hidden="0"/>
    </xf>
    <xf numFmtId="0" fontId="3" fillId="2" borderId="6" applyAlignment="1" pivotButton="0" quotePrefix="0" xfId="0">
      <alignment horizontal="left" vertical="center"/>
    </xf>
    <xf numFmtId="0" fontId="4" fillId="0" borderId="6" applyAlignment="1" applyProtection="1" pivotButton="0" quotePrefix="0" xfId="0">
      <alignment horizontal="center" vertical="center"/>
      <protection locked="0" hidden="0"/>
    </xf>
    <xf numFmtId="0" fontId="0" fillId="0" borderId="7" applyAlignment="1" applyProtection="1" pivotButton="0" quotePrefix="0" xfId="0">
      <alignment vertical="center"/>
      <protection locked="0" hidden="0"/>
    </xf>
    <xf numFmtId="0" fontId="0" fillId="0" borderId="8" applyAlignment="1" applyProtection="1" pivotButton="0" quotePrefix="0" xfId="0">
      <alignment vertical="center"/>
      <protection locked="0" hidden="0"/>
    </xf>
    <xf numFmtId="0" fontId="3" fillId="2" borderId="6" applyAlignment="1" applyProtection="1" pivotButton="0" quotePrefix="0" xfId="0">
      <alignment horizontal="left" vertical="center"/>
      <protection locked="0" hidden="0"/>
    </xf>
    <xf numFmtId="14" fontId="4" fillId="0" borderId="6" applyAlignment="1" applyProtection="1" pivotButton="0" quotePrefix="0" xfId="0">
      <alignment horizontal="center" vertical="center"/>
      <protection locked="0" hidden="0"/>
    </xf>
    <xf numFmtId="0" fontId="4" fillId="0" borderId="6" applyAlignment="1" applyProtection="1" pivotButton="0" quotePrefix="0" xfId="0">
      <alignment horizontal="left" vertical="center"/>
      <protection locked="0" hidden="0"/>
    </xf>
    <xf numFmtId="0" fontId="3" fillId="2" borderId="6" applyAlignment="1" pivotButton="0" quotePrefix="0" xfId="0">
      <alignment vertical="center"/>
    </xf>
    <xf numFmtId="0" fontId="3" fillId="2" borderId="9" applyAlignment="1" pivotButton="0" quotePrefix="0" xfId="0">
      <alignment horizontal="left" vertical="center" wrapText="1"/>
    </xf>
    <xf numFmtId="0" fontId="3" fillId="2" borderId="6" applyAlignment="1" pivotButton="0" quotePrefix="0" xfId="0">
      <alignment horizontal="center" vertical="center" wrapText="1"/>
    </xf>
    <xf numFmtId="0" fontId="0" fillId="0" borderId="7" applyAlignment="1" pivotButton="0" quotePrefix="0" xfId="0">
      <alignment vertical="center"/>
    </xf>
    <xf numFmtId="0" fontId="0" fillId="0" borderId="8" applyAlignment="1" pivotButton="0" quotePrefix="0" xfId="0">
      <alignment vertical="center"/>
    </xf>
    <xf numFmtId="0" fontId="4" fillId="0" borderId="6" applyAlignment="1" applyProtection="1" pivotButton="0" quotePrefix="0" xfId="0">
      <alignment horizontal="left" vertical="center" wrapText="1"/>
      <protection locked="0" hidden="0"/>
    </xf>
    <xf numFmtId="0" fontId="5" fillId="2" borderId="6" applyAlignment="1" pivotButton="0" quotePrefix="0" xfId="0">
      <alignment horizontal="center" vertical="center" wrapText="1"/>
    </xf>
    <xf numFmtId="0" fontId="4" fillId="0" borderId="6" applyAlignment="1" applyProtection="1" pivotButton="0" quotePrefix="0" xfId="0">
      <alignment horizontal="center" vertical="center" wrapText="1"/>
      <protection locked="0" hidden="0"/>
    </xf>
    <xf numFmtId="0" fontId="5" fillId="2" borderId="6" applyAlignment="1" pivotButton="0" quotePrefix="0" xfId="0">
      <alignment horizontal="center" vertical="center"/>
    </xf>
    <xf numFmtId="0" fontId="0" fillId="0" borderId="10" applyAlignment="1" pivotButton="0" quotePrefix="0" xfId="0">
      <alignment vertical="center"/>
    </xf>
    <xf numFmtId="0" fontId="5" fillId="2" borderId="6" applyAlignment="1" pivotButton="0" quotePrefix="0" xfId="0">
      <alignment horizontal="center" vertical="center" wrapText="1"/>
    </xf>
    <xf numFmtId="0" fontId="6" fillId="3" borderId="6" applyAlignment="1" pivotButton="0" quotePrefix="0" xfId="0">
      <alignment horizontal="left" vertical="center" wrapText="1"/>
    </xf>
    <xf numFmtId="0" fontId="4" fillId="0" borderId="6" applyAlignment="1" applyProtection="1" pivotButton="0" quotePrefix="0" xfId="0">
      <alignment horizontal="center" vertical="center"/>
      <protection locked="0" hidden="0"/>
    </xf>
    <xf numFmtId="0" fontId="4" fillId="3" borderId="6" applyAlignment="1" pivotButton="0" quotePrefix="0" xfId="0">
      <alignment horizontal="center" vertical="center"/>
    </xf>
    <xf numFmtId="0" fontId="3" fillId="2" borderId="6" applyAlignment="1" pivotButton="0" quotePrefix="0" xfId="0">
      <alignment horizontal="center" vertical="center" wrapText="1"/>
    </xf>
    <xf numFmtId="2" fontId="3" fillId="3" borderId="6" applyAlignment="1" pivotButton="0" quotePrefix="0" xfId="0">
      <alignment horizontal="center" vertical="center"/>
    </xf>
    <xf numFmtId="0" fontId="5" fillId="4"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3" borderId="6" applyAlignment="1" pivotButton="0" quotePrefix="0" xfId="0">
      <alignment horizontal="center" vertical="center"/>
    </xf>
    <xf numFmtId="0" fontId="7" fillId="2" borderId="6" applyAlignment="1" pivotButton="0" quotePrefix="0" xfId="0">
      <alignment horizontal="left" vertical="center" wrapText="1"/>
    </xf>
    <xf numFmtId="0" fontId="7" fillId="2" borderId="6" applyAlignment="1" pivotButton="0" quotePrefix="0" xfId="0">
      <alignment horizontal="left" vertical="center"/>
    </xf>
    <xf numFmtId="0" fontId="3" fillId="2" borderId="6" applyAlignment="1" pivotButton="0" quotePrefix="0" xfId="0">
      <alignment horizontal="center" vertical="center"/>
    </xf>
    <xf numFmtId="0" fontId="2" fillId="0" borderId="0" applyAlignment="1" pivotButton="0" quotePrefix="0" xfId="0">
      <alignment vertical="center"/>
    </xf>
    <xf numFmtId="0" fontId="0" fillId="0" borderId="11" pivotButton="0" quotePrefix="0" xfId="0"/>
    <xf numFmtId="0" fontId="0" fillId="0" borderId="12" pivotButton="0" quotePrefix="0" xfId="0"/>
    <xf numFmtId="0" fontId="0" fillId="0" borderId="4" applyProtection="1" pivotButton="0" quotePrefix="0" xfId="0">
      <protection locked="0" hidden="0"/>
    </xf>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7" pivotButton="0" quotePrefix="0" xfId="0"/>
    <xf numFmtId="0" fontId="0" fillId="0" borderId="8"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IQVIA">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44"/>
  <sheetViews>
    <sheetView tabSelected="1" topLeftCell="A38" workbookViewId="0">
      <selection activeCell="I48" activeCellId="1" sqref="C38:I38 I48"/>
    </sheetView>
  </sheetViews>
  <sheetFormatPr baseColWidth="8" defaultColWidth="21.77734375" defaultRowHeight="13.8"/>
  <cols>
    <col width="21.77734375" customWidth="1" style="4" min="1" max="3"/>
    <col width="11.77734375" customWidth="1" style="4" min="4" max="4"/>
    <col width="21.77734375" customWidth="1" style="4" min="5" max="5"/>
    <col width="21.77734375" customWidth="1" style="4" min="6" max="16384"/>
  </cols>
  <sheetData>
    <row r="1" ht="19.5" customHeight="1" thickBot="1">
      <c r="A1" s="1" t="inlineStr">
        <is>
          <t>DAR Form</t>
        </is>
      </c>
      <c r="B1" s="40" t="n"/>
      <c r="C1" s="40" t="n"/>
      <c r="D1" s="40" t="n"/>
      <c r="E1" s="40" t="n"/>
      <c r="F1" s="40" t="n"/>
      <c r="G1" s="40" t="n"/>
      <c r="H1" s="40" t="n"/>
      <c r="I1" s="41" t="n"/>
    </row>
    <row r="2" ht="19.5" customHeight="1">
      <c r="A2" s="5" t="inlineStr">
        <is>
          <t>Group Name</t>
        </is>
      </c>
      <c r="B2" s="6" t="inlineStr">
        <is>
          <t>MPSeDC GIS Team / District e-Governance Managers (Statewide, 55 Districts)</t>
        </is>
      </c>
      <c r="C2" s="42" t="n"/>
      <c r="D2" s="43" t="n"/>
      <c r="E2" s="5" t="inlineStr">
        <is>
          <t>Project Name</t>
        </is>
      </c>
      <c r="F2" s="9" t="n"/>
      <c r="G2" s="6" t="inlineStr">
        <is>
          <t>District GIS Parakh – CM Jan Vishwas Abhiyaan Module</t>
        </is>
      </c>
      <c r="H2" s="42" t="n"/>
      <c r="I2" s="43" t="n"/>
    </row>
    <row r="3" ht="19.5" customHeight="1">
      <c r="A3" s="10" t="inlineStr">
        <is>
          <t>Decision Seeker</t>
        </is>
      </c>
      <c r="B3" s="29" t="inlineStr">
        <is>
          <t>Rakesh Dubey (GIS Head)</t>
        </is>
      </c>
      <c r="C3" s="44" t="n"/>
      <c r="D3" s="45" t="n"/>
      <c r="E3" s="14" t="inlineStr">
        <is>
          <t>Evaluation Date</t>
        </is>
      </c>
      <c r="F3" s="45" t="n"/>
      <c r="G3" s="15" t="n">
        <v>46258</v>
      </c>
      <c r="H3" s="44" t="n"/>
      <c r="I3" s="45" t="n"/>
    </row>
    <row r="4" ht="19.5" customHeight="1">
      <c r="A4" s="10" t="inlineStr">
        <is>
          <t>Problem Statement</t>
        </is>
      </c>
      <c r="B4" s="16" t="inlineStr">
        <is>
          <t>Selection of the inspection-form strategy for the Mukhyamantri Jan Vishwas Abhiyaan rollout across all 55 districts of Madhya Pradesh — how many form variants to maintain and at what level of standardisation.</t>
        </is>
      </c>
      <c r="C4" s="44" t="n"/>
      <c r="D4" s="44" t="n"/>
      <c r="E4" s="44" t="n"/>
      <c r="F4" s="44" t="n"/>
      <c r="G4" s="44" t="n"/>
      <c r="H4" s="44" t="n"/>
      <c r="I4" s="45" t="n"/>
    </row>
    <row r="5" ht="19.5" customHeight="1">
      <c r="A5" s="17" t="inlineStr">
        <is>
          <t>Scope of DAR</t>
        </is>
      </c>
      <c r="B5" s="16" t="inlineStr">
        <is>
          <t>Covers the form-standardisation decision for the 15-sector inspection-form package used statewide under the Jan Vishwas Abhiyaan review cycle (7-Aug-2026 to 8-Jan-2027), including the extent to which districts may add local fields.</t>
        </is>
      </c>
      <c r="C5" s="44" t="n"/>
      <c r="D5" s="44" t="n"/>
      <c r="E5" s="44" t="n"/>
      <c r="F5" s="44" t="n"/>
      <c r="G5" s="44" t="n"/>
      <c r="H5" s="44" t="n"/>
      <c r="I5" s="45" t="n"/>
    </row>
    <row r="6" ht="19.5" customHeight="1">
      <c r="A6" s="18" t="inlineStr">
        <is>
          <t>DAR Team Members</t>
        </is>
      </c>
      <c r="B6" s="16" t="inlineStr">
        <is>
          <t>MPSeDC GIS Team, District e-Governance Managers (multi-district)</t>
        </is>
      </c>
      <c r="C6" s="44" t="n"/>
      <c r="D6" s="44" t="n"/>
      <c r="E6" s="44" t="n"/>
      <c r="F6" s="44" t="n"/>
      <c r="G6" s="44" t="n"/>
      <c r="H6" s="44" t="n"/>
      <c r="I6" s="45" t="n"/>
    </row>
    <row r="7" ht="19.5" customHeight="1">
      <c r="A7" s="31" t="inlineStr">
        <is>
          <t>Alternatives</t>
        </is>
      </c>
      <c r="B7" s="46" t="n"/>
      <c r="C7" s="47" t="n"/>
      <c r="D7" s="31" t="inlineStr">
        <is>
          <t>Source of Alternatives</t>
        </is>
      </c>
      <c r="E7" s="46" t="n"/>
      <c r="F7" s="47" t="n"/>
      <c r="G7" s="31" t="inlineStr">
        <is>
          <t>Remarks</t>
        </is>
      </c>
      <c r="H7" s="46" t="n"/>
      <c r="I7" s="47" t="n"/>
    </row>
    <row r="8" ht="44.4" customHeight="1">
      <c r="A8" s="22" t="inlineStr">
        <is>
          <t>A1 – Fully district-customized forms (each of the 55 districts designs its own)</t>
        </is>
      </c>
      <c r="B8" s="44" t="n"/>
      <c r="C8" s="45" t="n"/>
      <c r="D8" s="22" t="inlineStr">
        <is>
          <t>Derived from the observation that local sector needs vary by district.</t>
        </is>
      </c>
      <c r="E8" s="44" t="n"/>
      <c r="F8" s="45" t="n"/>
      <c r="G8" s="29" t="inlineStr">
        <is>
          <t>Rejected — meets 'covers existing sector inspection needs' but fails 'deployable within campaign window' and 'central version control feasible'.</t>
        </is>
      </c>
      <c r="H8" s="44" t="n"/>
      <c r="I8" s="45" t="n"/>
    </row>
    <row r="9" ht="49.8" customHeight="1">
      <c r="A9" s="22" t="inlineStr">
        <is>
          <t>A2 – One common statewide form set (15 sector-wise forms), no local customisation permitted</t>
        </is>
      </c>
      <c r="B9" s="44" t="n"/>
      <c r="C9" s="45" t="n"/>
      <c r="D9" s="22" t="inlineStr">
        <is>
          <t>Derived from the state-level comparability objective in the Sagar Collectorate circular (fortnightly TL-meeting review of aggregate progress).</t>
        </is>
      </c>
      <c r="E9" s="44" t="n"/>
      <c r="F9" s="45" t="n"/>
      <c r="G9" s="29" t="inlineStr">
        <is>
          <t>Rejected — meets timeline and version-control must-haves but fails 'covers existing sector inspection needs' once district-flagged inconsistencies (e.g. Krishi Sakh Sahakari Samiti's duplicate sections) are considered.</t>
        </is>
      </c>
      <c r="H9" s="44" t="n"/>
      <c r="I9" s="45" t="n"/>
    </row>
    <row r="10" ht="43.2" customHeight="1">
      <c r="A10" s="22" t="inlineStr">
        <is>
          <t>A3 – Common statewide form set (15 sector forms) with limited, centrally-approved local field additions</t>
        </is>
      </c>
      <c r="B10" s="44" t="n"/>
      <c r="C10" s="45" t="n"/>
      <c r="D10" s="22" t="inlineStr">
        <is>
          <t>Derived from requirements gathered from District e-Governance Managers and the district-level form review (12 Damoh forms) that surfaced both statewide-comparability needs and genuine local/quality gaps.</t>
        </is>
      </c>
      <c r="E10" s="44" t="n"/>
      <c r="F10" s="45" t="n"/>
      <c r="G10" s="29" t="inlineStr">
        <is>
          <t>Selected — meets all three must-have criteria. Implemented as the distributed 15-form package.</t>
        </is>
      </c>
      <c r="H10" s="44" t="n"/>
      <c r="I10" s="45" t="n"/>
    </row>
    <row r="11" ht="19.5" customHeight="1">
      <c r="A11" s="27" t="inlineStr">
        <is>
          <t>Criteria for Evaluation</t>
        </is>
      </c>
      <c r="B11" s="47" t="n"/>
      <c r="C11" s="27" t="inlineStr">
        <is>
          <t>Weightage 
 (1 = Least important and 5 = Most important)</t>
        </is>
      </c>
      <c r="D11" s="47" t="n"/>
      <c r="E11" s="27" t="inlineStr">
        <is>
          <t>Rationale for Criteria and Weightage Selection</t>
        </is>
      </c>
      <c r="F11" s="46" t="n"/>
      <c r="G11" s="46" t="n"/>
      <c r="H11" s="46" t="n"/>
      <c r="I11" s="47" t="n"/>
    </row>
    <row r="12" ht="19.5" customHeight="1">
      <c r="A12" s="22" t="inlineStr">
        <is>
          <t>Cross-District Comparability</t>
        </is>
      </c>
      <c r="B12" s="45" t="n"/>
      <c r="C12" s="24" t="n">
        <v>9</v>
      </c>
      <c r="D12" s="45" t="n"/>
      <c r="E12" s="22" t="inlineStr">
        <is>
          <t>Weighted highest along with rollout speed — statewide aggregate comparison is the explicit purpose of the Jan Vishwas Abhiyaan review cycle.</t>
        </is>
      </c>
      <c r="F12" s="44" t="n"/>
      <c r="G12" s="44" t="n"/>
      <c r="H12" s="44" t="n"/>
      <c r="I12" s="45" t="n"/>
    </row>
    <row r="13" ht="19.5" customHeight="1">
      <c r="A13" s="22" t="inlineStr">
        <is>
          <t>Rollout Speed (55 districts)</t>
        </is>
      </c>
      <c r="B13" s="45" t="n"/>
      <c r="C13" s="24" t="n">
        <v>9</v>
      </c>
      <c r="D13" s="45" t="n"/>
      <c r="E13" s="22" t="inlineStr">
        <is>
          <t>Weighted highest — the campaign window (7-Aug-2026 to 8-Jan-2027) is fixed and applies to all 55 districts simultaneously.</t>
        </is>
      </c>
      <c r="F13" s="44" t="n"/>
      <c r="G13" s="44" t="n"/>
      <c r="H13" s="44" t="n"/>
      <c r="I13" s="45" t="n"/>
    </row>
    <row r="14" ht="19.5" customHeight="1">
      <c r="A14" s="22" t="inlineStr">
        <is>
          <t>Local Relevance/Flexibility</t>
        </is>
      </c>
      <c r="B14" s="45" t="n"/>
      <c r="C14" s="24" t="n">
        <v>6</v>
      </c>
      <c r="D14" s="45" t="n"/>
      <c r="E14" s="22" t="inlineStr">
        <is>
          <t>Moderate weight — some capacity for district-specific/corrective additions was judged necessary after district feedback.</t>
        </is>
      </c>
      <c r="F14" s="44" t="n"/>
      <c r="G14" s="44" t="n"/>
      <c r="H14" s="44" t="n"/>
      <c r="I14" s="45" t="n"/>
    </row>
    <row r="15" ht="19.5" customHeight="1">
      <c r="A15" s="22" t="inlineStr">
        <is>
          <t>Maintenance Effort</t>
        </is>
      </c>
      <c r="B15" s="45" t="n"/>
      <c r="C15" s="24" t="n">
        <v>7</v>
      </c>
      <c r="D15" s="45" t="n"/>
      <c r="E15" s="22" t="inlineStr">
        <is>
          <t>Weighted above-moderate — a centrally governed form set reduces long-term version-control overhead across 55 districts.</t>
        </is>
      </c>
      <c r="F15" s="44" t="n"/>
      <c r="G15" s="44" t="n"/>
      <c r="H15" s="44" t="n"/>
      <c r="I15" s="45" t="n"/>
    </row>
    <row r="16" ht="19.5" customHeight="1">
      <c r="A16" s="22" t="inlineStr">
        <is>
          <t>Training Simplicity</t>
        </is>
      </c>
      <c r="B16" s="45" t="n"/>
      <c r="C16" s="24" t="n">
        <v>6</v>
      </c>
      <c r="D16" s="45" t="n"/>
      <c r="E16" s="22" t="inlineStr">
        <is>
          <t>Moderate weight — a common form set is easier to train officers on statewide.</t>
        </is>
      </c>
      <c r="F16" s="44" t="n"/>
      <c r="G16" s="44" t="n"/>
      <c r="H16" s="44" t="n"/>
      <c r="I16" s="45" t="n"/>
    </row>
    <row r="17" ht="19.5" customHeight="1">
      <c r="A17" s="22" t="inlineStr">
        <is>
          <t>Cost</t>
        </is>
      </c>
      <c r="B17" s="45" t="n"/>
      <c r="C17" s="24" t="n">
        <v>5</v>
      </c>
      <c r="D17" s="45" t="n"/>
      <c r="E17" s="22" t="inlineStr">
        <is>
          <t>Lowest weight — cost is a secondary factor relative to comparability and rollout speed.</t>
        </is>
      </c>
      <c r="F17" s="44" t="n"/>
      <c r="G17" s="44" t="n"/>
      <c r="H17" s="44" t="n"/>
      <c r="I17" s="45" t="n"/>
    </row>
    <row r="18" ht="19.5" customHeight="1">
      <c r="A18" s="22" t="n"/>
      <c r="B18" s="45" t="n"/>
      <c r="C18" s="24" t="n"/>
      <c r="D18" s="45" t="n"/>
      <c r="E18" s="22" t="n"/>
      <c r="F18" s="44" t="n"/>
      <c r="G18" s="44" t="n"/>
      <c r="H18" s="44" t="n"/>
      <c r="I18" s="45" t="n"/>
    </row>
    <row r="19" ht="19.5" customHeight="1">
      <c r="A19" s="22" t="n"/>
      <c r="B19" s="45" t="n"/>
      <c r="C19" s="24" t="n"/>
      <c r="D19" s="45" t="n"/>
      <c r="E19" s="22" t="n"/>
      <c r="F19" s="44" t="n"/>
      <c r="G19" s="44" t="n"/>
      <c r="H19" s="44" t="n"/>
      <c r="I19" s="45" t="n"/>
    </row>
    <row r="20" ht="19.5" customHeight="1">
      <c r="A20" s="27" t="inlineStr">
        <is>
          <t>Criteria for Evaluation</t>
        </is>
      </c>
      <c r="B20" s="25">
        <f>IF(NOT(ISBLANK(A8)),A8,"NA")</f>
        <v/>
      </c>
      <c r="C20" s="47" t="n"/>
      <c r="D20" s="25">
        <f>IF(NOT(ISBLANK(A9)),A9,"NA")</f>
        <v/>
      </c>
      <c r="E20" s="47" t="n"/>
      <c r="F20" s="25">
        <f>IF(NOT(ISBLANK(A10)),A10,"NA")</f>
        <v/>
      </c>
      <c r="G20" s="47" t="n"/>
    </row>
    <row r="21" ht="19.5" customHeight="1">
      <c r="A21" s="48" t="n"/>
      <c r="B21" s="27" t="inlineStr">
        <is>
          <t>Score</t>
        </is>
      </c>
      <c r="C21" s="27" t="inlineStr">
        <is>
          <t>Weighted Score</t>
        </is>
      </c>
      <c r="D21" s="27" t="inlineStr">
        <is>
          <t>Score</t>
        </is>
      </c>
      <c r="E21" s="27" t="inlineStr">
        <is>
          <t>Weighted Score</t>
        </is>
      </c>
      <c r="F21" s="27" t="inlineStr">
        <is>
          <t>Score</t>
        </is>
      </c>
      <c r="G21" s="27" t="inlineStr">
        <is>
          <t>Weighted Score</t>
        </is>
      </c>
    </row>
    <row r="22" ht="19.5" customHeight="1">
      <c r="A22" s="28">
        <f>IF(NOT(ISBLANK(A12)),A12,"")</f>
        <v/>
      </c>
      <c r="B22" s="29" t="n"/>
      <c r="C22" s="35">
        <f>IF(NOT(ISBLANK(A12)),B22*C12,"")</f>
        <v/>
      </c>
      <c r="D22" s="29" t="n"/>
      <c r="E22" s="35">
        <f>IF(NOT(ISBLANK(A12)),D22*C12,"")</f>
        <v/>
      </c>
      <c r="F22" s="29" t="n">
        <v>5</v>
      </c>
      <c r="G22" s="35">
        <f>IF(NOT(ISBLANK(A12)),F22*C12,"")</f>
        <v/>
      </c>
    </row>
    <row r="23" ht="19.5" customHeight="1">
      <c r="A23" s="28">
        <f>IF(NOT(ISBLANK(A13)),A13,"")</f>
        <v/>
      </c>
      <c r="B23" s="29" t="n"/>
      <c r="C23" s="35">
        <f>IF(NOT(ISBLANK(A13)),B23*C13,"")</f>
        <v/>
      </c>
      <c r="D23" s="29" t="n"/>
      <c r="E23" s="35">
        <f>IF(NOT(ISBLANK(A13)),D23*C13,"")</f>
        <v/>
      </c>
      <c r="F23" s="29" t="n">
        <v>4</v>
      </c>
      <c r="G23" s="35">
        <f>IF(NOT(ISBLANK(A13)),F23*C13,"")</f>
        <v/>
      </c>
    </row>
    <row r="24" ht="19.5" customHeight="1">
      <c r="A24" s="28">
        <f>IF(NOT(ISBLANK(A14)),A14,"")</f>
        <v/>
      </c>
      <c r="B24" s="29" t="n"/>
      <c r="C24" s="35">
        <f>IF(NOT(ISBLANK(A14)),B24*C14,"")</f>
        <v/>
      </c>
      <c r="D24" s="29" t="n"/>
      <c r="E24" s="35">
        <f>IF(NOT(ISBLANK(A14)),D24*C14,"")</f>
        <v/>
      </c>
      <c r="F24" s="29" t="n">
        <v>4</v>
      </c>
      <c r="G24" s="35">
        <f>IF(NOT(ISBLANK(A14)),F24*C14,"")</f>
        <v/>
      </c>
    </row>
    <row r="25" ht="28.2" customHeight="1">
      <c r="A25" s="28">
        <f>IF(NOT(ISBLANK(A15)),A15,"")</f>
        <v/>
      </c>
      <c r="B25" s="29" t="n"/>
      <c r="C25" s="35">
        <f>IF(NOT(ISBLANK(A15)),B25*C15,"")</f>
        <v/>
      </c>
      <c r="D25" s="29" t="n"/>
      <c r="E25" s="35">
        <f>IF(NOT(ISBLANK(A15)),D25*C15,"")</f>
        <v/>
      </c>
      <c r="F25" s="29" t="n">
        <v>4</v>
      </c>
      <c r="G25" s="35">
        <f>IF(NOT(ISBLANK(A15)),F25*C15,"")</f>
        <v/>
      </c>
    </row>
    <row r="26" ht="28.8" customHeight="1">
      <c r="A26" s="28">
        <f>IF(NOT(ISBLANK(A16)),A16,"")</f>
        <v/>
      </c>
      <c r="B26" s="29" t="n"/>
      <c r="C26" s="35">
        <f>IF(NOT(ISBLANK(A16)),B26*C16,"")</f>
        <v/>
      </c>
      <c r="D26" s="29" t="n"/>
      <c r="E26" s="35">
        <f>IF(NOT(ISBLANK(A16)),D26*C16,"")</f>
        <v/>
      </c>
      <c r="F26" s="29" t="n">
        <v>4</v>
      </c>
      <c r="G26" s="35">
        <f>IF(NOT(ISBLANK(A16)),F26*C16,"")</f>
        <v/>
      </c>
    </row>
    <row r="27" ht="19.5" customHeight="1">
      <c r="A27" s="28">
        <f>IF(NOT(ISBLANK(A17)),A17,"")</f>
        <v/>
      </c>
      <c r="B27" s="29" t="n"/>
      <c r="C27" s="35">
        <f>IF(NOT(ISBLANK(A17)),B27*C17,"")</f>
        <v/>
      </c>
      <c r="D27" s="29" t="n"/>
      <c r="E27" s="35">
        <f>IF(NOT(ISBLANK(A17)),D27*C17,"")</f>
        <v/>
      </c>
      <c r="F27" s="29" t="n">
        <v>5</v>
      </c>
      <c r="G27" s="35">
        <f>IF(NOT(ISBLANK(A17)),F27*C17,"")</f>
        <v/>
      </c>
    </row>
    <row r="28" ht="19.5" customHeight="1">
      <c r="A28" s="28">
        <f>IF(NOT(ISBLANK(A18)),A18,"")</f>
        <v/>
      </c>
      <c r="B28" s="29" t="n"/>
      <c r="C28" s="35">
        <f>IF(NOT(ISBLANK(A18)),B28*C18,"")</f>
        <v/>
      </c>
      <c r="D28" s="29" t="n"/>
      <c r="E28" s="35">
        <f>IF(NOT(ISBLANK(A18)),D28*C18,"")</f>
        <v/>
      </c>
      <c r="F28" s="29" t="n"/>
      <c r="G28" s="35">
        <f>IF(NOT(ISBLANK(A18)),F28*C18,"")</f>
        <v/>
      </c>
    </row>
    <row r="29" ht="19.5" customHeight="1">
      <c r="A29" s="28" t="n"/>
      <c r="B29" s="29" t="n"/>
      <c r="C29" s="35">
        <f>IF(NOT(ISBLANK(A19)),B29*C19,"")</f>
        <v/>
      </c>
      <c r="D29" s="29" t="n"/>
      <c r="E29" s="35">
        <f>IF(NOT(ISBLANK(A19)),D29*C19,"")</f>
        <v/>
      </c>
      <c r="F29" s="29" t="n"/>
      <c r="G29" s="35">
        <f>IF(NOT(ISBLANK(A19)),F29*C19,"")</f>
        <v/>
      </c>
    </row>
    <row r="30" ht="19.5" customHeight="1">
      <c r="A30" s="31" t="inlineStr">
        <is>
          <t>Average Weighted Score</t>
        </is>
      </c>
      <c r="B30" s="29" t="n"/>
      <c r="C30" s="32">
        <f>IF(B20="NA","",AVERAGE(C22:C29))</f>
        <v/>
      </c>
      <c r="D30" s="29" t="n"/>
      <c r="E30" s="32">
        <f>IF(D20="NA","",AVERAGE(E22:E29))</f>
        <v/>
      </c>
      <c r="F30" s="29" t="n"/>
      <c r="G30" s="32">
        <f>IF(F20="NA","",AVERAGE(G22:G29))</f>
        <v/>
      </c>
    </row>
    <row r="31" ht="19.5" customHeight="1">
      <c r="A31" s="33" t="inlineStr">
        <is>
          <t>Score Range (1 - 5) :  ( 1 = Minimum rating and 5 = Maximum rating)</t>
        </is>
      </c>
      <c r="B31" s="46" t="n"/>
      <c r="C31" s="46" t="n"/>
      <c r="D31" s="46" t="n"/>
      <c r="E31" s="46" t="n"/>
      <c r="F31" s="46" t="n"/>
      <c r="G31" s="46" t="n"/>
      <c r="H31" s="46" t="n"/>
      <c r="I31" s="47" t="n"/>
    </row>
    <row r="32" ht="19.5" customHeight="1">
      <c r="A32" s="31" t="inlineStr">
        <is>
          <t>Alternatives</t>
        </is>
      </c>
      <c r="B32" s="46" t="n"/>
      <c r="C32" s="47" t="n"/>
      <c r="D32" s="31" t="inlineStr">
        <is>
          <t>Order (1 = Highest, 4 = Lowest)</t>
        </is>
      </c>
      <c r="E32" s="46" t="n"/>
      <c r="F32" s="47" t="n"/>
      <c r="G32" s="31" t="inlineStr">
        <is>
          <t>Result</t>
        </is>
      </c>
      <c r="H32" s="46" t="n"/>
      <c r="I32" s="47" t="n"/>
    </row>
    <row r="33" ht="48" customHeight="1">
      <c r="A33" s="34">
        <f>IF(B20="NA","",A8)</f>
        <v/>
      </c>
      <c r="B33" s="46" t="n"/>
      <c r="C33" s="47" t="n"/>
      <c r="D33" s="35">
        <f>IF(B20="NA","",RANK(C30,$C$30:$G$30,0))</f>
        <v/>
      </c>
      <c r="E33" s="46" t="n"/>
      <c r="F33" s="47" t="n"/>
      <c r="G33" s="35">
        <f>IF(AND(NOT(ISBLANK(D33)),ISNUMBER(D33)),IF(D33=1,"Accept","Reject"),"")</f>
        <v/>
      </c>
      <c r="H33" s="46" t="n"/>
      <c r="I33" s="47" t="n"/>
    </row>
    <row r="34" ht="48" customHeight="1">
      <c r="A34" s="34">
        <f>IF(D20="NA","",A9)</f>
        <v/>
      </c>
      <c r="B34" s="46" t="n"/>
      <c r="C34" s="47" t="n"/>
      <c r="D34" s="35">
        <f>IF(D20="NA","",RANK(E30,$C$30:$G$30,0))</f>
        <v/>
      </c>
      <c r="E34" s="46" t="n"/>
      <c r="F34" s="47" t="n"/>
      <c r="G34" s="35">
        <f>IF(AND(NOT(ISBLANK(D34)),ISNUMBER(D34)),IF(D34=1,"Accept","Reject"),"")</f>
        <v/>
      </c>
      <c r="H34" s="46" t="n"/>
      <c r="I34" s="47" t="n"/>
    </row>
    <row r="35" ht="48" customHeight="1">
      <c r="A35" s="34">
        <f>IF(F20="NA","",A10)</f>
        <v/>
      </c>
      <c r="B35" s="46" t="n"/>
      <c r="C35" s="47" t="n"/>
      <c r="D35" s="35">
        <f>IF(F20="NA","",RANK(G30,$C$30:$G$30,0))</f>
        <v/>
      </c>
      <c r="E35" s="46" t="n"/>
      <c r="F35" s="47" t="n"/>
      <c r="G35" s="35">
        <f>IF(AND(NOT(ISBLANK(D35)),ISNUMBER(D35)),IF(D35=1,"Accept","Reject"),"")</f>
        <v/>
      </c>
      <c r="H35" s="46" t="n"/>
      <c r="I35" s="47" t="n"/>
    </row>
    <row r="36" ht="43.8" customHeight="1">
      <c r="A36" s="36" t="inlineStr">
        <is>
          <t>Solution Decision 
(Decision Authority)</t>
        </is>
      </c>
      <c r="B36" s="47" t="n"/>
      <c r="C36" s="22" t="inlineStr">
        <is>
          <t>A common statewide 15-sector-form set (Zila Panchayat/MGNREGA &amp; schemes, Water Supply, School, Anganwadi, Health, Fair Price Shop, Petrol/Diesel Pump, LPG Dealer, Liquor Shop, Hostel/Ashram, Agri-Credit Cooperative, Dairy/Animal Husbandry, plus Ayush, Gaushala and Fisheries added subsequently), with limited centrally-approved local field additions (Alternative A3), is selected as the inspection-form strategy for the Jan Vishwas Abhiyaan rollout across all 55 districts, including Damoh.</t>
        </is>
      </c>
      <c r="D36" s="44" t="n"/>
      <c r="E36" s="44" t="n"/>
      <c r="F36" s="44" t="n"/>
      <c r="G36" s="44" t="n"/>
      <c r="H36" s="44" t="n"/>
      <c r="I36" s="45" t="n"/>
    </row>
    <row r="37" ht="121.8" customHeight="1">
      <c r="A37" s="36" t="inlineStr">
        <is>
          <t>Risk anticipated</t>
        </is>
      </c>
      <c r="B37" s="47" t="n"/>
      <c r="C37" s="22" t="inlineStr">
        <is>
          <t>Uncontrolled local additions could erode cross-district comparability over time if not centrally governed (Impact 6/10, Probability 4/10, Risk Factor 24).</t>
        </is>
      </c>
      <c r="D37" s="44" t="n"/>
      <c r="E37" s="44" t="n"/>
      <c r="F37" s="44" t="n"/>
      <c r="G37" s="44" t="n"/>
      <c r="H37" s="44" t="n"/>
      <c r="I37" s="45" t="n"/>
    </row>
    <row r="38" ht="123" customHeight="1">
      <c r="A38" s="36" t="inlineStr">
        <is>
          <t>Assumptions</t>
        </is>
      </c>
      <c r="B38" s="47" t="n"/>
      <c r="C38" s="22" t="inlineStr">
        <is>
          <t>The 'fully district-customised' alternative was rejected primarily because it defeats the state-level comparability objective explicitly named in the Sagar Collectorate circular (fortnightly TL-meeting review of aggregate progress).
The 'one rigid statewide form, zero customisation' alternative was rejected because several sector forms (e.g. Krishi Sakh Sahakari Samiti) already showed real inconsistencies (duplicate section headings, missing section numbers) that districts flagged during initial use — some capacity for centrally-governed correction/addition was judged necessary.
This DAR reflects the form-standardisation decision as evidenced by the actual distributed 15-form package, not a literally minuted original meeting.</t>
        </is>
      </c>
      <c r="D38" s="44" t="n"/>
      <c r="E38" s="44" t="n"/>
      <c r="F38" s="44" t="n"/>
      <c r="G38" s="44" t="n"/>
      <c r="H38" s="44" t="n"/>
      <c r="I38" s="45" t="n"/>
    </row>
    <row r="39" ht="19.8" customHeight="1">
      <c r="A39" s="37" t="inlineStr">
        <is>
          <t>Remarks</t>
        </is>
      </c>
      <c r="B39" s="47" t="n"/>
      <c r="C39" s="22" t="inlineStr">
        <is>
          <t>A common 15-form sector set was finalised and distributed to all districts, including Damoh, rather than letting each of the 55 districts design its own. Any district-specific field needs are raised as centrally-reviewed additions rather than independent local forms, preserving the ability to aggregate and compare compliance data statewide — the core purpose of the Jan Vishwas Abhiyaan review cycle.</t>
        </is>
      </c>
      <c r="D39" s="44" t="n"/>
      <c r="E39" s="44" t="n"/>
      <c r="F39" s="44" t="n"/>
      <c r="G39" s="44" t="n"/>
      <c r="H39" s="44" t="n"/>
      <c r="I39" s="45" t="n"/>
    </row>
    <row r="40" ht="41.4" customHeight="1">
      <c r="A40" s="37" t="inlineStr">
        <is>
          <t>Decision Authority</t>
        </is>
      </c>
      <c r="B40" s="47" t="n"/>
      <c r="C40" s="22" t="inlineStr">
        <is>
          <t>MPSeDC GIS Team, in consultation with District e-Governance Managers statewide — authorized to approve the standardised 15-form inspection package for the CM Jan Vishwas Abhiyaan, applicable across all 55 districts of Madhya Pradesh.</t>
        </is>
      </c>
      <c r="D40" s="44" t="n"/>
      <c r="E40" s="44" t="n"/>
      <c r="F40" s="45" t="n"/>
      <c r="G40" s="38" t="inlineStr">
        <is>
          <t>Date</t>
        </is>
      </c>
      <c r="H40" s="15" t="n">
        <v>46258</v>
      </c>
      <c r="I40" s="45" t="n"/>
    </row>
    <row r="41" ht="19.5" customHeight="1">
      <c r="A41" s="39" t="n"/>
      <c r="B41" s="39" t="n"/>
      <c r="C41" s="39" t="n"/>
      <c r="D41" s="39" t="n"/>
      <c r="E41" s="39" t="n"/>
      <c r="F41" s="39" t="n"/>
      <c r="G41" s="39" t="n"/>
      <c r="H41" s="39" t="n"/>
      <c r="I41" s="39" t="n"/>
    </row>
    <row r="42" ht="19.5" customHeight="1">
      <c r="A42" s="39" t="n"/>
      <c r="B42" s="39" t="n"/>
      <c r="C42" s="39" t="n"/>
      <c r="D42" s="39" t="n"/>
      <c r="E42" s="39" t="n"/>
      <c r="F42" s="39" t="n"/>
      <c r="G42" s="39" t="n"/>
      <c r="H42" s="39" t="n"/>
      <c r="I42" s="39" t="n"/>
    </row>
    <row r="43" ht="19.5" customHeight="1">
      <c r="A43" s="39" t="n"/>
      <c r="B43" s="39" t="n"/>
      <c r="C43" s="39" t="n"/>
      <c r="D43" s="39" t="n"/>
      <c r="E43" s="39" t="n"/>
      <c r="F43" s="39" t="n"/>
      <c r="G43" s="39" t="n"/>
      <c r="H43" s="39" t="n"/>
      <c r="I43" s="39" t="n"/>
    </row>
    <row r="44" ht="19.5" customHeight="1">
      <c r="A44" s="39" t="n"/>
      <c r="B44" s="39" t="n"/>
      <c r="C44" s="39" t="n"/>
      <c r="D44" s="39" t="n"/>
      <c r="E44" s="39" t="n"/>
      <c r="F44" s="39" t="n"/>
      <c r="G44" s="39" t="n"/>
      <c r="H44" s="39" t="n"/>
      <c r="I44" s="39" t="n"/>
    </row>
  </sheetData>
  <mergeCells count="76">
    <mergeCell ref="C36:I36"/>
    <mergeCell ref="D20:E20"/>
    <mergeCell ref="E12:I12"/>
    <mergeCell ref="G10:I10"/>
    <mergeCell ref="A15:B15"/>
    <mergeCell ref="C15:D15"/>
    <mergeCell ref="C39:I39"/>
    <mergeCell ref="D32:F32"/>
    <mergeCell ref="A11:B11"/>
    <mergeCell ref="A36:B36"/>
    <mergeCell ref="C14:D14"/>
    <mergeCell ref="G3:I3"/>
    <mergeCell ref="C38:I38"/>
    <mergeCell ref="G34:I34"/>
    <mergeCell ref="D7:F7"/>
    <mergeCell ref="E14:I14"/>
    <mergeCell ref="H40:I40"/>
    <mergeCell ref="E17:I17"/>
    <mergeCell ref="G33:I33"/>
    <mergeCell ref="C37:I37"/>
    <mergeCell ref="A33:C33"/>
    <mergeCell ref="A16:B16"/>
    <mergeCell ref="C16:D16"/>
    <mergeCell ref="A32:C32"/>
    <mergeCell ref="A8:C8"/>
    <mergeCell ref="F20:G20"/>
    <mergeCell ref="A37:B37"/>
    <mergeCell ref="E19:I19"/>
    <mergeCell ref="G35:I35"/>
    <mergeCell ref="D9:F9"/>
    <mergeCell ref="E13:I13"/>
    <mergeCell ref="B2:D2"/>
    <mergeCell ref="A35:C35"/>
    <mergeCell ref="A18:B18"/>
    <mergeCell ref="D8:F8"/>
    <mergeCell ref="D33:F33"/>
    <mergeCell ref="A12:B12"/>
    <mergeCell ref="A10:C10"/>
    <mergeCell ref="C12:D12"/>
    <mergeCell ref="G32:I32"/>
    <mergeCell ref="E15:I15"/>
    <mergeCell ref="C11:D11"/>
    <mergeCell ref="D35:F35"/>
    <mergeCell ref="A9:C9"/>
    <mergeCell ref="G9:I9"/>
    <mergeCell ref="E11:I11"/>
    <mergeCell ref="A20:A21"/>
    <mergeCell ref="A31:I31"/>
    <mergeCell ref="A14:B14"/>
    <mergeCell ref="A34:C34"/>
    <mergeCell ref="A17:B17"/>
    <mergeCell ref="C17:D17"/>
    <mergeCell ref="D34:F34"/>
    <mergeCell ref="D10:F10"/>
    <mergeCell ref="C40:F40"/>
    <mergeCell ref="G2:I2"/>
    <mergeCell ref="A38:B38"/>
    <mergeCell ref="B3:D3"/>
    <mergeCell ref="E16:I16"/>
    <mergeCell ref="A19:B19"/>
    <mergeCell ref="B20:C20"/>
    <mergeCell ref="B6:I6"/>
    <mergeCell ref="C19:D19"/>
    <mergeCell ref="A1:I1"/>
    <mergeCell ref="G8:I8"/>
    <mergeCell ref="A13:B13"/>
    <mergeCell ref="B5:I5"/>
    <mergeCell ref="C13:D13"/>
    <mergeCell ref="E3:F3"/>
    <mergeCell ref="C18:D18"/>
    <mergeCell ref="A39:B39"/>
    <mergeCell ref="A7:C7"/>
    <mergeCell ref="G7:I7"/>
    <mergeCell ref="B4:I4"/>
    <mergeCell ref="E18:I18"/>
    <mergeCell ref="A40:B40"/>
  </mergeCells>
  <dataValidations count="1">
    <dataValidation sqref="B22:B29 D22:D29 F22:F29" showDropDown="0" showInputMessage="1" showErrorMessage="1" allowBlank="1" type="list">
      <formula1>"1,2,3, 4,5"</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Venu Maheshwari</dc:creator>
  <dcterms:created xmlns:dcterms="http://purl.org/dc/terms/" xmlns:xsi="http://www.w3.org/2001/XMLSchema-instance" xsi:type="dcterms:W3CDTF">2017-11-13T13:56:00Z</dcterms:created>
  <dcterms:modified xmlns:dcterms="http://purl.org/dc/terms/" xmlns:xsi="http://www.w3.org/2001/XMLSchema-instance" xsi:type="dcterms:W3CDTF">2026-08-27T05:41:41Z</dcterms:modified>
  <cp:lastModifiedBy>rupa malviya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0x0101008ED21E2ABB2D2C4FB0E5A91234516DC0</vt:lpwstr>
  </property>
</Properties>
</file>